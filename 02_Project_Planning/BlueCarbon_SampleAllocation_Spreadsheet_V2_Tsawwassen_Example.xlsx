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4"/>
  </bookViews>
  <sheets>
    <sheet name="Start Here" sheetId="1" state="visible" r:id="rId3"/>
    <sheet name="1 Sample Size" sheetId="2" state="visible" r:id="rId4"/>
    <sheet name="2 Stratified" sheetId="3" state="visible" r:id="rId5"/>
    <sheet name="3 Priors" sheetId="4" state="visible" r:id="rId6"/>
    <sheet name="4 Precision Check" sheetId="5" state="visible" r:id="rId7"/>
    <sheet name="5 Sensitivity" sheetId="6" state="visible" r:id="rId8"/>
    <sheet name="Notes and 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<sst xmlns="http://schemas.openxmlformats.org/spreadsheetml/2006/main" count="294" uniqueCount="225">
  <si>
    <t xml:space="preserve">Blue Carbon Sample Allocation Calculator — 2026 — Tsawwassen worked example</t>
  </si>
  <si>
    <t xml:space="preserve">WWF-Canada · Coastal Blue Carbon Hub</t>
  </si>
  <si>
    <t xml:space="preserve">TSAWWASSEN WORKED EXAMPLE (Part 2). The inputs are the Tsawwassen team's: two eelgrass zones from the sampling-design tool, and the tool's Pacific Northwest eelgrass prior (24.8 ± 16.8 Mg C/ha to 30 cm, Janousek et al. 2025). Use the blank calculator for your own site. This workbook turns a study area and a precision target into a number of sediment cores, then checks after fieldwork whether that precision was actually achieved.</t>
  </si>
  <si>
    <t xml:space="preserve">How to use it</t>
  </si>
  <si>
    <t xml:space="preserve">Sheet</t>
  </si>
  <si>
    <t xml:space="preserve">What it does</t>
  </si>
  <si>
    <t xml:space="preserve">Where it maps in the workshop</t>
  </si>
  <si>
    <t xml:space="preserve">1 Sample Size</t>
  </si>
  <si>
    <t xml:space="preserve">One uniform area. Enter area, precision and a prior; get a core count.</t>
  </si>
  <si>
    <t xml:space="preserve">Workshop Step 4</t>
  </si>
  <si>
    <t xml:space="preserve">2 Stratified</t>
  </si>
  <si>
    <t xml:space="preserve">Two or more strata. Same inputs per stratum; cores allocated by area.</t>
  </si>
  <si>
    <t xml:space="preserve">Workshop Steps 2 + 5</t>
  </si>
  <si>
    <t xml:space="preserve">3 Priors</t>
  </si>
  <si>
    <t xml:space="preserve">Published mean / SD / CV by ecosystem and region. Feeds sheets 1 and 2.</t>
  </si>
  <si>
    <t xml:space="preserve">4 Precision Check</t>
  </si>
  <si>
    <t xml:space="preserve">After fieldwork: did you hit your target margin of error?</t>
  </si>
  <si>
    <t xml:space="preserve">Appendix A8</t>
  </si>
  <si>
    <t xml:space="preserve">5 Sensitivity</t>
  </si>
  <si>
    <t xml:space="preserve">How the core count responds to precision and variability.</t>
  </si>
  <si>
    <t xml:space="preserve">Appendix A4</t>
  </si>
  <si>
    <t xml:space="preserve">Notes and Sources</t>
  </si>
  <si>
    <t xml:space="preserve">Formulas, symbol crosswalk, citations, assumptions.</t>
  </si>
  <si>
    <t xml:space="preserve">Appendix A2, A3, A6</t>
  </si>
  <si>
    <t xml:space="preserve">Cell colours</t>
  </si>
  <si>
    <t xml:space="preserve">You type here</t>
  </si>
  <si>
    <t xml:space="preserve">Sand fill — every input in this workbook looks like this.</t>
  </si>
  <si>
    <t xml:space="preserve">Calculated</t>
  </si>
  <si>
    <t xml:space="preserve">Teal fill — formulas. Do not overwrite; they will not recalculate if you do.</t>
  </si>
  <si>
    <t xml:space="preserve">Before you start</t>
  </si>
  <si>
    <t xml:space="preserve">•  Have your study area in square metres (Workshop Step 1) and your strata areas if you stratified (Step 2).</t>
  </si>
  <si>
    <t xml:space="preserve">•  Decide your margin of error and confidence level before you look at any numbers, not after.</t>
  </si>
  <si>
    <t xml:space="preserve">•  Plot size defaults to 100 m² (a 10 × 10 m plot per core), matching the workshop. Change it on each sheet if yours differs.</t>
  </si>
  <si>
    <t xml:space="preserve">•  The priors in sheet 3 are regional averages. They understate local patchiness — round the SD up.</t>
  </si>
  <si>
    <t xml:space="preserve">Version 2026.2  ·  Built for the Blue Carbon Eelgrass Workshop  ·  Priors from Janousek et al. (2025)</t>
  </si>
  <si>
    <t xml:space="preserve">Sample size — one uniform area</t>
  </si>
  <si>
    <t xml:space="preserve">Workshop Step 4. For a site with two or more strata, use sheet '2 Stratified' instead.</t>
  </si>
  <si>
    <t xml:space="preserve">Step 1 — Your study area</t>
  </si>
  <si>
    <t xml:space="preserve">Study area (m²)</t>
  </si>
  <si>
    <t xml:space="preserve">from your Step 1 boundary</t>
  </si>
  <si>
    <t xml:space="preserve">Plot size — area each core represents (m²)</t>
  </si>
  <si>
    <t xml:space="preserve">100 m² = a 10 × 10 m plot</t>
  </si>
  <si>
    <t xml:space="preserve">Possible plot locations, N</t>
  </si>
  <si>
    <t xml:space="preserve">area ÷ plot size (used only if the plots are the sampling frame)</t>
  </si>
  <si>
    <t xml:space="preserve">Plots are the sampling frame?</t>
  </si>
  <si>
    <t xml:space="preserve">No</t>
  </si>
  <si>
    <t xml:space="preserve">Yes only if cores are drawn from a fixed list of plots (e.g. the sampling tool's grid of positions). No = treat the area as continuous (no finite-population correction).</t>
  </si>
  <si>
    <t xml:space="preserve">Step 2 — Your precision target</t>
  </si>
  <si>
    <t xml:space="preserve">Confidence level</t>
  </si>
  <si>
    <t xml:space="preserve">0.90 or 0.95. Enter as a decimal.</t>
  </si>
  <si>
    <t xml:space="preserve">z multiplier</t>
  </si>
  <si>
    <t xml:space="preserve">set by the confidence level</t>
  </si>
  <si>
    <t xml:space="preserve">Relative margin of error, E</t>
  </si>
  <si>
    <t xml:space="preserve">0.20 = ±20% of the mean</t>
  </si>
  <si>
    <t xml:space="preserve">Step 3 — Your variability prior</t>
  </si>
  <si>
    <t xml:space="preserve">Prior source</t>
  </si>
  <si>
    <t xml:space="preserve">Custom — enter my own mean and SD</t>
  </si>
  <si>
    <t xml:space="preserve">pick from the list</t>
  </si>
  <si>
    <t xml:space="preserve">Depth (cm)</t>
  </si>
  <si>
    <t xml:space="preserve">30 or 100</t>
  </si>
  <si>
    <t xml:space="preserve">Expected mean (Mg C ha⁻¹)</t>
  </si>
  <si>
    <t xml:space="preserve">Expected standard deviation</t>
  </si>
  <si>
    <t xml:space="preserve">Coefficient of variation, CV</t>
  </si>
  <si>
    <t xml:space="preserve">SD ÷ mean — drives the answer</t>
  </si>
  <si>
    <t xml:space="preserve">Custom mean — used only if 'Custom' is selected</t>
  </si>
  <si>
    <t xml:space="preserve">Custom standard deviation</t>
  </si>
  <si>
    <t xml:space="preserve">Result</t>
  </si>
  <si>
    <t xml:space="preserve">Cores required (n)</t>
  </si>
  <si>
    <t xml:space="preserve">Sampling fraction</t>
  </si>
  <si>
    <t xml:space="preserve">share of all possible plots you will visit</t>
  </si>
  <si>
    <t xml:space="preserve">Check the CV above against your own expectations before trusting this. It is squared in the formula, so it moves the answer more than anything else you entered — see sheet '5 Sensitivity'.</t>
  </si>
  <si>
    <t xml:space="preserve">Sample size — stratified area</t>
  </si>
  <si>
    <t xml:space="preserve">Workshop Steps 2 and 5. Cores are allocated between strata in proportion to area.</t>
  </si>
  <si>
    <t xml:space="preserve">Settings</t>
  </si>
  <si>
    <t xml:space="preserve">Plot size (m²)</t>
  </si>
  <si>
    <t xml:space="preserve">Minimum cores per stratum</t>
  </si>
  <si>
    <t xml:space="preserve">5 keeps every stratum estimable</t>
  </si>
  <si>
    <t xml:space="preserve">Your strata</t>
  </si>
  <si>
    <t xml:space="preserve">Stratum name</t>
  </si>
  <si>
    <t xml:space="preserve">Area (m²)</t>
  </si>
  <si>
    <t xml:space="preserve">Expected mean</t>
  </si>
  <si>
    <t xml:space="preserve">Expected SD</t>
  </si>
  <si>
    <t xml:space="preserve">CV</t>
  </si>
  <si>
    <t xml:space="preserve">Cores allocated</t>
  </si>
  <si>
    <t xml:space="preserve">Zone 3 — high-density eelgrass</t>
  </si>
  <si>
    <t xml:space="preserve">Zone 2 — low-density eelgrass</t>
  </si>
  <si>
    <t xml:space="preserve">Total</t>
  </si>
  <si>
    <t xml:space="preserve">Total area (m²)</t>
  </si>
  <si>
    <t xml:space="preserve">Area-weighted overall mean</t>
  </si>
  <si>
    <t xml:space="preserve">Pooled variance</t>
  </si>
  <si>
    <t xml:space="preserve">V — variance ÷ mean²</t>
  </si>
  <si>
    <t xml:space="preserve">Cores required before allocation (n)</t>
  </si>
  <si>
    <t xml:space="preserve">Cores after the per-stratum minimum</t>
  </si>
  <si>
    <t xml:space="preserve">The allocated total usually exceeds n. Rounding each stratum up and applying the minimum both add cores — deliberately. A stratum with two cores yields no usable variance estimate.</t>
  </si>
  <si>
    <t xml:space="preserve">Tsawwassen zones from the sampling-design tool (Zone 1, 171.14 ha of wetland edge, excluded). Both use the tool's Pacific Northwest eelgrass prior, 24.8 ± 16.8 Mg C/ha to 30 cm.</t>
  </si>
  <si>
    <t xml:space="preserve">Variability priors — Janousek et al. (2025)</t>
  </si>
  <si>
    <t xml:space="preserve">Sediment organic carbon stocks from 1,285 cores along the Pacific coast of North America. Use these when you have no local pilot data. Select a row's name in the dropdown on sheet 1 or 2.</t>
  </si>
  <si>
    <t xml:space="preserve">Rows are ecosystem × region. 'All regions' pools every core for that ecosystem. Rows with a small core count (n) are shown for completeness — treat CV from fewer than about 20 cores as indicative only.</t>
  </si>
  <si>
    <t xml:space="preserve">Prior name (select this)</t>
  </si>
  <si>
    <t xml:space="preserve">Ecosystem</t>
  </si>
  <si>
    <t xml:space="preserve">Region</t>
  </si>
  <si>
    <t xml:space="preserve">Mean
30 cm</t>
  </si>
  <si>
    <t xml:space="preserve">SD
30 cm</t>
  </si>
  <si>
    <t xml:space="preserve">CV
30 cm</t>
  </si>
  <si>
    <t xml:space="preserve">cores
(n)</t>
  </si>
  <si>
    <t xml:space="preserve">Mean
100 cm</t>
  </si>
  <si>
    <t xml:space="preserve">SD
100 cm</t>
  </si>
  <si>
    <t xml:space="preserve">CV
100 cm</t>
  </si>
  <si>
    <t xml:space="preserve">Emergent marsh — Alaska</t>
  </si>
  <si>
    <t xml:space="preserve">Emergent marsh</t>
  </si>
  <si>
    <t xml:space="preserve">Alaska</t>
  </si>
  <si>
    <t xml:space="preserve">Emergent marsh — All regions</t>
  </si>
  <si>
    <t xml:space="preserve">All regions</t>
  </si>
  <si>
    <t xml:space="preserve">Emergent marsh — Baja California</t>
  </si>
  <si>
    <t xml:space="preserve">Baja California</t>
  </si>
  <si>
    <t xml:space="preserve">Emergent marsh — British Columbia</t>
  </si>
  <si>
    <t xml:space="preserve">British Columbia</t>
  </si>
  <si>
    <t xml:space="preserve">Emergent marsh — California</t>
  </si>
  <si>
    <t xml:space="preserve">California</t>
  </si>
  <si>
    <t xml:space="preserve">Emergent marsh — Mexico (mainland)</t>
  </si>
  <si>
    <t xml:space="preserve">Mexico (mainland)</t>
  </si>
  <si>
    <t xml:space="preserve">Emergent marsh — Oregon</t>
  </si>
  <si>
    <t xml:space="preserve">Oregon</t>
  </si>
  <si>
    <t xml:space="preserve">Emergent marsh — Washington</t>
  </si>
  <si>
    <t xml:space="preserve">Washington</t>
  </si>
  <si>
    <t xml:space="preserve">Mangrove — All regions</t>
  </si>
  <si>
    <t xml:space="preserve">Mangrove</t>
  </si>
  <si>
    <t xml:space="preserve">Mangrove — Baja California</t>
  </si>
  <si>
    <t xml:space="preserve">Mangrove — Mexico (mainland)</t>
  </si>
  <si>
    <t xml:space="preserve">Seagrass — Alaska</t>
  </si>
  <si>
    <t xml:space="preserve">Seagrass</t>
  </si>
  <si>
    <t xml:space="preserve">Seagrass — All regions</t>
  </si>
  <si>
    <t xml:space="preserve">Seagrass — Baja California</t>
  </si>
  <si>
    <t xml:space="preserve">Seagrass — British Columbia</t>
  </si>
  <si>
    <t xml:space="preserve">Seagrass — California</t>
  </si>
  <si>
    <t xml:space="preserve">Seagrass — Oregon</t>
  </si>
  <si>
    <t xml:space="preserve">Seagrass — Washington</t>
  </si>
  <si>
    <t xml:space="preserve">Tidal swamp — All regions</t>
  </si>
  <si>
    <t xml:space="preserve">Tidal swamp</t>
  </si>
  <si>
    <t xml:space="preserve">Tidal swamp — California</t>
  </si>
  <si>
    <t xml:space="preserve">Tidal swamp — Oregon</t>
  </si>
  <si>
    <t xml:space="preserve">Tidal swamp — Washington</t>
  </si>
  <si>
    <t xml:space="preserve">Tideflat — All regions</t>
  </si>
  <si>
    <t xml:space="preserve">Tideflat</t>
  </si>
  <si>
    <t xml:space="preserve">Tideflat — British Columbia</t>
  </si>
  <si>
    <t xml:space="preserve">Tideflat — California</t>
  </si>
  <si>
    <t xml:space="preserve">Tideflat — Oregon</t>
  </si>
  <si>
    <t xml:space="preserve">Tideflat — Washington</t>
  </si>
  <si>
    <t xml:space="preserve">Seagrass rows are shaded — these are the eelgrass priors for this workshop.</t>
  </si>
  <si>
    <t xml:space="preserve">Units: Mg C ha⁻¹. Blank 100 cm cells mean fewer than 3 cores reached that depth.</t>
  </si>
  <si>
    <t xml:space="preserve">Source: Janousek, C. N., Krause, J. R., Drexler, J. Z., Buffington, K. J., Poppe, K. L., Peck, E., et al. (2025).</t>
  </si>
  <si>
    <t xml:space="preserve">Blue carbon stocks along the Pacific coast of North America are mainly driven by local rather than regional factors.</t>
  </si>
  <si>
    <t xml:space="preserve">Global Biogeochemical Cycles, 39, e2024GB008239.  doi:10.1029/2024GB008239</t>
  </si>
  <si>
    <t xml:space="preserve">Computed by WWF-Canada from the published core dataset: mean and sample SD of core-level stocks per ecosystem × region.</t>
  </si>
  <si>
    <t xml:space="preserve">Precision check — after fieldwork</t>
  </si>
  <si>
    <t xml:space="preserve">Appendix A8. Planning used an expected CV; this uses the one you measured.</t>
  </si>
  <si>
    <t xml:space="preserve">A — One uniform area</t>
  </si>
  <si>
    <t xml:space="preserve">Possible plot locations, N (only if the plots are the sampling frame)</t>
  </si>
  <si>
    <t xml:space="preserve">Cores actually collected</t>
  </si>
  <si>
    <t xml:space="preserve">Sample mean (Mg C ha⁻¹)</t>
  </si>
  <si>
    <t xml:space="preserve">Sample standard deviation</t>
  </si>
  <si>
    <t xml:space="preserve">Target margin of error, E</t>
  </si>
  <si>
    <t xml:space="preserve">t multiplier (n − 1 degrees of freedom)</t>
  </si>
  <si>
    <t xml:space="preserve">Standard error of the mean</t>
  </si>
  <si>
    <t xml:space="preserve">Achieved relative margin of error</t>
  </si>
  <si>
    <t xml:space="preserve">Verdict</t>
  </si>
  <si>
    <t xml:space="preserve">B — Stratified area</t>
  </si>
  <si>
    <t xml:space="preserve">Sample mean</t>
  </si>
  <si>
    <t xml:space="preserve">Sample SD</t>
  </si>
  <si>
    <t xml:space="preserve">Cores collected</t>
  </si>
  <si>
    <t xml:space="preserve">Variance term</t>
  </si>
  <si>
    <t xml:space="preserve">Standard error of the stratified mean</t>
  </si>
  <si>
    <t xml:space="preserve">Part B uses the confidence level, target and sampling-frame setting from part A; its t multiplier uses n − H degrees of freedom (H = number of strata with cores).</t>
  </si>
  <si>
    <t xml:space="preserve">Sensitivity — what drives the core count</t>
  </si>
  <si>
    <t xml:space="preserve">Appendix A4. Live from sheet 1's confidence level and sampling-frame setting.</t>
  </si>
  <si>
    <t xml:space="preserve">Cores required, by margin of error and variability</t>
  </si>
  <si>
    <t xml:space="preserve">CV  ↓     E  →</t>
  </si>
  <si>
    <t xml:space="preserve">Shaded cell is roughly the BC eelgrass case: CV 0.6 at ±20%.</t>
  </si>
  <si>
    <t xml:space="preserve">Read across a row and down a column. E and CV are both squared in the formula, so they move the answer far more steeply than the confidence level does. Halving E roughly quadruples the cores in a large area — less in a small one, where the finite-population correction pulls it back.</t>
  </si>
  <si>
    <t xml:space="preserve">Notes and sources</t>
  </si>
  <si>
    <t xml:space="preserve">Formulas used</t>
  </si>
  <si>
    <t xml:space="preserve">Possible plot locations</t>
  </si>
  <si>
    <t xml:space="preserve">N = study area ÷ plot size, rounded down — used only if the plots are the sampling frame</t>
  </si>
  <si>
    <t xml:space="preserve">NORMINV(1 − (1 − confidence) / 2, 0, 1)</t>
  </si>
  <si>
    <t xml:space="preserve">Cores required</t>
  </si>
  <si>
    <t xml:space="preserve">n = (z·CV/E)² for a continuous area (default); with a plot frame, Cochran: n = z²·N·CV² / ((N−1)·E² + z²·CV²)</t>
  </si>
  <si>
    <t xml:space="preserve">Stratified n</t>
  </si>
  <si>
    <t xml:space="preserve">same formula with V = pooled variance ÷ overall mean² (both area-weighted) in place of CV²</t>
  </si>
  <si>
    <t xml:space="preserve">Allocation</t>
  </si>
  <si>
    <t xml:space="preserve">n_h = n × (stratum area ÷ total area), rounded up, floored at the minimum</t>
  </si>
  <si>
    <t xml:space="preserve">Achieved precision</t>
  </si>
  <si>
    <t xml:space="preserve">RME = t × SE ÷ sample mean, t with n − 1 df (n − H stratified); SE = √(s²/n), times (1 − n/N) only with a plot frame</t>
  </si>
  <si>
    <t xml:space="preserve">Symbol crosswalk to the UNFCCC A6.4 tool</t>
  </si>
  <si>
    <t xml:space="preserve">This workbook</t>
  </si>
  <si>
    <t xml:space="preserve">UNFCCC A6.4</t>
  </si>
  <si>
    <t xml:space="preserve">Meaning</t>
  </si>
  <si>
    <t xml:space="preserve">z</t>
  </si>
  <si>
    <t xml:space="preserve">Z(α/2)</t>
  </si>
  <si>
    <t xml:space="preserve">multiplier set by confidence level</t>
  </si>
  <si>
    <t xml:space="preserve">E</t>
  </si>
  <si>
    <t xml:space="preserve">e_abs</t>
  </si>
  <si>
    <t xml:space="preserve">target relative precision</t>
  </si>
  <si>
    <t xml:space="preserve">s</t>
  </si>
  <si>
    <t xml:space="preserve">SD</t>
  </si>
  <si>
    <t xml:space="preserve">standard deviation</t>
  </si>
  <si>
    <t xml:space="preserve">s ÷ mean</t>
  </si>
  <si>
    <t xml:space="preserve">N</t>
  </si>
  <si>
    <t xml:space="preserve">population size</t>
  </si>
  <si>
    <t xml:space="preserve">n</t>
  </si>
  <si>
    <t xml:space="preserve">cores to collect</t>
  </si>
  <si>
    <t xml:space="preserve">Assumptions worth stating out loud</t>
  </si>
  <si>
    <t xml:space="preserve">•  Each core represents a plot, not a point. Plot size is an input and defaults to 100 m² (10 × 10 m).</t>
  </si>
  <si>
    <t xml:space="preserve">•  Planning (sheets 1, 2 and 5) uses z; the precision check (sheet 4) uses Student's t, which is wider for small campaigns.</t>
  </si>
  <si>
    <t xml:space="preserve">•  Priors are regional averages. Janousek et al. (2025) find stocks are driven mainly by local rather than regional factors, so a regional SD will usually understate local patchiness.</t>
  </si>
  <si>
    <t xml:space="preserve">•  Sample size assumes simple or stratified random sampling. Convenience sampling invalidates the interval, whatever the core count.</t>
  </si>
  <si>
    <t xml:space="preserve">•  No allowance is made for lost or damaged cores. The number returned is the number of usable cores required.</t>
  </si>
  <si>
    <t xml:space="preserve">•  The finite-population correction is used only when cores are drawn from a fixed list of plots. For most meadows it changes the answer by less than one core.</t>
  </si>
  <si>
    <t xml:space="preserve">Sources</t>
  </si>
  <si>
    <t xml:space="preserve">Janousek, C. N., Krause, J. R., Drexler, J. Z., Buffington, K. J., Poppe, K. L., Peck, E., et al. (2025). Blue carbon stocks along the Pacific coast of North America are mainly driven by local rather than regional factors. Global Biogeochemical Cycles, 39, e2024GB008239.</t>
  </si>
  <si>
    <t xml:space="preserve">UNFCCC (CDM) Methodological guideline 48 — Sampling and surveys for CDM project activities and programmes of activities.</t>
  </si>
  <si>
    <t xml:space="preserve">Winrock International (2014). Calculation of the number of sample plots for measurements within A/R CDM project activities.</t>
  </si>
  <si>
    <t xml:space="preserve">WWF-Canada (2026). Carbon Measurement: Sampling Design.</t>
  </si>
  <si>
    <t xml:space="preserve">Cochran, W. G. (1977). Sampling Techniques, 3rd ed. Wiley.</t>
  </si>
  <si>
    <t xml:space="preserve">Version 2026.2 · Replaces SampleDesign_SampleAllocationCalculator_WithStrata.xlsx</t>
  </si>
  <si>
    <t xml:space="preserve">Changelog: corrected the margin-of-error / confidence-level swap; exposed plot size as an input; added priors, precision check and sensitivity sheets. 2026.2: sampling-frame switch (finite-population correction optional, default off); t in the precision check; sheet 2 example labels.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</si>
</sst>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%"/>
    <numFmt numFmtId="167" formatCode="0.000"/>
    <numFmt numFmtId="168" formatCode="0"/>
    <numFmt numFmtId="169" formatCode="0.0"/>
    <numFmt numFmtId="170" formatCode="0.00"/>
    <numFmt numFmtId="171" formatCode="0.0%"/>
    <numFmt numFmtId="172" formatCode="0.000000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A7A8C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F4C5C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9"/>
      <color rgb="FF6B7B80"/>
      <name val="Arial"/>
      <family val="0"/>
      <charset val="1"/>
    </font>
    <font>
      <b val="true"/>
      <sz val="12"/>
      <color rgb="FF0F4C5C"/>
      <name val="Arial"/>
      <family val="0"/>
      <charset val="1"/>
    </font>
    <font>
      <b val="true"/>
      <sz val="11"/>
      <color rgb="FF0F4C5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8A5A00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0F4C5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4C5C"/>
        <bgColor rgb="FF333399"/>
      </patternFill>
    </fill>
    <fill>
      <patternFill patternType="solid">
        <fgColor rgb="FF1A7A8C"/>
        <bgColor rgb="FF008080"/>
      </patternFill>
    </fill>
    <fill>
      <patternFill patternType="solid">
        <fgColor rgb="FFFBF1DC"/>
        <bgColor rgb="FFFFFFFF"/>
      </patternFill>
    </fill>
    <fill>
      <patternFill patternType="solid">
        <fgColor rgb="FFDCEDF2"/>
        <bgColor rgb="FFCCFFFF"/>
      </patternFill>
    </fill>
    <fill>
      <patternFill patternType="solid">
        <fgColor rgb="FFFFFFFF"/>
        <bgColor rgb="FFFBF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7CC"/>
      </left>
      <right style="thin">
        <color rgb="FFB8C7CC"/>
      </right>
      <top style="thin">
        <color rgb="FFB8C7CC"/>
      </top>
      <bottom style="thin">
        <color rgb="FFB8C7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1A7A8C"/>
      <rgbColor rgb="FFB8C7CC"/>
      <rgbColor rgb="FF6B7B80"/>
      <rgbColor rgb="FF9999FF"/>
      <rgbColor rgb="FF993366"/>
      <rgbColor rgb="FFFBF1DC"/>
      <rgbColor rgb="FFDCED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C5C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0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6" activeCellId="0" sqref="B16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7" min="3" style="1" width="17"/>
    <col collapsed="false" customWidth="true" hidden="false" outlineLevel="0" max="26" min="8" style="1" width="8.73"/>
  </cols>
  <sheetData>
    <row r="2" customFormat="false" ht="25.5" hidden="false" customHeight="true" outlineLevel="0" collapsed="false">
      <c r="B2" s="2" t="s">
        <v>0</v>
      </c>
      <c r="C2" s="3"/>
      <c r="D2" s="3"/>
      <c r="E2" s="3"/>
      <c r="F2" s="3"/>
      <c r="G2" s="3"/>
    </row>
    <row r="4" customFormat="false" ht="15" hidden="false" customHeight="true" outlineLevel="0" collapsed="false">
      <c r="B4" s="4" t="s">
        <v>1</v>
      </c>
    </row>
    <row r="6" customFormat="false" ht="15" hidden="false" customHeight="true" outlineLevel="0" collapsed="false">
      <c r="B6" s="5" t="s">
        <v>2</v>
      </c>
      <c r="C6" s="5"/>
      <c r="D6" s="5"/>
      <c r="E6" s="5"/>
      <c r="F6" s="5"/>
      <c r="G6" s="5"/>
    </row>
    <row r="7" customFormat="false" ht="15" hidden="false" customHeight="true" outlineLevel="0" collapsed="false">
      <c r="B7" s="5"/>
      <c r="C7" s="5"/>
      <c r="D7" s="5"/>
      <c r="E7" s="5"/>
      <c r="F7" s="5"/>
      <c r="G7" s="5"/>
    </row>
    <row r="9" customFormat="false" ht="15" hidden="false" customHeight="true" outlineLevel="0" collapsed="false">
      <c r="B9" s="6" t="s">
        <v>3</v>
      </c>
      <c r="C9" s="7"/>
      <c r="D9" s="7"/>
      <c r="E9" s="7"/>
      <c r="F9" s="7"/>
      <c r="G9" s="7"/>
    </row>
    <row r="10" customFormat="false" ht="15" hidden="false" customHeight="true" outlineLevel="0" collapsed="false">
      <c r="B10" s="8" t="s">
        <v>4</v>
      </c>
      <c r="C10" s="9" t="s">
        <v>5</v>
      </c>
      <c r="D10" s="9"/>
      <c r="E10" s="9"/>
      <c r="F10" s="8" t="s">
        <v>6</v>
      </c>
    </row>
    <row r="11" customFormat="false" ht="15" hidden="false" customHeight="true" outlineLevel="0" collapsed="false">
      <c r="B11" s="10" t="s">
        <v>7</v>
      </c>
      <c r="C11" s="11" t="s">
        <v>8</v>
      </c>
      <c r="D11" s="11"/>
      <c r="E11" s="11"/>
      <c r="F11" s="12" t="s">
        <v>9</v>
      </c>
      <c r="G11" s="12"/>
    </row>
    <row r="12" customFormat="false" ht="15" hidden="false" customHeight="true" outlineLevel="0" collapsed="false">
      <c r="B12" s="10" t="s">
        <v>10</v>
      </c>
      <c r="C12" s="11" t="s">
        <v>11</v>
      </c>
      <c r="D12" s="11"/>
      <c r="E12" s="11"/>
      <c r="F12" s="12" t="s">
        <v>12</v>
      </c>
      <c r="G12" s="12"/>
    </row>
    <row r="13" customFormat="false" ht="15" hidden="false" customHeight="true" outlineLevel="0" collapsed="false">
      <c r="B13" s="10" t="s">
        <v>13</v>
      </c>
      <c r="C13" s="11" t="s">
        <v>14</v>
      </c>
      <c r="D13" s="11"/>
      <c r="E13" s="11"/>
      <c r="F13" s="12" t="s">
        <v>9</v>
      </c>
      <c r="G13" s="12"/>
    </row>
    <row r="14" customFormat="false" ht="15" hidden="false" customHeight="true" outlineLevel="0" collapsed="false">
      <c r="B14" s="10" t="s">
        <v>15</v>
      </c>
      <c r="C14" s="11" t="s">
        <v>16</v>
      </c>
      <c r="D14" s="11"/>
      <c r="E14" s="11"/>
      <c r="F14" s="12" t="s">
        <v>17</v>
      </c>
      <c r="G14" s="12"/>
    </row>
    <row r="15" customFormat="false" ht="15" hidden="false" customHeight="true" outlineLevel="0" collapsed="false">
      <c r="B15" s="10" t="s">
        <v>18</v>
      </c>
      <c r="C15" s="11" t="s">
        <v>19</v>
      </c>
      <c r="D15" s="11"/>
      <c r="E15" s="11"/>
      <c r="F15" s="12" t="s">
        <v>20</v>
      </c>
      <c r="G15" s="12"/>
    </row>
    <row r="16" customFormat="false" ht="15" hidden="false" customHeight="true" outlineLevel="0" collapsed="false">
      <c r="B16" s="10" t="s">
        <v>21</v>
      </c>
      <c r="C16" s="11" t="s">
        <v>22</v>
      </c>
      <c r="D16" s="11"/>
      <c r="E16" s="11"/>
      <c r="F16" s="12" t="s">
        <v>23</v>
      </c>
      <c r="G16" s="12"/>
    </row>
    <row r="18" customFormat="false" ht="15" hidden="false" customHeight="true" outlineLevel="0" collapsed="false">
      <c r="B18" s="6" t="s">
        <v>24</v>
      </c>
      <c r="C18" s="7"/>
      <c r="D18" s="7"/>
      <c r="E18" s="7"/>
      <c r="F18" s="7"/>
      <c r="G18" s="7"/>
    </row>
    <row r="19" customFormat="false" ht="15" hidden="false" customHeight="true" outlineLevel="0" collapsed="false">
      <c r="B19" s="13" t="s">
        <v>25</v>
      </c>
      <c r="C19" s="14" t="s">
        <v>26</v>
      </c>
    </row>
    <row r="20" customFormat="false" ht="15" hidden="false" customHeight="true" outlineLevel="0" collapsed="false">
      <c r="B20" s="15" t="s">
        <v>27</v>
      </c>
      <c r="C20" s="14" t="s">
        <v>28</v>
      </c>
    </row>
    <row r="21" customFormat="false" ht="15.75" hidden="false" customHeight="true" outlineLevel="0" collapsed="false"/>
    <row r="22" customFormat="false" ht="15.75" hidden="false" customHeight="true" outlineLevel="0" collapsed="false">
      <c r="B22" s="6" t="s">
        <v>29</v>
      </c>
      <c r="C22" s="7"/>
      <c r="D22" s="7"/>
      <c r="E22" s="7"/>
      <c r="F22" s="7"/>
      <c r="G22" s="7"/>
    </row>
    <row r="23" customFormat="false" ht="15.75" hidden="false" customHeight="true" outlineLevel="0" collapsed="false">
      <c r="B23" s="11" t="s">
        <v>30</v>
      </c>
      <c r="C23" s="11"/>
      <c r="D23" s="11"/>
      <c r="E23" s="11"/>
      <c r="F23" s="11"/>
      <c r="G23" s="11"/>
    </row>
    <row r="24" customFormat="false" ht="15.75" hidden="false" customHeight="true" outlineLevel="0" collapsed="false">
      <c r="B24" s="11" t="s">
        <v>31</v>
      </c>
      <c r="C24" s="11"/>
      <c r="D24" s="11"/>
      <c r="E24" s="11"/>
      <c r="F24" s="11"/>
      <c r="G24" s="11"/>
    </row>
    <row r="25" customFormat="false" ht="15.75" hidden="false" customHeight="true" outlineLevel="0" collapsed="false">
      <c r="B25" s="11" t="s">
        <v>32</v>
      </c>
      <c r="C25" s="11"/>
      <c r="D25" s="11"/>
      <c r="E25" s="11"/>
      <c r="F25" s="11"/>
      <c r="G25" s="11"/>
    </row>
    <row r="26" customFormat="false" ht="15.75" hidden="false" customHeight="true" outlineLevel="0" collapsed="false">
      <c r="B26" s="11" t="s">
        <v>33</v>
      </c>
      <c r="C26" s="11"/>
      <c r="D26" s="11"/>
      <c r="E26" s="11"/>
      <c r="F26" s="11"/>
      <c r="G26" s="11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>
      <c r="B29" s="16" t="s">
        <v>34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8">
    <mergeCell ref="B6:G7"/>
    <mergeCell ref="C10:E10"/>
    <mergeCell ref="C11:E11"/>
    <mergeCell ref="F11:G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B23:G23"/>
    <mergeCell ref="B24:G24"/>
    <mergeCell ref="B25:G25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0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23" activeCellId="0" sqref="E23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7" min="3" style="1" width="15"/>
    <col collapsed="false" customWidth="true" hidden="false" outlineLevel="0" max="26" min="8" style="1" width="8.73"/>
  </cols>
  <sheetData>
    <row r="2" customFormat="false" ht="25.5" hidden="false" customHeight="true" outlineLevel="0" collapsed="false">
      <c r="B2" s="2" t="s">
        <v>35</v>
      </c>
      <c r="C2" s="3"/>
      <c r="D2" s="3"/>
      <c r="E2" s="3"/>
      <c r="F2" s="3"/>
      <c r="G2" s="3"/>
    </row>
    <row r="3" customFormat="false" ht="15" hidden="false" customHeight="true" outlineLevel="0" collapsed="false">
      <c r="B3" s="16" t="s">
        <v>36</v>
      </c>
    </row>
    <row r="5" customFormat="false" ht="15" hidden="false" customHeight="true" outlineLevel="0" collapsed="false">
      <c r="B5" s="6" t="s">
        <v>37</v>
      </c>
      <c r="C5" s="7"/>
      <c r="D5" s="7"/>
      <c r="E5" s="7"/>
      <c r="F5" s="7"/>
      <c r="G5" s="7"/>
    </row>
    <row r="6" customFormat="false" ht="15" hidden="false" customHeight="true" outlineLevel="0" collapsed="false">
      <c r="B6" s="17" t="s">
        <v>38</v>
      </c>
      <c r="C6" s="18" t="n">
        <v>10757500</v>
      </c>
      <c r="D6" s="16" t="s">
        <v>39</v>
      </c>
    </row>
    <row r="7" customFormat="false" ht="15" hidden="false" customHeight="true" outlineLevel="0" collapsed="false">
      <c r="B7" s="17" t="s">
        <v>40</v>
      </c>
      <c r="C7" s="18" t="n">
        <v>100</v>
      </c>
      <c r="D7" s="16" t="s">
        <v>41</v>
      </c>
    </row>
    <row r="8" customFormat="false" ht="15" hidden="false" customHeight="true" outlineLevel="0" collapsed="false">
      <c r="B8" s="19" t="s">
        <v>42</v>
      </c>
      <c r="C8" s="20" t="n">
        <f aca="false">IFERROR(ROUNDDOWN(C6/C7,0),"")</f>
        <v>107575</v>
      </c>
      <c r="D8" s="16" t="s">
        <v>43</v>
      </c>
    </row>
    <row r="9" customFormat="false" ht="15" hidden="false" customHeight="false" outlineLevel="0" collapsed="false">
      <c r="B9" s="19" t="s">
        <v>44</v>
      </c>
      <c r="C9" s="18" t="s">
        <v>45</v>
      </c>
      <c r="D9" s="16" t="s">
        <v>46</v>
      </c>
    </row>
    <row r="10" customFormat="false" ht="15" hidden="false" customHeight="true" outlineLevel="0" collapsed="false">
      <c r="B10" s="6" t="s">
        <v>47</v>
      </c>
      <c r="C10" s="7"/>
      <c r="D10" s="7"/>
      <c r="E10" s="7"/>
      <c r="F10" s="7"/>
      <c r="G10" s="7"/>
    </row>
    <row r="11" customFormat="false" ht="15" hidden="false" customHeight="true" outlineLevel="0" collapsed="false">
      <c r="B11" s="17" t="s">
        <v>48</v>
      </c>
      <c r="C11" s="21" t="n">
        <v>0.9</v>
      </c>
      <c r="D11" s="16" t="s">
        <v>49</v>
      </c>
    </row>
    <row r="12" customFormat="false" ht="15" hidden="false" customHeight="true" outlineLevel="0" collapsed="false">
      <c r="B12" s="17" t="s">
        <v>50</v>
      </c>
      <c r="C12" s="22" t="n">
        <f aca="false">NORMINV(1-(1-C11)/2,0,1)</f>
        <v>1.64485362695147</v>
      </c>
      <c r="D12" s="16" t="s">
        <v>51</v>
      </c>
    </row>
    <row r="13" customFormat="false" ht="15" hidden="false" customHeight="true" outlineLevel="0" collapsed="false">
      <c r="B13" s="17" t="s">
        <v>52</v>
      </c>
      <c r="C13" s="21" t="n">
        <v>0.2</v>
      </c>
      <c r="D13" s="16" t="s">
        <v>53</v>
      </c>
    </row>
    <row r="15" customFormat="false" ht="15" hidden="false" customHeight="true" outlineLevel="0" collapsed="false">
      <c r="B15" s="6" t="s">
        <v>54</v>
      </c>
      <c r="C15" s="7"/>
      <c r="D15" s="7"/>
      <c r="E15" s="7"/>
      <c r="F15" s="7"/>
      <c r="G15" s="7"/>
    </row>
    <row r="16" customFormat="false" ht="15" hidden="false" customHeight="true" outlineLevel="0" collapsed="false">
      <c r="B16" s="17" t="s">
        <v>55</v>
      </c>
      <c r="C16" s="13" t="s">
        <v>56</v>
      </c>
      <c r="D16" s="13"/>
      <c r="E16" s="13"/>
      <c r="F16" s="16" t="s">
        <v>57</v>
      </c>
    </row>
    <row r="17" customFormat="false" ht="15" hidden="false" customHeight="true" outlineLevel="0" collapsed="false">
      <c r="B17" s="17" t="s">
        <v>58</v>
      </c>
      <c r="C17" s="23" t="n">
        <v>30</v>
      </c>
      <c r="D17" s="16" t="s">
        <v>59</v>
      </c>
    </row>
    <row r="18" customFormat="false" ht="15" hidden="false" customHeight="true" outlineLevel="0" collapsed="false">
      <c r="B18" s="17" t="s">
        <v>60</v>
      </c>
      <c r="C18" s="24" t="n">
        <f aca="false" t="array" ref="C18">IF($C$16="Custom — enter my own mean and SD",$C$21,IF($C$17=100,INDEX('3 Priors'!$I$8:$I$35,MATCH($C$16,'3 Priors'!$B$8:$B$35,0)),INDEX('3 Priors'!$E$8:$E$35,MATCH($C$16,'3 Priors'!$B$8:$B$35,0))))</f>
        <v>24.8</v>
      </c>
    </row>
    <row r="19" customFormat="false" ht="15" hidden="false" customHeight="true" outlineLevel="0" collapsed="false">
      <c r="B19" s="25" t="s">
        <v>61</v>
      </c>
      <c r="C19" s="24" t="n">
        <f aca="false" t="array" ref="C19">IF($C$16="Custom — enter my own mean and SD",$C$22,IF($C$17=100,INDEX('3 Priors'!$J$8:$J$35,MATCH($C$16,'3 Priors'!$B$8:$B$35,0)),INDEX('3 Priors'!$F$8:$F$35,MATCH($C$16,'3 Priors'!$B$8:$B$35,0))))</f>
        <v>16.8</v>
      </c>
    </row>
    <row r="20" customFormat="false" ht="15" hidden="false" customHeight="true" outlineLevel="0" collapsed="false">
      <c r="B20" s="19" t="s">
        <v>62</v>
      </c>
      <c r="C20" s="26" t="n">
        <f aca="false">IFERROR(C19/C18,"")</f>
        <v>0.67741935483871</v>
      </c>
      <c r="D20" s="16" t="s">
        <v>63</v>
      </c>
    </row>
    <row r="21" customFormat="false" ht="15.75" hidden="false" customHeight="true" outlineLevel="0" collapsed="false">
      <c r="B21" s="17" t="s">
        <v>64</v>
      </c>
      <c r="C21" s="27" t="n">
        <v>24.8</v>
      </c>
    </row>
    <row r="22" customFormat="false" ht="15.75" hidden="false" customHeight="true" outlineLevel="0" collapsed="false">
      <c r="B22" s="17" t="s">
        <v>65</v>
      </c>
      <c r="C22" s="27" t="n">
        <v>16.8</v>
      </c>
    </row>
    <row r="23" customFormat="false" ht="15.75" hidden="false" customHeight="true" outlineLevel="0" collapsed="false"/>
    <row r="24" customFormat="false" ht="15.75" hidden="false" customHeight="true" outlineLevel="0" collapsed="false">
      <c r="B24" s="6" t="s">
        <v>66</v>
      </c>
      <c r="C24" s="7"/>
      <c r="D24" s="7"/>
      <c r="E24" s="7"/>
      <c r="F24" s="7"/>
      <c r="G24" s="7"/>
    </row>
    <row r="25" customFormat="false" ht="21.75" hidden="false" customHeight="true" outlineLevel="0" collapsed="false">
      <c r="B25" s="19" t="s">
        <v>67</v>
      </c>
      <c r="C25" s="28" t="n">
        <f aca="false">IFERROR(IF(UPPER(C9)="YES",ROUNDUP((C12^2*C8*C20^2)/((C8-1)*C13^2+C12^2*C20^2),0),ROUNDUP((C12*C20/C13)^2,0)),"")</f>
        <v>32</v>
      </c>
    </row>
    <row r="26" customFormat="false" ht="15.75" hidden="false" customHeight="true" outlineLevel="0" collapsed="false">
      <c r="B26" s="17" t="s">
        <v>68</v>
      </c>
      <c r="C26" s="29" t="n">
        <f aca="false">IFERROR(C25/C8,"")</f>
        <v>0.000297466883569603</v>
      </c>
      <c r="D26" s="16" t="s">
        <v>69</v>
      </c>
    </row>
    <row r="27" customFormat="false" ht="15.75" hidden="false" customHeight="true" outlineLevel="0" collapsed="false"/>
    <row r="28" customFormat="false" ht="15.75" hidden="false" customHeight="true" outlineLevel="0" collapsed="false">
      <c r="B28" s="30" t="str">
        <f aca="false">"Collect "&amp;C25&amp;" cores to estimate mean sediment carbon within ±"&amp;TEXT(C13,"0%")&amp;" at "&amp;TEXT(C11,"0%")&amp;" confidence."</f>
        <v>Collect 32 cores to estimate mean sediment carbon within ±20% at 90% confidence.</v>
      </c>
      <c r="C28" s="30"/>
      <c r="D28" s="30"/>
      <c r="E28" s="30"/>
      <c r="F28" s="30"/>
      <c r="G28" s="30"/>
    </row>
    <row r="29" customFormat="false" ht="15.75" hidden="false" customHeight="true" outlineLevel="0" collapsed="false"/>
    <row r="30" customFormat="false" ht="15" hidden="false" customHeight="true" outlineLevel="0" collapsed="false">
      <c r="B30" s="31" t="s">
        <v>70</v>
      </c>
      <c r="C30" s="31"/>
      <c r="D30" s="31"/>
      <c r="E30" s="31"/>
      <c r="F30" s="31"/>
      <c r="G30" s="31"/>
    </row>
    <row r="31" customFormat="false" ht="15.75" hidden="false" customHeight="true" outlineLevel="0" collapsed="false">
      <c r="B31" s="31"/>
      <c r="C31" s="31"/>
      <c r="D31" s="31"/>
      <c r="E31" s="31"/>
      <c r="F31" s="31"/>
      <c r="G31" s="31"/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C16:E16"/>
    <mergeCell ref="B28:G28"/>
    <mergeCell ref="B30:G31"/>
  </mergeCells>
  <dataValidations count="3">
    <dataValidation allowBlank="true" errorStyle="stop" operator="between" showDropDown="false" showErrorMessage="false" showInputMessage="false" sqref="C17" type="list">
      <formula1>"30,100"</formula1>
      <formula2>0</formula2>
    </dataValidation>
    <dataValidation allowBlank="true" errorStyle="stop" operator="between" showDropDown="false" showErrorMessage="false" showInputMessage="false" sqref="C16" type="list">
      <formula1>'3 Priors'!$B$8:$B$35</formula1>
      <formula2>0</formula2>
    </dataValidation>
    <dataValidation allowBlank="false" errorStyle="stop" operator="between" showDropDown="false" showErrorMessage="false" showInputMessage="false" sqref="C9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00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6" activeCellId="0" sqref="C6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8" min="3" style="1" width="16"/>
    <col collapsed="false" customWidth="true" hidden="false" outlineLevel="0" max="26" min="9" style="1" width="8.73"/>
  </cols>
  <sheetData>
    <row r="2" customFormat="false" ht="25.5" hidden="false" customHeight="true" outlineLevel="0" collapsed="false">
      <c r="B2" s="2" t="s">
        <v>71</v>
      </c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B3" s="16" t="s">
        <v>72</v>
      </c>
    </row>
    <row r="5" customFormat="false" ht="15" hidden="false" customHeight="true" outlineLevel="0" collapsed="false">
      <c r="B5" s="6" t="s">
        <v>73</v>
      </c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B6" s="17" t="s">
        <v>74</v>
      </c>
      <c r="C6" s="18" t="n">
        <v>100</v>
      </c>
    </row>
    <row r="7" customFormat="false" ht="15" hidden="false" customHeight="true" outlineLevel="0" collapsed="false">
      <c r="B7" s="17" t="s">
        <v>48</v>
      </c>
      <c r="C7" s="21" t="n">
        <v>0.9</v>
      </c>
    </row>
    <row r="8" customFormat="false" ht="15" hidden="false" customHeight="true" outlineLevel="0" collapsed="false">
      <c r="B8" s="17" t="s">
        <v>50</v>
      </c>
      <c r="C8" s="22" t="n">
        <f aca="false">NORMINV(1-(1-C7)/2,0,1)</f>
        <v>1.64485362695147</v>
      </c>
    </row>
    <row r="9" customFormat="false" ht="15" hidden="false" customHeight="true" outlineLevel="0" collapsed="false">
      <c r="B9" s="17" t="s">
        <v>52</v>
      </c>
      <c r="C9" s="21" t="n">
        <v>0.2</v>
      </c>
    </row>
    <row r="10" customFormat="false" ht="15" hidden="false" customHeight="true" outlineLevel="0" collapsed="false">
      <c r="B10" s="17" t="s">
        <v>75</v>
      </c>
      <c r="C10" s="23" t="n">
        <v>5</v>
      </c>
      <c r="D10" s="16" t="s">
        <v>76</v>
      </c>
    </row>
    <row r="11" customFormat="false" ht="15" hidden="false" customHeight="false" outlineLevel="0" collapsed="false">
      <c r="B11" s="17" t="s">
        <v>44</v>
      </c>
      <c r="C11" s="21" t="s">
        <v>45</v>
      </c>
      <c r="D11" s="16" t="s">
        <v>46</v>
      </c>
    </row>
    <row r="12" customFormat="false" ht="15" hidden="false" customHeight="true" outlineLevel="0" collapsed="false">
      <c r="B12" s="6" t="s">
        <v>77</v>
      </c>
      <c r="C12" s="7"/>
      <c r="D12" s="7"/>
      <c r="E12" s="7"/>
      <c r="F12" s="7"/>
      <c r="G12" s="7"/>
      <c r="H12" s="7"/>
    </row>
    <row r="13" customFormat="false" ht="15" hidden="false" customHeight="true" outlineLevel="0" collapsed="false">
      <c r="B13" s="32" t="s">
        <v>78</v>
      </c>
      <c r="C13" s="32" t="s">
        <v>79</v>
      </c>
      <c r="D13" s="32" t="s">
        <v>80</v>
      </c>
      <c r="E13" s="32" t="s">
        <v>81</v>
      </c>
      <c r="F13" s="32" t="s">
        <v>82</v>
      </c>
      <c r="G13" s="32" t="s">
        <v>83</v>
      </c>
    </row>
    <row r="14" customFormat="false" ht="15" hidden="false" customHeight="true" outlineLevel="0" collapsed="false">
      <c r="B14" s="13" t="s">
        <v>84</v>
      </c>
      <c r="C14" s="18" t="n">
        <v>7138000</v>
      </c>
      <c r="D14" s="27" t="n">
        <v>24.8</v>
      </c>
      <c r="E14" s="27" t="n">
        <v>16.8</v>
      </c>
      <c r="F14" s="26" t="n">
        <f aca="false">IFERROR(E14/D14,"")</f>
        <v>0.67741935483871</v>
      </c>
      <c r="G14" s="33" t="n">
        <f aca="false">IF(C14="","",MAX(CEILING($C$32*C14/$C$27,1),$C$10))</f>
        <v>22</v>
      </c>
    </row>
    <row r="15" customFormat="false" ht="15" hidden="false" customHeight="true" outlineLevel="0" collapsed="false">
      <c r="B15" s="13" t="s">
        <v>85</v>
      </c>
      <c r="C15" s="18" t="n">
        <v>3619500</v>
      </c>
      <c r="D15" s="27" t="n">
        <v>24.8</v>
      </c>
      <c r="E15" s="27" t="n">
        <v>16.8</v>
      </c>
      <c r="F15" s="26" t="n">
        <f aca="false">IFERROR(E15/D15,"")</f>
        <v>0.67741935483871</v>
      </c>
      <c r="G15" s="33" t="n">
        <f aca="false">IF(C15="","",MAX(CEILING($C$32*C15/$C$27,1),$C$10))</f>
        <v>11</v>
      </c>
    </row>
    <row r="16" customFormat="false" ht="15" hidden="false" customHeight="true" outlineLevel="0" collapsed="false">
      <c r="B16" s="13"/>
      <c r="C16" s="18"/>
      <c r="D16" s="27"/>
      <c r="E16" s="27"/>
      <c r="F16" s="26" t="str">
        <f aca="false">IFERROR(E16/D16,"")</f>
        <v/>
      </c>
      <c r="G16" s="33" t="str">
        <f aca="false">IF(C16="","",MAX(CEILING($C$32*C16/$C$27,1),$C$10))</f>
        <v/>
      </c>
    </row>
    <row r="17" customFormat="false" ht="15" hidden="false" customHeight="true" outlineLevel="0" collapsed="false">
      <c r="B17" s="13"/>
      <c r="C17" s="18"/>
      <c r="D17" s="27"/>
      <c r="E17" s="27"/>
      <c r="F17" s="26" t="str">
        <f aca="false">IFERROR(E17/D17,"")</f>
        <v/>
      </c>
      <c r="G17" s="33" t="str">
        <f aca="false">IF(C17="","",MAX(CEILING($C$32*C17/$C$27,1),$C$10))</f>
        <v/>
      </c>
    </row>
    <row r="18" customFormat="false" ht="15" hidden="false" customHeight="true" outlineLevel="0" collapsed="false">
      <c r="B18" s="13"/>
      <c r="C18" s="18"/>
      <c r="D18" s="27"/>
      <c r="E18" s="27"/>
      <c r="F18" s="26" t="str">
        <f aca="false">IFERROR(E18/D18,"")</f>
        <v/>
      </c>
      <c r="G18" s="33" t="str">
        <f aca="false">IF(C18="","",MAX(CEILING($C$32*C18/$C$27,1),$C$10))</f>
        <v/>
      </c>
    </row>
    <row r="19" customFormat="false" ht="15" hidden="false" customHeight="true" outlineLevel="0" collapsed="false">
      <c r="B19" s="13"/>
      <c r="C19" s="18"/>
      <c r="D19" s="27"/>
      <c r="E19" s="27"/>
      <c r="F19" s="26" t="str">
        <f aca="false">IFERROR(E19/D19,"")</f>
        <v/>
      </c>
      <c r="G19" s="33" t="str">
        <f aca="false">IF(C19="","",MAX(CEILING($C$32*C19/$C$27,1),$C$10))</f>
        <v/>
      </c>
    </row>
    <row r="20" customFormat="false" ht="15" hidden="false" customHeight="true" outlineLevel="0" collapsed="false">
      <c r="B20" s="13"/>
      <c r="C20" s="18"/>
      <c r="D20" s="27"/>
      <c r="E20" s="27"/>
      <c r="F20" s="26" t="str">
        <f aca="false">IFERROR(E20/D20,"")</f>
        <v/>
      </c>
      <c r="G20" s="33" t="str">
        <f aca="false">IF(C20="","",MAX(CEILING($C$32*C20/$C$27,1),$C$10))</f>
        <v/>
      </c>
    </row>
    <row r="21" customFormat="false" ht="15.75" hidden="false" customHeight="true" outlineLevel="0" collapsed="false">
      <c r="B21" s="13"/>
      <c r="C21" s="18"/>
      <c r="D21" s="27"/>
      <c r="E21" s="27"/>
      <c r="F21" s="26" t="str">
        <f aca="false">IFERROR(E21/D21,"")</f>
        <v/>
      </c>
      <c r="G21" s="33" t="str">
        <f aca="false">IF(C21="","",MAX(CEILING($C$32*C21/$C$27,1),$C$10))</f>
        <v/>
      </c>
    </row>
    <row r="22" customFormat="false" ht="15.75" hidden="false" customHeight="true" outlineLevel="0" collapsed="false">
      <c r="B22" s="13"/>
      <c r="C22" s="18"/>
      <c r="D22" s="27"/>
      <c r="E22" s="27"/>
      <c r="F22" s="26" t="str">
        <f aca="false">IFERROR(E22/D22,"")</f>
        <v/>
      </c>
      <c r="G22" s="33" t="str">
        <f aca="false">IF(C22="","",MAX(CEILING($C$32*C22/$C$27,1),$C$10))</f>
        <v/>
      </c>
    </row>
    <row r="23" customFormat="false" ht="15.75" hidden="false" customHeight="true" outlineLevel="0" collapsed="false">
      <c r="B23" s="13"/>
      <c r="C23" s="18"/>
      <c r="D23" s="27"/>
      <c r="E23" s="27"/>
      <c r="F23" s="26" t="str">
        <f aca="false">IFERROR(E23/D23,"")</f>
        <v/>
      </c>
      <c r="G23" s="33" t="str">
        <f aca="false">IF(C23="","",MAX(CEILING($C$32*C23/$C$27,1),$C$10))</f>
        <v/>
      </c>
    </row>
    <row r="24" customFormat="false" ht="15.75" hidden="false" customHeight="true" outlineLevel="0" collapsed="false"/>
    <row r="25" customFormat="false" ht="15.75" hidden="false" customHeight="true" outlineLevel="0" collapsed="false">
      <c r="B25" s="10" t="s">
        <v>86</v>
      </c>
      <c r="C25" s="20" t="n">
        <f aca="false">SUM(C14:C23)</f>
        <v>10757500</v>
      </c>
      <c r="G25" s="33" t="n">
        <f aca="false">SUM(G14:G23)</f>
        <v>33</v>
      </c>
    </row>
    <row r="26" customFormat="false" ht="15.75" hidden="false" customHeight="true" outlineLevel="0" collapsed="false"/>
    <row r="27" customFormat="false" ht="15.75" hidden="false" customHeight="true" outlineLevel="0" collapsed="false">
      <c r="B27" s="34" t="s">
        <v>87</v>
      </c>
      <c r="C27" s="20" t="n">
        <f aca="false">SUM(C14:C23)</f>
        <v>10757500</v>
      </c>
      <c r="D27" s="7"/>
      <c r="E27" s="7"/>
      <c r="F27" s="7"/>
      <c r="G27" s="7"/>
      <c r="H27" s="7"/>
    </row>
    <row r="28" customFormat="false" ht="15.75" hidden="false" customHeight="true" outlineLevel="0" collapsed="false">
      <c r="B28" s="17" t="s">
        <v>42</v>
      </c>
      <c r="C28" s="20" t="n">
        <f aca="false">IFERROR(ROUNDDOWN(C27/C6,0),"")</f>
        <v>107575</v>
      </c>
    </row>
    <row r="29" customFormat="false" ht="15.75" hidden="false" customHeight="true" outlineLevel="0" collapsed="false">
      <c r="B29" s="17" t="s">
        <v>88</v>
      </c>
      <c r="C29" s="24" t="n">
        <f aca="false">IFERROR(SUMPRODUCT(C14:C23,D14:D23)/C27,"")</f>
        <v>24.8</v>
      </c>
    </row>
    <row r="30" customFormat="false" ht="15.75" hidden="false" customHeight="true" outlineLevel="0" collapsed="false">
      <c r="B30" s="17" t="s">
        <v>89</v>
      </c>
      <c r="C30" s="26" t="n">
        <f aca="false">IFERROR(SUMPRODUCT(C14:C23,(E14:E23)^2)/C27,"")</f>
        <v>282.24</v>
      </c>
    </row>
    <row r="31" customFormat="false" ht="15.75" hidden="false" customHeight="true" outlineLevel="0" collapsed="false">
      <c r="B31" s="17" t="s">
        <v>90</v>
      </c>
      <c r="C31" s="22" t="n">
        <f aca="false">IFERROR(C30/C29^2,"")</f>
        <v>0.458896982310094</v>
      </c>
    </row>
    <row r="32" customFormat="false" ht="15.75" hidden="false" customHeight="true" outlineLevel="0" collapsed="false">
      <c r="B32" s="19" t="s">
        <v>91</v>
      </c>
      <c r="C32" s="33" t="n">
        <f aca="false">IFERROR(IF(UPPER(C11)="YES",ROUNDUP((C8^2*C28*C31)/((C28-1)*C9^2+C8^2*C31),0),ROUNDUP(C8^2*C31/C9^2,0)),"")</f>
        <v>32</v>
      </c>
    </row>
    <row r="33" customFormat="false" ht="15.75" hidden="false" customHeight="true" outlineLevel="0" collapsed="false">
      <c r="B33" s="19" t="s">
        <v>92</v>
      </c>
      <c r="C33" s="28" t="n">
        <f aca="false">G25</f>
        <v>33</v>
      </c>
    </row>
    <row r="34" customFormat="false" ht="15.75" hidden="false" customHeight="true" outlineLevel="0" collapsed="false"/>
    <row r="35" customFormat="false" ht="15" hidden="false" customHeight="true" outlineLevel="0" collapsed="false">
      <c r="B35" s="31" t="s">
        <v>93</v>
      </c>
      <c r="C35" s="31"/>
      <c r="D35" s="31"/>
      <c r="E35" s="31"/>
      <c r="F35" s="31"/>
      <c r="G35" s="31"/>
      <c r="H35" s="31"/>
    </row>
    <row r="36" customFormat="false" ht="15.75" hidden="false" customHeight="true" outlineLevel="0" collapsed="false">
      <c r="B36" s="31"/>
      <c r="C36" s="31"/>
      <c r="D36" s="31"/>
      <c r="E36" s="31"/>
      <c r="F36" s="31"/>
      <c r="G36" s="31"/>
      <c r="H36" s="31"/>
    </row>
    <row r="37" customFormat="false" ht="15.75" hidden="false" customHeight="true" outlineLevel="0" collapsed="false"/>
    <row r="38" customFormat="false" ht="15.75" hidden="false" customHeight="true" outlineLevel="0" collapsed="false">
      <c r="B38" s="16" t="s">
        <v>94</v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35:H36"/>
  </mergeCells>
  <dataValidations count="1">
    <dataValidation allowBlank="false" errorStyle="stop" operator="between" showDropDown="false" showErrorMessage="false" showInputMessage="false" sqref="C11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B8" activeCellId="0" sqref="B8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7"/>
    <col collapsed="false" customWidth="true" hidden="false" outlineLevel="0" max="4" min="4" style="1" width="18"/>
    <col collapsed="false" customWidth="true" hidden="false" outlineLevel="0" max="12" min="5" style="1" width="11"/>
    <col collapsed="false" customWidth="true" hidden="false" outlineLevel="0" max="26" min="13" style="1" width="8.73"/>
  </cols>
  <sheetData>
    <row r="2" customFormat="false" ht="25.5" hidden="false" customHeight="true" outlineLevel="0" collapsed="false">
      <c r="B2" s="2" t="s">
        <v>95</v>
      </c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B4" s="5" t="s">
        <v>96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15" hidden="false" customHeight="true" outlineLevel="0" collapsed="false"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true" outlineLevel="0" collapsed="false">
      <c r="B6" s="12" t="s">
        <v>97</v>
      </c>
      <c r="C6" s="12"/>
      <c r="D6" s="12"/>
      <c r="E6" s="12"/>
      <c r="F6" s="12"/>
      <c r="G6" s="12"/>
      <c r="H6" s="12"/>
      <c r="I6" s="12"/>
      <c r="J6" s="12"/>
      <c r="K6" s="12"/>
      <c r="L6" s="12"/>
    </row>
    <row r="7" customFormat="false" ht="31.5" hidden="false" customHeight="true" outlineLevel="0" collapsed="false">
      <c r="B7" s="35" t="s">
        <v>98</v>
      </c>
      <c r="C7" s="35" t="s">
        <v>99</v>
      </c>
      <c r="D7" s="35" t="s">
        <v>100</v>
      </c>
      <c r="E7" s="35" t="s">
        <v>101</v>
      </c>
      <c r="F7" s="35" t="s">
        <v>102</v>
      </c>
      <c r="G7" s="35" t="s">
        <v>103</v>
      </c>
      <c r="H7" s="35" t="s">
        <v>104</v>
      </c>
      <c r="I7" s="35" t="s">
        <v>105</v>
      </c>
      <c r="J7" s="35" t="s">
        <v>106</v>
      </c>
      <c r="K7" s="35" t="s">
        <v>107</v>
      </c>
      <c r="L7" s="35" t="s">
        <v>104</v>
      </c>
    </row>
    <row r="8" customFormat="false" ht="15" hidden="false" customHeight="true" outlineLevel="0" collapsed="false">
      <c r="B8" s="36" t="s">
        <v>56</v>
      </c>
      <c r="C8" s="37"/>
      <c r="D8" s="37"/>
      <c r="E8" s="37"/>
      <c r="F8" s="37"/>
      <c r="G8" s="37"/>
      <c r="H8" s="37"/>
      <c r="I8" s="37"/>
      <c r="J8" s="37"/>
      <c r="K8" s="37"/>
      <c r="L8" s="37"/>
    </row>
    <row r="9" customFormat="false" ht="15" hidden="false" customHeight="true" outlineLevel="0" collapsed="false">
      <c r="B9" s="38" t="s">
        <v>108</v>
      </c>
      <c r="C9" s="38" t="s">
        <v>109</v>
      </c>
      <c r="D9" s="38" t="s">
        <v>110</v>
      </c>
      <c r="E9" s="39" t="n">
        <v>85.7</v>
      </c>
      <c r="F9" s="39" t="n">
        <v>34</v>
      </c>
      <c r="G9" s="40" t="n">
        <f aca="false">IFERROR(F9/E9,"")</f>
        <v>0.396732788798133</v>
      </c>
      <c r="H9" s="41" t="n">
        <v>19</v>
      </c>
      <c r="I9" s="39" t="n">
        <v>319</v>
      </c>
      <c r="J9" s="39" t="n">
        <v>67.8</v>
      </c>
      <c r="K9" s="40" t="n">
        <f aca="false">IFERROR(J9/I9,"")</f>
        <v>0.212539184952978</v>
      </c>
      <c r="L9" s="41" t="n">
        <v>4</v>
      </c>
    </row>
    <row r="10" customFormat="false" ht="15" hidden="false" customHeight="true" outlineLevel="0" collapsed="false">
      <c r="B10" s="38" t="s">
        <v>111</v>
      </c>
      <c r="C10" s="38" t="s">
        <v>109</v>
      </c>
      <c r="D10" s="38" t="s">
        <v>112</v>
      </c>
      <c r="E10" s="39" t="n">
        <v>85.5</v>
      </c>
      <c r="F10" s="39" t="n">
        <v>35</v>
      </c>
      <c r="G10" s="40" t="n">
        <f aca="false">IFERROR(F10/E10,"")</f>
        <v>0.409356725146199</v>
      </c>
      <c r="H10" s="41" t="n">
        <v>696</v>
      </c>
      <c r="I10" s="39" t="n">
        <v>244.5</v>
      </c>
      <c r="J10" s="39" t="n">
        <v>100.3</v>
      </c>
      <c r="K10" s="40" t="n">
        <f aca="false">IFERROR(J10/I10,"")</f>
        <v>0.410224948875256</v>
      </c>
      <c r="L10" s="41" t="n">
        <v>357</v>
      </c>
    </row>
    <row r="11" customFormat="false" ht="15" hidden="false" customHeight="true" outlineLevel="0" collapsed="false">
      <c r="B11" s="38" t="s">
        <v>113</v>
      </c>
      <c r="C11" s="38" t="s">
        <v>109</v>
      </c>
      <c r="D11" s="38" t="s">
        <v>114</v>
      </c>
      <c r="E11" s="39" t="n">
        <v>75.7</v>
      </c>
      <c r="F11" s="39" t="n">
        <v>43</v>
      </c>
      <c r="G11" s="40" t="n">
        <f aca="false">IFERROR(F11/E11,"")</f>
        <v>0.568031704095112</v>
      </c>
      <c r="H11" s="41" t="n">
        <v>40</v>
      </c>
      <c r="I11" s="39" t="n">
        <v>195.9</v>
      </c>
      <c r="J11" s="39" t="n">
        <v>104.3</v>
      </c>
      <c r="K11" s="40" t="n">
        <f aca="false">IFERROR(J11/I11,"")</f>
        <v>0.532414497192445</v>
      </c>
      <c r="L11" s="41" t="n">
        <v>6</v>
      </c>
    </row>
    <row r="12" customFormat="false" ht="15" hidden="false" customHeight="true" outlineLevel="0" collapsed="false">
      <c r="B12" s="38" t="s">
        <v>115</v>
      </c>
      <c r="C12" s="38" t="s">
        <v>109</v>
      </c>
      <c r="D12" s="38" t="s">
        <v>116</v>
      </c>
      <c r="E12" s="39" t="n">
        <v>84.9</v>
      </c>
      <c r="F12" s="39" t="n">
        <v>37.3</v>
      </c>
      <c r="G12" s="40" t="n">
        <f aca="false">IFERROR(F12/E12,"")</f>
        <v>0.439340400471143</v>
      </c>
      <c r="H12" s="41" t="n">
        <v>75</v>
      </c>
      <c r="I12" s="39" t="n">
        <v>232.7</v>
      </c>
      <c r="J12" s="39" t="n">
        <v>96.9</v>
      </c>
      <c r="K12" s="40" t="n">
        <f aca="false">IFERROR(J12/I12,"")</f>
        <v>0.416415986248389</v>
      </c>
      <c r="L12" s="41" t="n">
        <v>33</v>
      </c>
    </row>
    <row r="13" customFormat="false" ht="15" hidden="false" customHeight="true" outlineLevel="0" collapsed="false">
      <c r="B13" s="38" t="s">
        <v>117</v>
      </c>
      <c r="C13" s="38" t="s">
        <v>109</v>
      </c>
      <c r="D13" s="38" t="s">
        <v>118</v>
      </c>
      <c r="E13" s="39" t="n">
        <v>83.8</v>
      </c>
      <c r="F13" s="39" t="n">
        <v>31.1</v>
      </c>
      <c r="G13" s="40" t="n">
        <f aca="false">IFERROR(F13/E13,"")</f>
        <v>0.371121718377088</v>
      </c>
      <c r="H13" s="41" t="n">
        <v>299</v>
      </c>
      <c r="I13" s="39" t="n">
        <v>257.2</v>
      </c>
      <c r="J13" s="39" t="n">
        <v>107</v>
      </c>
      <c r="K13" s="40" t="n">
        <f aca="false">IFERROR(J13/I13,"")</f>
        <v>0.41601866251944</v>
      </c>
      <c r="L13" s="41" t="n">
        <v>188</v>
      </c>
    </row>
    <row r="14" customFormat="false" ht="15" hidden="false" customHeight="true" outlineLevel="0" collapsed="false">
      <c r="B14" s="38" t="s">
        <v>119</v>
      </c>
      <c r="C14" s="38" t="s">
        <v>109</v>
      </c>
      <c r="D14" s="38" t="s">
        <v>120</v>
      </c>
      <c r="E14" s="39" t="n">
        <v>67.3</v>
      </c>
      <c r="F14" s="39" t="n">
        <v>32.6</v>
      </c>
      <c r="G14" s="40" t="n">
        <f aca="false">IFERROR(F14/E14,"")</f>
        <v>0.484398216939079</v>
      </c>
      <c r="H14" s="41" t="n">
        <v>6</v>
      </c>
      <c r="I14" s="39" t="n">
        <v>293.6</v>
      </c>
      <c r="J14" s="39" t="n">
        <v>95.3</v>
      </c>
      <c r="K14" s="40" t="n">
        <f aca="false">IFERROR(J14/I14,"")</f>
        <v>0.324591280653951</v>
      </c>
      <c r="L14" s="41" t="n">
        <v>6</v>
      </c>
    </row>
    <row r="15" customFormat="false" ht="15" hidden="false" customHeight="true" outlineLevel="0" collapsed="false">
      <c r="B15" s="38" t="s">
        <v>121</v>
      </c>
      <c r="C15" s="38" t="s">
        <v>109</v>
      </c>
      <c r="D15" s="38" t="s">
        <v>122</v>
      </c>
      <c r="E15" s="39" t="n">
        <v>101.2</v>
      </c>
      <c r="F15" s="39" t="n">
        <v>33.2</v>
      </c>
      <c r="G15" s="40" t="n">
        <f aca="false">IFERROR(F15/E15,"")</f>
        <v>0.328063241106719</v>
      </c>
      <c r="H15" s="41" t="n">
        <v>152</v>
      </c>
      <c r="I15" s="39" t="n">
        <v>252.8</v>
      </c>
      <c r="J15" s="39" t="n">
        <v>76</v>
      </c>
      <c r="K15" s="40" t="n">
        <f aca="false">IFERROR(J15/I15,"")</f>
        <v>0.300632911392405</v>
      </c>
      <c r="L15" s="41" t="n">
        <v>59</v>
      </c>
    </row>
    <row r="16" customFormat="false" ht="15" hidden="false" customHeight="true" outlineLevel="0" collapsed="false">
      <c r="B16" s="38" t="s">
        <v>123</v>
      </c>
      <c r="C16" s="38" t="s">
        <v>109</v>
      </c>
      <c r="D16" s="38" t="s">
        <v>124</v>
      </c>
      <c r="E16" s="39" t="n">
        <v>73</v>
      </c>
      <c r="F16" s="39" t="n">
        <v>36</v>
      </c>
      <c r="G16" s="40" t="n">
        <f aca="false">IFERROR(F16/E16,"")</f>
        <v>0.493150684931507</v>
      </c>
      <c r="H16" s="41" t="n">
        <v>105</v>
      </c>
      <c r="I16" s="39" t="n">
        <v>199</v>
      </c>
      <c r="J16" s="39" t="n">
        <v>89.2</v>
      </c>
      <c r="K16" s="40" t="n">
        <f aca="false">IFERROR(J16/I16,"")</f>
        <v>0.448241206030151</v>
      </c>
      <c r="L16" s="41" t="n">
        <v>61</v>
      </c>
    </row>
    <row r="17" customFormat="false" ht="15" hidden="false" customHeight="true" outlineLevel="0" collapsed="false">
      <c r="B17" s="38" t="s">
        <v>125</v>
      </c>
      <c r="C17" s="38" t="s">
        <v>126</v>
      </c>
      <c r="D17" s="38" t="s">
        <v>112</v>
      </c>
      <c r="E17" s="39" t="n">
        <v>107.5</v>
      </c>
      <c r="F17" s="39" t="n">
        <v>83.6</v>
      </c>
      <c r="G17" s="40" t="n">
        <f aca="false">IFERROR(F17/E17,"")</f>
        <v>0.777674418604651</v>
      </c>
      <c r="H17" s="41" t="n">
        <v>181</v>
      </c>
      <c r="I17" s="39" t="n">
        <v>356.5</v>
      </c>
      <c r="J17" s="39" t="n">
        <v>229.7</v>
      </c>
      <c r="K17" s="40" t="n">
        <f aca="false">IFERROR(J17/I17,"")</f>
        <v>0.644319775596073</v>
      </c>
      <c r="L17" s="41" t="n">
        <v>90</v>
      </c>
    </row>
    <row r="18" customFormat="false" ht="15" hidden="false" customHeight="true" outlineLevel="0" collapsed="false">
      <c r="B18" s="38" t="s">
        <v>127</v>
      </c>
      <c r="C18" s="38" t="s">
        <v>126</v>
      </c>
      <c r="D18" s="38" t="s">
        <v>114</v>
      </c>
      <c r="E18" s="39" t="n">
        <v>104.9</v>
      </c>
      <c r="F18" s="39" t="n">
        <v>99.5</v>
      </c>
      <c r="G18" s="40" t="n">
        <f aca="false">IFERROR(F18/E18,"")</f>
        <v>0.948522402287893</v>
      </c>
      <c r="H18" s="41" t="n">
        <v>109</v>
      </c>
      <c r="I18" s="39" t="n">
        <v>341.6</v>
      </c>
      <c r="J18" s="39" t="n">
        <v>296.2</v>
      </c>
      <c r="K18" s="40" t="n">
        <f aca="false">IFERROR(J18/I18,"")</f>
        <v>0.867096018735363</v>
      </c>
      <c r="L18" s="41" t="n">
        <v>39</v>
      </c>
    </row>
    <row r="19" customFormat="false" ht="15" hidden="false" customHeight="true" outlineLevel="0" collapsed="false">
      <c r="B19" s="38" t="s">
        <v>128</v>
      </c>
      <c r="C19" s="38" t="s">
        <v>126</v>
      </c>
      <c r="D19" s="38" t="s">
        <v>120</v>
      </c>
      <c r="E19" s="39" t="n">
        <v>111.3</v>
      </c>
      <c r="F19" s="39" t="n">
        <v>51.6</v>
      </c>
      <c r="G19" s="40" t="n">
        <f aca="false">IFERROR(F19/E19,"")</f>
        <v>0.463611859838275</v>
      </c>
      <c r="H19" s="41" t="n">
        <v>72</v>
      </c>
      <c r="I19" s="39" t="n">
        <v>367.9</v>
      </c>
      <c r="J19" s="39" t="n">
        <v>164.1</v>
      </c>
      <c r="K19" s="40" t="n">
        <f aca="false">IFERROR(J19/I19,"")</f>
        <v>0.446045120956782</v>
      </c>
      <c r="L19" s="41" t="n">
        <v>51</v>
      </c>
    </row>
    <row r="20" customFormat="false" ht="15" hidden="false" customHeight="true" outlineLevel="0" collapsed="false">
      <c r="B20" s="42" t="s">
        <v>129</v>
      </c>
      <c r="C20" s="42" t="s">
        <v>130</v>
      </c>
      <c r="D20" s="42" t="s">
        <v>110</v>
      </c>
      <c r="E20" s="43" t="n">
        <v>45.3</v>
      </c>
      <c r="F20" s="43" t="n">
        <v>28.7</v>
      </c>
      <c r="G20" s="44" t="n">
        <f aca="false">IFERROR(F20/E20,"")</f>
        <v>0.63355408388521</v>
      </c>
      <c r="H20" s="45" t="n">
        <v>20</v>
      </c>
      <c r="I20" s="45"/>
      <c r="J20" s="45"/>
      <c r="K20" s="45"/>
      <c r="L20" s="45" t="n">
        <v>0</v>
      </c>
    </row>
    <row r="21" customFormat="false" ht="15.75" hidden="false" customHeight="true" outlineLevel="0" collapsed="false">
      <c r="B21" s="42" t="s">
        <v>131</v>
      </c>
      <c r="C21" s="42" t="s">
        <v>130</v>
      </c>
      <c r="D21" s="42" t="s">
        <v>112</v>
      </c>
      <c r="E21" s="43" t="n">
        <v>23.8</v>
      </c>
      <c r="F21" s="43" t="n">
        <v>18.4</v>
      </c>
      <c r="G21" s="44" t="n">
        <f aca="false">IFERROR(F21/E21,"")</f>
        <v>0.773109243697479</v>
      </c>
      <c r="H21" s="45" t="n">
        <v>256</v>
      </c>
      <c r="I21" s="43" t="n">
        <v>68.3</v>
      </c>
      <c r="J21" s="43" t="n">
        <v>42.5</v>
      </c>
      <c r="K21" s="44" t="n">
        <f aca="false">IFERROR(J21/I21,"")</f>
        <v>0.622254758418741</v>
      </c>
      <c r="L21" s="45" t="n">
        <v>78</v>
      </c>
    </row>
    <row r="22" customFormat="false" ht="15.75" hidden="false" customHeight="true" outlineLevel="0" collapsed="false">
      <c r="B22" s="42" t="s">
        <v>132</v>
      </c>
      <c r="C22" s="42" t="s">
        <v>130</v>
      </c>
      <c r="D22" s="42" t="s">
        <v>114</v>
      </c>
      <c r="E22" s="43" t="n">
        <v>22</v>
      </c>
      <c r="F22" s="43" t="n">
        <v>8.1</v>
      </c>
      <c r="G22" s="44" t="n">
        <f aca="false">IFERROR(F22/E22,"")</f>
        <v>0.368181818181818</v>
      </c>
      <c r="H22" s="45" t="n">
        <v>10</v>
      </c>
      <c r="I22" s="45"/>
      <c r="J22" s="45"/>
      <c r="K22" s="45"/>
      <c r="L22" s="45" t="n">
        <v>2</v>
      </c>
    </row>
    <row r="23" customFormat="false" ht="15.75" hidden="false" customHeight="true" outlineLevel="0" collapsed="false">
      <c r="B23" s="42" t="s">
        <v>133</v>
      </c>
      <c r="C23" s="42" t="s">
        <v>130</v>
      </c>
      <c r="D23" s="42" t="s">
        <v>116</v>
      </c>
      <c r="E23" s="43" t="n">
        <v>20.6</v>
      </c>
      <c r="F23" s="43" t="n">
        <v>11.9</v>
      </c>
      <c r="G23" s="44" t="n">
        <f aca="false">IFERROR(F23/E23,"")</f>
        <v>0.577669902912621</v>
      </c>
      <c r="H23" s="45" t="n">
        <v>79</v>
      </c>
      <c r="I23" s="43" t="n">
        <v>60.9</v>
      </c>
      <c r="J23" s="43" t="n">
        <v>57.8</v>
      </c>
      <c r="K23" s="44" t="n">
        <f aca="false">IFERROR(J23/I23,"")</f>
        <v>0.949096880131363</v>
      </c>
      <c r="L23" s="45" t="n">
        <v>3</v>
      </c>
    </row>
    <row r="24" customFormat="false" ht="15.75" hidden="false" customHeight="true" outlineLevel="0" collapsed="false">
      <c r="B24" s="42" t="s">
        <v>134</v>
      </c>
      <c r="C24" s="42" t="s">
        <v>130</v>
      </c>
      <c r="D24" s="42" t="s">
        <v>118</v>
      </c>
      <c r="E24" s="43" t="n">
        <v>21.8</v>
      </c>
      <c r="F24" s="43" t="n">
        <v>22.8</v>
      </c>
      <c r="G24" s="44" t="n">
        <f aca="false">IFERROR(F24/E24,"")</f>
        <v>1.04587155963303</v>
      </c>
      <c r="H24" s="45" t="n">
        <v>71</v>
      </c>
      <c r="I24" s="43" t="n">
        <v>48.5</v>
      </c>
      <c r="J24" s="43" t="n">
        <v>33.4</v>
      </c>
      <c r="K24" s="44" t="n">
        <f aca="false">IFERROR(J24/I24,"")</f>
        <v>0.688659793814433</v>
      </c>
      <c r="L24" s="45" t="n">
        <v>34</v>
      </c>
    </row>
    <row r="25" customFormat="false" ht="15.75" hidden="false" customHeight="true" outlineLevel="0" collapsed="false">
      <c r="B25" s="42" t="s">
        <v>135</v>
      </c>
      <c r="C25" s="42" t="s">
        <v>130</v>
      </c>
      <c r="D25" s="42" t="s">
        <v>122</v>
      </c>
      <c r="E25" s="43" t="n">
        <v>35.8</v>
      </c>
      <c r="F25" s="43" t="n">
        <v>12.7</v>
      </c>
      <c r="G25" s="44" t="n">
        <f aca="false">IFERROR(F25/E25,"")</f>
        <v>0.354748603351955</v>
      </c>
      <c r="H25" s="45" t="n">
        <v>27</v>
      </c>
      <c r="I25" s="43" t="n">
        <v>113.5</v>
      </c>
      <c r="J25" s="43" t="n">
        <v>29.8</v>
      </c>
      <c r="K25" s="44" t="n">
        <f aca="false">IFERROR(J25/I25,"")</f>
        <v>0.262555066079295</v>
      </c>
      <c r="L25" s="45" t="n">
        <v>24</v>
      </c>
    </row>
    <row r="26" customFormat="false" ht="15.75" hidden="false" customHeight="true" outlineLevel="0" collapsed="false">
      <c r="B26" s="42" t="s">
        <v>136</v>
      </c>
      <c r="C26" s="42" t="s">
        <v>130</v>
      </c>
      <c r="D26" s="42" t="s">
        <v>124</v>
      </c>
      <c r="E26" s="43" t="n">
        <v>17.1</v>
      </c>
      <c r="F26" s="43" t="n">
        <v>6.9</v>
      </c>
      <c r="G26" s="44" t="n">
        <f aca="false">IFERROR(F26/E26,"")</f>
        <v>0.403508771929825</v>
      </c>
      <c r="H26" s="45" t="n">
        <v>49</v>
      </c>
      <c r="I26" s="43" t="n">
        <v>48.3</v>
      </c>
      <c r="J26" s="43" t="n">
        <v>14</v>
      </c>
      <c r="K26" s="44" t="n">
        <f aca="false">IFERROR(J26/I26,"")</f>
        <v>0.289855072463768</v>
      </c>
      <c r="L26" s="45" t="n">
        <v>15</v>
      </c>
    </row>
    <row r="27" customFormat="false" ht="15.75" hidden="false" customHeight="true" outlineLevel="0" collapsed="false">
      <c r="B27" s="38" t="s">
        <v>137</v>
      </c>
      <c r="C27" s="38" t="s">
        <v>138</v>
      </c>
      <c r="D27" s="38" t="s">
        <v>112</v>
      </c>
      <c r="E27" s="39" t="n">
        <v>113.4</v>
      </c>
      <c r="F27" s="39" t="n">
        <v>38.3</v>
      </c>
      <c r="G27" s="40" t="n">
        <f aca="false">IFERROR(F27/E27,"")</f>
        <v>0.337742504409171</v>
      </c>
      <c r="H27" s="41" t="n">
        <v>67</v>
      </c>
      <c r="I27" s="39" t="n">
        <v>354.7</v>
      </c>
      <c r="J27" s="39" t="n">
        <v>103.9</v>
      </c>
      <c r="K27" s="40" t="n">
        <f aca="false">IFERROR(J27/I27,"")</f>
        <v>0.292923597406259</v>
      </c>
      <c r="L27" s="41" t="n">
        <v>41</v>
      </c>
    </row>
    <row r="28" customFormat="false" ht="15.75" hidden="false" customHeight="true" outlineLevel="0" collapsed="false">
      <c r="B28" s="38" t="s">
        <v>139</v>
      </c>
      <c r="C28" s="38" t="s">
        <v>138</v>
      </c>
      <c r="D28" s="38" t="s">
        <v>118</v>
      </c>
      <c r="E28" s="39" t="n">
        <v>124.2</v>
      </c>
      <c r="F28" s="39" t="n">
        <v>23</v>
      </c>
      <c r="G28" s="40" t="n">
        <f aca="false">IFERROR(F28/E28,"")</f>
        <v>0.185185185185185</v>
      </c>
      <c r="H28" s="41" t="n">
        <v>5</v>
      </c>
      <c r="I28" s="41"/>
      <c r="J28" s="41"/>
      <c r="K28" s="41"/>
      <c r="L28" s="41" t="n">
        <v>2</v>
      </c>
    </row>
    <row r="29" customFormat="false" ht="15.75" hidden="false" customHeight="true" outlineLevel="0" collapsed="false">
      <c r="B29" s="38" t="s">
        <v>140</v>
      </c>
      <c r="C29" s="38" t="s">
        <v>138</v>
      </c>
      <c r="D29" s="38" t="s">
        <v>122</v>
      </c>
      <c r="E29" s="39" t="n">
        <v>137</v>
      </c>
      <c r="F29" s="39" t="n">
        <v>46.1</v>
      </c>
      <c r="G29" s="40" t="n">
        <f aca="false">IFERROR(F29/E29,"")</f>
        <v>0.336496350364964</v>
      </c>
      <c r="H29" s="41" t="n">
        <v>20</v>
      </c>
      <c r="I29" s="39" t="n">
        <v>381.7</v>
      </c>
      <c r="J29" s="39" t="n">
        <v>76.4</v>
      </c>
      <c r="K29" s="40" t="n">
        <f aca="false">IFERROR(J29/I29,"")</f>
        <v>0.200157191511658</v>
      </c>
      <c r="L29" s="41" t="n">
        <v>12</v>
      </c>
    </row>
    <row r="30" customFormat="false" ht="15.75" hidden="false" customHeight="true" outlineLevel="0" collapsed="false">
      <c r="B30" s="38" t="s">
        <v>141</v>
      </c>
      <c r="C30" s="38" t="s">
        <v>138</v>
      </c>
      <c r="D30" s="38" t="s">
        <v>124</v>
      </c>
      <c r="E30" s="39" t="n">
        <v>100.8</v>
      </c>
      <c r="F30" s="39" t="n">
        <v>29.7</v>
      </c>
      <c r="G30" s="40" t="n">
        <f aca="false">IFERROR(F30/E30,"")</f>
        <v>0.294642857142857</v>
      </c>
      <c r="H30" s="41" t="n">
        <v>42</v>
      </c>
      <c r="I30" s="39" t="n">
        <v>346</v>
      </c>
      <c r="J30" s="39" t="n">
        <v>114.9</v>
      </c>
      <c r="K30" s="40" t="n">
        <f aca="false">IFERROR(J30/I30,"")</f>
        <v>0.332080924855491</v>
      </c>
      <c r="L30" s="41" t="n">
        <v>27</v>
      </c>
    </row>
    <row r="31" customFormat="false" ht="15.75" hidden="false" customHeight="true" outlineLevel="0" collapsed="false">
      <c r="B31" s="38" t="s">
        <v>142</v>
      </c>
      <c r="C31" s="38" t="s">
        <v>143</v>
      </c>
      <c r="D31" s="38" t="s">
        <v>112</v>
      </c>
      <c r="E31" s="39" t="n">
        <v>33.1</v>
      </c>
      <c r="F31" s="39" t="n">
        <v>21.5</v>
      </c>
      <c r="G31" s="40" t="n">
        <f aca="false">IFERROR(F31/E31,"")</f>
        <v>0.649546827794562</v>
      </c>
      <c r="H31" s="41" t="n">
        <v>84</v>
      </c>
      <c r="I31" s="39" t="n">
        <v>148.2</v>
      </c>
      <c r="J31" s="39" t="n">
        <v>93.2</v>
      </c>
      <c r="K31" s="40" t="n">
        <f aca="false">IFERROR(J31/I31,"")</f>
        <v>0.628879892037787</v>
      </c>
      <c r="L31" s="41" t="n">
        <v>26</v>
      </c>
    </row>
    <row r="32" customFormat="false" ht="15.75" hidden="false" customHeight="true" outlineLevel="0" collapsed="false">
      <c r="B32" s="38" t="s">
        <v>144</v>
      </c>
      <c r="C32" s="38" t="s">
        <v>143</v>
      </c>
      <c r="D32" s="38" t="s">
        <v>116</v>
      </c>
      <c r="E32" s="39" t="n">
        <v>20.3</v>
      </c>
      <c r="F32" s="39" t="n">
        <v>10.4</v>
      </c>
      <c r="G32" s="40" t="n">
        <f aca="false">IFERROR(F32/E32,"")</f>
        <v>0.512315270935961</v>
      </c>
      <c r="H32" s="41" t="n">
        <v>29</v>
      </c>
      <c r="I32" s="41"/>
      <c r="J32" s="41"/>
      <c r="K32" s="41"/>
      <c r="L32" s="41" t="n">
        <v>0</v>
      </c>
    </row>
    <row r="33" customFormat="false" ht="15.75" hidden="false" customHeight="true" outlineLevel="0" collapsed="false">
      <c r="B33" s="38" t="s">
        <v>145</v>
      </c>
      <c r="C33" s="38" t="s">
        <v>143</v>
      </c>
      <c r="D33" s="38" t="s">
        <v>118</v>
      </c>
      <c r="E33" s="39" t="n">
        <v>46.3</v>
      </c>
      <c r="F33" s="39" t="n">
        <v>27</v>
      </c>
      <c r="G33" s="40" t="n">
        <f aca="false">IFERROR(F33/E33,"")</f>
        <v>0.583153347732181</v>
      </c>
      <c r="H33" s="41" t="n">
        <v>29</v>
      </c>
      <c r="I33" s="39" t="n">
        <v>181.4</v>
      </c>
      <c r="J33" s="39" t="n">
        <v>98.2</v>
      </c>
      <c r="K33" s="40" t="n">
        <f aca="false">IFERROR(J33/I33,"")</f>
        <v>0.541345093715546</v>
      </c>
      <c r="L33" s="41" t="n">
        <v>17</v>
      </c>
    </row>
    <row r="34" customFormat="false" ht="15.75" hidden="false" customHeight="true" outlineLevel="0" collapsed="false">
      <c r="B34" s="38" t="s">
        <v>146</v>
      </c>
      <c r="C34" s="38" t="s">
        <v>143</v>
      </c>
      <c r="D34" s="38" t="s">
        <v>122</v>
      </c>
      <c r="E34" s="39" t="n">
        <v>42.5</v>
      </c>
      <c r="F34" s="39" t="n">
        <v>13.2</v>
      </c>
      <c r="G34" s="40" t="n">
        <f aca="false">IFERROR(F34/E34,"")</f>
        <v>0.310588235294118</v>
      </c>
      <c r="H34" s="41" t="n">
        <v>13</v>
      </c>
      <c r="I34" s="41"/>
      <c r="J34" s="41"/>
      <c r="K34" s="41"/>
      <c r="L34" s="41" t="n">
        <v>2</v>
      </c>
    </row>
    <row r="35" customFormat="false" ht="15.75" hidden="false" customHeight="true" outlineLevel="0" collapsed="false">
      <c r="B35" s="38" t="s">
        <v>147</v>
      </c>
      <c r="C35" s="38" t="s">
        <v>143</v>
      </c>
      <c r="D35" s="38" t="s">
        <v>124</v>
      </c>
      <c r="E35" s="39" t="n">
        <v>22.7</v>
      </c>
      <c r="F35" s="39" t="n">
        <v>6.8</v>
      </c>
      <c r="G35" s="40" t="n">
        <f aca="false">IFERROR(F35/E35,"")</f>
        <v>0.299559471365639</v>
      </c>
      <c r="H35" s="41" t="n">
        <v>13</v>
      </c>
      <c r="I35" s="39" t="n">
        <v>71.5</v>
      </c>
      <c r="J35" s="39" t="n">
        <v>12.4</v>
      </c>
      <c r="K35" s="40" t="n">
        <f aca="false">IFERROR(J35/I35,"")</f>
        <v>0.173426573426573</v>
      </c>
      <c r="L35" s="41" t="n">
        <v>7</v>
      </c>
    </row>
    <row r="36" customFormat="false" ht="15.75" hidden="false" customHeight="true" outlineLevel="0" collapsed="false"/>
    <row r="37" customFormat="false" ht="15.75" hidden="false" customHeight="true" outlineLevel="0" collapsed="false">
      <c r="B37" s="16" t="s">
        <v>148</v>
      </c>
    </row>
    <row r="38" customFormat="false" ht="15.75" hidden="false" customHeight="true" outlineLevel="0" collapsed="false">
      <c r="B38" s="16" t="s">
        <v>149</v>
      </c>
    </row>
    <row r="39" customFormat="false" ht="15.75" hidden="false" customHeight="true" outlineLevel="0" collapsed="false"/>
    <row r="40" customFormat="false" ht="15.75" hidden="false" customHeight="true" outlineLevel="0" collapsed="false">
      <c r="B40" s="46" t="s">
        <v>150</v>
      </c>
    </row>
    <row r="41" customFormat="false" ht="15.75" hidden="false" customHeight="true" outlineLevel="0" collapsed="false">
      <c r="B41" s="46" t="s">
        <v>151</v>
      </c>
    </row>
    <row r="42" customFormat="false" ht="15.75" hidden="false" customHeight="true" outlineLevel="0" collapsed="false">
      <c r="B42" s="46" t="s">
        <v>152</v>
      </c>
    </row>
    <row r="43" customFormat="false" ht="15.75" hidden="false" customHeight="true" outlineLevel="0" collapsed="false">
      <c r="B43" s="16" t="s">
        <v>153</v>
      </c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B4:L5"/>
    <mergeCell ref="B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8" min="3" style="1" width="16"/>
    <col collapsed="false" customWidth="true" hidden="false" outlineLevel="0" max="26" min="9" style="1" width="8.73"/>
  </cols>
  <sheetData>
    <row r="2" customFormat="false" ht="25.5" hidden="false" customHeight="true" outlineLevel="0" collapsed="false">
      <c r="B2" s="2" t="s">
        <v>154</v>
      </c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B3" s="16" t="s">
        <v>155</v>
      </c>
    </row>
    <row r="5" customFormat="false" ht="15" hidden="false" customHeight="true" outlineLevel="0" collapsed="false">
      <c r="B5" s="6" t="s">
        <v>156</v>
      </c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B6" s="17" t="s">
        <v>157</v>
      </c>
      <c r="C6" s="18" t="n">
        <v>500</v>
      </c>
    </row>
    <row r="7" customFormat="false" ht="15" hidden="false" customHeight="true" outlineLevel="0" collapsed="false">
      <c r="B7" s="17" t="s">
        <v>158</v>
      </c>
      <c r="C7" s="23" t="n">
        <v>30</v>
      </c>
    </row>
    <row r="8" customFormat="false" ht="15" hidden="false" customHeight="true" outlineLevel="0" collapsed="false">
      <c r="B8" s="17" t="s">
        <v>159</v>
      </c>
      <c r="C8" s="27" t="n">
        <v>21.4</v>
      </c>
    </row>
    <row r="9" customFormat="false" ht="15" hidden="false" customHeight="true" outlineLevel="0" collapsed="false">
      <c r="B9" s="17" t="s">
        <v>160</v>
      </c>
      <c r="C9" s="27" t="n">
        <v>12.8</v>
      </c>
    </row>
    <row r="10" customFormat="false" ht="15" hidden="false" customHeight="true" outlineLevel="0" collapsed="false">
      <c r="B10" s="17" t="s">
        <v>48</v>
      </c>
      <c r="C10" s="21" t="n">
        <v>0.9</v>
      </c>
    </row>
    <row r="11" customFormat="false" ht="15" hidden="false" customHeight="true" outlineLevel="0" collapsed="false">
      <c r="B11" s="17" t="s">
        <v>161</v>
      </c>
      <c r="C11" s="21" t="n">
        <v>0.2</v>
      </c>
    </row>
    <row r="12" customFormat="false" ht="15" hidden="false" customHeight="true" outlineLevel="0" collapsed="false">
      <c r="B12" s="17" t="s">
        <v>162</v>
      </c>
      <c r="C12" s="22" t="n">
        <f aca="false">IFERROR(TINV(1-C10,C7-1),"")</f>
        <v>1.6991270265335</v>
      </c>
    </row>
    <row r="13" customFormat="false" ht="15" hidden="false" customHeight="false" outlineLevel="0" collapsed="false">
      <c r="B13" s="17" t="s">
        <v>44</v>
      </c>
      <c r="C13" s="21" t="s">
        <v>45</v>
      </c>
      <c r="D13" s="17"/>
    </row>
    <row r="14" customFormat="false" ht="15" hidden="false" customHeight="true" outlineLevel="0" collapsed="false">
      <c r="B14" s="17" t="s">
        <v>163</v>
      </c>
      <c r="C14" s="22" t="n">
        <f aca="false">IFERROR(SQRT(IF(UPPER(C13)="YES",1-C7/C6,1)*C9^2/C7),"")</f>
        <v>2.33694957868871</v>
      </c>
    </row>
    <row r="15" customFormat="false" ht="15" hidden="false" customHeight="true" outlineLevel="0" collapsed="false">
      <c r="B15" s="19" t="s">
        <v>164</v>
      </c>
      <c r="C15" s="29" t="n">
        <f aca="false">IFERROR(C12*C14/C8,"")</f>
        <v>0.185550195738133</v>
      </c>
    </row>
    <row r="16" customFormat="false" ht="15" hidden="false" customHeight="true" outlineLevel="0" collapsed="false">
      <c r="B16" s="19" t="s">
        <v>165</v>
      </c>
      <c r="C16" s="15" t="str">
        <f aca="false">IF(C15="","",IF(C15&lt;=C11,"PASS — target met","MISS — see Appendix A8"))</f>
        <v>PASS — target met</v>
      </c>
      <c r="D16" s="15"/>
      <c r="E16" s="15"/>
    </row>
    <row r="19" customFormat="false" ht="15" hidden="false" customHeight="true" outlineLevel="0" collapsed="false">
      <c r="B19" s="6" t="s">
        <v>166</v>
      </c>
      <c r="C19" s="7"/>
      <c r="D19" s="7"/>
      <c r="E19" s="7"/>
      <c r="F19" s="7"/>
      <c r="G19" s="7"/>
      <c r="H19" s="7"/>
    </row>
    <row r="20" customFormat="false" ht="15" hidden="false" customHeight="true" outlineLevel="0" collapsed="false">
      <c r="B20" s="32" t="s">
        <v>78</v>
      </c>
      <c r="C20" s="32" t="s">
        <v>79</v>
      </c>
      <c r="D20" s="32" t="s">
        <v>167</v>
      </c>
      <c r="E20" s="32" t="s">
        <v>168</v>
      </c>
      <c r="F20" s="32" t="s">
        <v>169</v>
      </c>
      <c r="G20" s="32" t="s">
        <v>170</v>
      </c>
    </row>
    <row r="21" customFormat="false" ht="15.75" hidden="false" customHeight="true" outlineLevel="0" collapsed="false">
      <c r="B21" s="13"/>
      <c r="C21" s="18"/>
      <c r="D21" s="27"/>
      <c r="E21" s="27"/>
      <c r="F21" s="23"/>
      <c r="G21" s="47" t="str">
        <f aca="false">IFERROR((C21/$C$32)^2*IF(UPPER($C$13)="YES",1-F21/(C21/$C$33),1)*E21^2/F21,"")</f>
        <v/>
      </c>
    </row>
    <row r="22" customFormat="false" ht="15.75" hidden="false" customHeight="true" outlineLevel="0" collapsed="false">
      <c r="B22" s="13"/>
      <c r="C22" s="18"/>
      <c r="D22" s="27"/>
      <c r="E22" s="27"/>
      <c r="F22" s="23"/>
      <c r="G22" s="47" t="str">
        <f aca="false">IFERROR((C22/$C$32)^2*IF(UPPER($C$13)="YES",1-F22/(C22/$C$33),1)*E22^2/F22,"")</f>
        <v/>
      </c>
    </row>
    <row r="23" customFormat="false" ht="15.75" hidden="false" customHeight="true" outlineLevel="0" collapsed="false">
      <c r="B23" s="13"/>
      <c r="C23" s="18"/>
      <c r="D23" s="27"/>
      <c r="E23" s="27"/>
      <c r="F23" s="23"/>
      <c r="G23" s="47" t="str">
        <f aca="false">IFERROR((C23/$C$32)^2*IF(UPPER($C$13)="YES",1-F23/(C23/$C$33),1)*E23^2/F23,"")</f>
        <v/>
      </c>
    </row>
    <row r="24" customFormat="false" ht="15.75" hidden="false" customHeight="true" outlineLevel="0" collapsed="false">
      <c r="B24" s="13"/>
      <c r="C24" s="18"/>
      <c r="D24" s="27"/>
      <c r="E24" s="27"/>
      <c r="F24" s="23"/>
      <c r="G24" s="47" t="str">
        <f aca="false">IFERROR((C24/$C$32)^2*IF(UPPER($C$13)="YES",1-F24/(C24/$C$33),1)*E24^2/F24,"")</f>
        <v/>
      </c>
    </row>
    <row r="25" customFormat="false" ht="15.75" hidden="false" customHeight="true" outlineLevel="0" collapsed="false">
      <c r="B25" s="13"/>
      <c r="C25" s="18"/>
      <c r="D25" s="27"/>
      <c r="E25" s="27"/>
      <c r="F25" s="23"/>
      <c r="G25" s="47" t="str">
        <f aca="false">IFERROR((C25/$C$32)^2*IF(UPPER($C$13)="YES",1-F25/(C25/$C$33),1)*E25^2/F25,"")</f>
        <v/>
      </c>
    </row>
    <row r="26" customFormat="false" ht="15.75" hidden="false" customHeight="true" outlineLevel="0" collapsed="false">
      <c r="B26" s="13"/>
      <c r="C26" s="18"/>
      <c r="D26" s="27"/>
      <c r="E26" s="27"/>
      <c r="F26" s="23"/>
      <c r="G26" s="47" t="str">
        <f aca="false">IFERROR((C26/$C$32)^2*IF(UPPER($C$13)="YES",1-F26/(C26/$C$33),1)*E26^2/F26,"")</f>
        <v/>
      </c>
    </row>
    <row r="27" customFormat="false" ht="15.75" hidden="false" customHeight="true" outlineLevel="0" collapsed="false">
      <c r="B27" s="13"/>
      <c r="C27" s="18"/>
      <c r="D27" s="27"/>
      <c r="E27" s="27"/>
      <c r="F27" s="23"/>
      <c r="G27" s="47" t="str">
        <f aca="false">IFERROR((C27/$C$32)^2*IF(UPPER($C$13)="YES",1-F27/(C27/$C$33),1)*E27^2/F27,"")</f>
        <v/>
      </c>
    </row>
    <row r="28" customFormat="false" ht="15.75" hidden="false" customHeight="true" outlineLevel="0" collapsed="false">
      <c r="B28" s="13"/>
      <c r="C28" s="18"/>
      <c r="D28" s="27"/>
      <c r="E28" s="27"/>
      <c r="F28" s="23"/>
      <c r="G28" s="47" t="str">
        <f aca="false">IFERROR((C28/$C$32)^2*IF(UPPER($C$13)="YES",1-F28/(C28/$C$33),1)*E28^2/F28,"")</f>
        <v/>
      </c>
    </row>
    <row r="29" customFormat="false" ht="15.75" hidden="false" customHeight="true" outlineLevel="0" collapsed="false">
      <c r="B29" s="13"/>
      <c r="C29" s="18"/>
      <c r="D29" s="27"/>
      <c r="E29" s="27"/>
      <c r="F29" s="23"/>
      <c r="G29" s="47" t="str">
        <f aca="false">IFERROR((C29/$C$32)^2*IF(UPPER($C$13)="YES",1-F29/(C29/$C$33),1)*E29^2/F29,"")</f>
        <v/>
      </c>
    </row>
    <row r="30" customFormat="false" ht="15.75" hidden="false" customHeight="true" outlineLevel="0" collapsed="false">
      <c r="B30" s="13"/>
      <c r="C30" s="18"/>
      <c r="D30" s="27"/>
      <c r="E30" s="27"/>
      <c r="F30" s="23"/>
      <c r="G30" s="47" t="str">
        <f aca="false">IFERROR((C30/$C$32)^2*IF(UPPER($C$13)="YES",1-F30/(C30/$C$33),1)*E30^2/F30,"")</f>
        <v/>
      </c>
    </row>
    <row r="31" customFormat="false" ht="15.75" hidden="false" customHeight="true" outlineLevel="0" collapsed="false"/>
    <row r="32" customFormat="false" ht="15.75" hidden="false" customHeight="true" outlineLevel="0" collapsed="false">
      <c r="B32" s="17" t="s">
        <v>87</v>
      </c>
      <c r="C32" s="20" t="n">
        <f aca="false">SUM(C21:C30)</f>
        <v>0</v>
      </c>
    </row>
    <row r="33" customFormat="false" ht="15.75" hidden="false" customHeight="true" outlineLevel="0" collapsed="false">
      <c r="B33" s="17" t="s">
        <v>74</v>
      </c>
      <c r="C33" s="18" t="n">
        <v>100</v>
      </c>
    </row>
    <row r="34" customFormat="false" ht="15.75" hidden="false" customHeight="true" outlineLevel="0" collapsed="false">
      <c r="B34" s="17" t="s">
        <v>88</v>
      </c>
      <c r="C34" s="24" t="str">
        <f aca="false">IFERROR(SUMPRODUCT(C21:C30,D21:D30)/C32,"")</f>
        <v/>
      </c>
    </row>
    <row r="35" customFormat="false" ht="15.75" hidden="false" customHeight="true" outlineLevel="0" collapsed="false">
      <c r="B35" s="17" t="s">
        <v>171</v>
      </c>
      <c r="C35" s="22" t="n">
        <f aca="false">IFERROR(SQRT(SUM(G21:G30)),"")</f>
        <v>0</v>
      </c>
    </row>
    <row r="36" customFormat="false" ht="15.75" hidden="false" customHeight="true" outlineLevel="0" collapsed="false">
      <c r="B36" s="19" t="s">
        <v>164</v>
      </c>
      <c r="C36" s="29" t="str">
        <f aca="false">IFERROR(TINV(1-C10,SUM(F21:F30)-COUNT(F21:F30))*C35/C34,"")</f>
        <v/>
      </c>
    </row>
    <row r="37" customFormat="false" ht="15.75" hidden="false" customHeight="true" outlineLevel="0" collapsed="false">
      <c r="B37" s="19" t="s">
        <v>165</v>
      </c>
      <c r="C37" s="15" t="str">
        <f aca="false">IF(C36="","",IF(C36&lt;=C11,"PASS — target met","MISS — see Appendix A8"))</f>
        <v/>
      </c>
      <c r="D37" s="15"/>
      <c r="E37" s="15"/>
    </row>
    <row r="38" customFormat="false" ht="15.75" hidden="false" customHeight="true" outlineLevel="0" collapsed="false"/>
    <row r="39" customFormat="false" ht="15.75" hidden="false" customHeight="true" outlineLevel="0" collapsed="false">
      <c r="B39" s="16" t="s">
        <v>172</v>
      </c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C16:E16"/>
    <mergeCell ref="C37:E37"/>
  </mergeCells>
  <dataValidations count="1">
    <dataValidation allowBlank="false" errorStyle="stop" operator="between" showDropDown="false" showErrorMessage="false" showInputMessage="false" sqref="C13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8" min="3" style="1" width="13"/>
    <col collapsed="false" customWidth="true" hidden="false" outlineLevel="0" max="26" min="9" style="1" width="8.73"/>
  </cols>
  <sheetData>
    <row r="2" customFormat="false" ht="25.5" hidden="false" customHeight="true" outlineLevel="0" collapsed="false">
      <c r="B2" s="2" t="s">
        <v>173</v>
      </c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B3" s="16" t="s">
        <v>174</v>
      </c>
    </row>
    <row r="5" customFormat="false" ht="15" hidden="false" customHeight="true" outlineLevel="0" collapsed="false">
      <c r="B5" s="17" t="s">
        <v>42</v>
      </c>
      <c r="C5" s="20" t="n">
        <f aca="false">'1 Sample Size'!C8</f>
        <v>107575</v>
      </c>
    </row>
    <row r="6" customFormat="false" ht="15" hidden="false" customHeight="true" outlineLevel="0" collapsed="false">
      <c r="B6" s="17" t="s">
        <v>48</v>
      </c>
      <c r="C6" s="48" t="n">
        <f aca="false">'1 Sample Size'!C11</f>
        <v>0.9</v>
      </c>
    </row>
    <row r="7" customFormat="false" ht="15" hidden="false" customHeight="true" outlineLevel="0" collapsed="false">
      <c r="B7" s="17" t="s">
        <v>50</v>
      </c>
      <c r="C7" s="22" t="n">
        <f aca="false">'1 Sample Size'!C12</f>
        <v>1.64485362695147</v>
      </c>
    </row>
    <row r="9" customFormat="false" ht="15" hidden="false" customHeight="true" outlineLevel="0" collapsed="false">
      <c r="B9" s="6" t="s">
        <v>175</v>
      </c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B10" s="49" t="s">
        <v>176</v>
      </c>
      <c r="C10" s="50" t="n">
        <v>0.05</v>
      </c>
      <c r="D10" s="50" t="n">
        <v>0.1</v>
      </c>
      <c r="E10" s="50" t="n">
        <v>0.15</v>
      </c>
      <c r="F10" s="50" t="n">
        <v>0.2</v>
      </c>
      <c r="G10" s="50" t="n">
        <v>0.25</v>
      </c>
      <c r="H10" s="50" t="n">
        <v>0.3</v>
      </c>
    </row>
    <row r="11" customFormat="false" ht="15" hidden="false" customHeight="true" outlineLevel="0" collapsed="false">
      <c r="B11" s="51" t="n">
        <v>0.3</v>
      </c>
      <c r="C11" s="52" t="n">
        <f aca="false">IFERROR(IF(UPPER('1 Sample Size'!$C$9)="YES",ROUNDUP(($C$7^2*$C$5*$B11^2)/(($C$5-1)*C$10^2+$C$7^2*$B11^2),0),ROUNDUP(($C$7*$B11/C$10)^2,0)),"")</f>
        <v>98</v>
      </c>
      <c r="D11" s="52" t="n">
        <f aca="false">IFERROR(IF(UPPER('1 Sample Size'!$C$9)="YES",ROUNDUP(($C$7^2*$C$5*$B11^2)/(($C$5-1)*D$10^2+$C$7^2*$B11^2),0),ROUNDUP(($C$7*$B11/D$10)^2,0)),"")</f>
        <v>25</v>
      </c>
      <c r="E11" s="52" t="n">
        <f aca="false">IFERROR(IF(UPPER('1 Sample Size'!$C$9)="YES",ROUNDUP(($C$7^2*$C$5*$B11^2)/(($C$5-1)*E$10^2+$C$7^2*$B11^2),0),ROUNDUP(($C$7*$B11/E$10)^2,0)),"")</f>
        <v>11</v>
      </c>
      <c r="F11" s="52" t="n">
        <f aca="false">IFERROR(IF(UPPER('1 Sample Size'!$C$9)="YES",ROUNDUP(($C$7^2*$C$5*$B11^2)/(($C$5-1)*F$10^2+$C$7^2*$B11^2),0),ROUNDUP(($C$7*$B11/F$10)^2,0)),"")</f>
        <v>7</v>
      </c>
      <c r="G11" s="52" t="n">
        <f aca="false">IFERROR(IF(UPPER('1 Sample Size'!$C$9)="YES",ROUNDUP(($C$7^2*$C$5*$B11^2)/(($C$5-1)*G$10^2+$C$7^2*$B11^2),0),ROUNDUP(($C$7*$B11/G$10)^2,0)),"")</f>
        <v>4</v>
      </c>
      <c r="H11" s="52" t="n">
        <f aca="false">IFERROR(IF(UPPER('1 Sample Size'!$C$9)="YES",ROUNDUP(($C$7^2*$C$5*$B11^2)/(($C$5-1)*H$10^2+$C$7^2*$B11^2),0),ROUNDUP(($C$7*$B11/H$10)^2,0)),"")</f>
        <v>3</v>
      </c>
    </row>
    <row r="12" customFormat="false" ht="15" hidden="false" customHeight="true" outlineLevel="0" collapsed="false">
      <c r="B12" s="51" t="n">
        <v>0.4</v>
      </c>
      <c r="C12" s="52" t="n">
        <f aca="false">IFERROR(IF(UPPER('1 Sample Size'!$C$9)="YES",ROUNDUP(($C$7^2*$C$5*$B12^2)/(($C$5-1)*C$10^2+$C$7^2*$B12^2),0),ROUNDUP(($C$7*$B12/C$10)^2,0)),"")</f>
        <v>174</v>
      </c>
      <c r="D12" s="52" t="n">
        <f aca="false">IFERROR(IF(UPPER('1 Sample Size'!$C$9)="YES",ROUNDUP(($C$7^2*$C$5*$B12^2)/(($C$5-1)*D$10^2+$C$7^2*$B12^2),0),ROUNDUP(($C$7*$B12/D$10)^2,0)),"")</f>
        <v>44</v>
      </c>
      <c r="E12" s="52" t="n">
        <f aca="false">IFERROR(IF(UPPER('1 Sample Size'!$C$9)="YES",ROUNDUP(($C$7^2*$C$5*$B12^2)/(($C$5-1)*E$10^2+$C$7^2*$B12^2),0),ROUNDUP(($C$7*$B12/E$10)^2,0)),"")</f>
        <v>20</v>
      </c>
      <c r="F12" s="52" t="n">
        <f aca="false">IFERROR(IF(UPPER('1 Sample Size'!$C$9)="YES",ROUNDUP(($C$7^2*$C$5*$B12^2)/(($C$5-1)*F$10^2+$C$7^2*$B12^2),0),ROUNDUP(($C$7*$B12/F$10)^2,0)),"")</f>
        <v>11</v>
      </c>
      <c r="G12" s="52" t="n">
        <f aca="false">IFERROR(IF(UPPER('1 Sample Size'!$C$9)="YES",ROUNDUP(($C$7^2*$C$5*$B12^2)/(($C$5-1)*G$10^2+$C$7^2*$B12^2),0),ROUNDUP(($C$7*$B12/G$10)^2,0)),"")</f>
        <v>7</v>
      </c>
      <c r="H12" s="52" t="n">
        <f aca="false">IFERROR(IF(UPPER('1 Sample Size'!$C$9)="YES",ROUNDUP(($C$7^2*$C$5*$B12^2)/(($C$5-1)*H$10^2+$C$7^2*$B12^2),0),ROUNDUP(($C$7*$B12/H$10)^2,0)),"")</f>
        <v>5</v>
      </c>
    </row>
    <row r="13" customFormat="false" ht="15" hidden="false" customHeight="true" outlineLevel="0" collapsed="false">
      <c r="B13" s="51" t="n">
        <v>0.5</v>
      </c>
      <c r="C13" s="52" t="n">
        <f aca="false">IFERROR(IF(UPPER('1 Sample Size'!$C$9)="YES",ROUNDUP(($C$7^2*$C$5*$B13^2)/(($C$5-1)*C$10^2+$C$7^2*$B13^2),0),ROUNDUP(($C$7*$B13/C$10)^2,0)),"")</f>
        <v>271</v>
      </c>
      <c r="D13" s="52" t="n">
        <f aca="false">IFERROR(IF(UPPER('1 Sample Size'!$C$9)="YES",ROUNDUP(($C$7^2*$C$5*$B13^2)/(($C$5-1)*D$10^2+$C$7^2*$B13^2),0),ROUNDUP(($C$7*$B13/D$10)^2,0)),"")</f>
        <v>68</v>
      </c>
      <c r="E13" s="52" t="n">
        <f aca="false">IFERROR(IF(UPPER('1 Sample Size'!$C$9)="YES",ROUNDUP(($C$7^2*$C$5*$B13^2)/(($C$5-1)*E$10^2+$C$7^2*$B13^2),0),ROUNDUP(($C$7*$B13/E$10)^2,0)),"")</f>
        <v>31</v>
      </c>
      <c r="F13" s="52" t="n">
        <f aca="false">IFERROR(IF(UPPER('1 Sample Size'!$C$9)="YES",ROUNDUP(($C$7^2*$C$5*$B13^2)/(($C$5-1)*F$10^2+$C$7^2*$B13^2),0),ROUNDUP(($C$7*$B13/F$10)^2,0)),"")</f>
        <v>17</v>
      </c>
      <c r="G13" s="52" t="n">
        <f aca="false">IFERROR(IF(UPPER('1 Sample Size'!$C$9)="YES",ROUNDUP(($C$7^2*$C$5*$B13^2)/(($C$5-1)*G$10^2+$C$7^2*$B13^2),0),ROUNDUP(($C$7*$B13/G$10)^2,0)),"")</f>
        <v>11</v>
      </c>
      <c r="H13" s="52" t="n">
        <f aca="false">IFERROR(IF(UPPER('1 Sample Size'!$C$9)="YES",ROUNDUP(($C$7^2*$C$5*$B13^2)/(($C$5-1)*H$10^2+$C$7^2*$B13^2),0),ROUNDUP(($C$7*$B13/H$10)^2,0)),"")</f>
        <v>8</v>
      </c>
    </row>
    <row r="14" customFormat="false" ht="15" hidden="false" customHeight="true" outlineLevel="0" collapsed="false">
      <c r="B14" s="51" t="n">
        <v>0.6</v>
      </c>
      <c r="C14" s="52" t="n">
        <f aca="false">IFERROR(IF(UPPER('1 Sample Size'!$C$9)="YES",ROUNDUP(($C$7^2*$C$5*$B14^2)/(($C$5-1)*C$10^2+$C$7^2*$B14^2),0),ROUNDUP(($C$7*$B14/C$10)^2,0)),"")</f>
        <v>390</v>
      </c>
      <c r="D14" s="52" t="n">
        <f aca="false">IFERROR(IF(UPPER('1 Sample Size'!$C$9)="YES",ROUNDUP(($C$7^2*$C$5*$B14^2)/(($C$5-1)*D$10^2+$C$7^2*$B14^2),0),ROUNDUP(($C$7*$B14/D$10)^2,0)),"")</f>
        <v>98</v>
      </c>
      <c r="E14" s="52" t="n">
        <f aca="false">IFERROR(IF(UPPER('1 Sample Size'!$C$9)="YES",ROUNDUP(($C$7^2*$C$5*$B14^2)/(($C$5-1)*E$10^2+$C$7^2*$B14^2),0),ROUNDUP(($C$7*$B14/E$10)^2,0)),"")</f>
        <v>44</v>
      </c>
      <c r="F14" s="53" t="n">
        <f aca="false">IFERROR(IF(UPPER('1 Sample Size'!$C$9)="YES",ROUNDUP(($C$7^2*$C$5*$B14^2)/(($C$5-1)*F$10^2+$C$7^2*$B14^2),0),ROUNDUP(($C$7*$B14/F$10)^2,0)),"")</f>
        <v>25</v>
      </c>
      <c r="G14" s="52" t="n">
        <f aca="false">IFERROR(IF(UPPER('1 Sample Size'!$C$9)="YES",ROUNDUP(($C$7^2*$C$5*$B14^2)/(($C$5-1)*G$10^2+$C$7^2*$B14^2),0),ROUNDUP(($C$7*$B14/G$10)^2,0)),"")</f>
        <v>16</v>
      </c>
      <c r="H14" s="52" t="n">
        <f aca="false">IFERROR(IF(UPPER('1 Sample Size'!$C$9)="YES",ROUNDUP(($C$7^2*$C$5*$B14^2)/(($C$5-1)*H$10^2+$C$7^2*$B14^2),0),ROUNDUP(($C$7*$B14/H$10)^2,0)),"")</f>
        <v>11</v>
      </c>
    </row>
    <row r="15" customFormat="false" ht="15" hidden="false" customHeight="true" outlineLevel="0" collapsed="false">
      <c r="B15" s="51" t="n">
        <v>0.7</v>
      </c>
      <c r="C15" s="52" t="n">
        <f aca="false">IFERROR(IF(UPPER('1 Sample Size'!$C$9)="YES",ROUNDUP(($C$7^2*$C$5*$B15^2)/(($C$5-1)*C$10^2+$C$7^2*$B15^2),0),ROUNDUP(($C$7*$B15/C$10)^2,0)),"")</f>
        <v>531</v>
      </c>
      <c r="D15" s="52" t="n">
        <f aca="false">IFERROR(IF(UPPER('1 Sample Size'!$C$9)="YES",ROUNDUP(($C$7^2*$C$5*$B15^2)/(($C$5-1)*D$10^2+$C$7^2*$B15^2),0),ROUNDUP(($C$7*$B15/D$10)^2,0)),"")</f>
        <v>133</v>
      </c>
      <c r="E15" s="52" t="n">
        <f aca="false">IFERROR(IF(UPPER('1 Sample Size'!$C$9)="YES",ROUNDUP(($C$7^2*$C$5*$B15^2)/(($C$5-1)*E$10^2+$C$7^2*$B15^2),0),ROUNDUP(($C$7*$B15/E$10)^2,0)),"")</f>
        <v>59</v>
      </c>
      <c r="F15" s="52" t="n">
        <f aca="false">IFERROR(IF(UPPER('1 Sample Size'!$C$9)="YES",ROUNDUP(($C$7^2*$C$5*$B15^2)/(($C$5-1)*F$10^2+$C$7^2*$B15^2),0),ROUNDUP(($C$7*$B15/F$10)^2,0)),"")</f>
        <v>34</v>
      </c>
      <c r="G15" s="52" t="n">
        <f aca="false">IFERROR(IF(UPPER('1 Sample Size'!$C$9)="YES",ROUNDUP(($C$7^2*$C$5*$B15^2)/(($C$5-1)*G$10^2+$C$7^2*$B15^2),0),ROUNDUP(($C$7*$B15/G$10)^2,0)),"")</f>
        <v>22</v>
      </c>
      <c r="H15" s="52" t="n">
        <f aca="false">IFERROR(IF(UPPER('1 Sample Size'!$C$9)="YES",ROUNDUP(($C$7^2*$C$5*$B15^2)/(($C$5-1)*H$10^2+$C$7^2*$B15^2),0),ROUNDUP(($C$7*$B15/H$10)^2,0)),"")</f>
        <v>15</v>
      </c>
    </row>
    <row r="16" customFormat="false" ht="15" hidden="false" customHeight="true" outlineLevel="0" collapsed="false">
      <c r="B16" s="51" t="n">
        <v>0.8</v>
      </c>
      <c r="C16" s="52" t="n">
        <f aca="false">IFERROR(IF(UPPER('1 Sample Size'!$C$9)="YES",ROUNDUP(($C$7^2*$C$5*$B16^2)/(($C$5-1)*C$10^2+$C$7^2*$B16^2),0),ROUNDUP(($C$7*$B16/C$10)^2,0)),"")</f>
        <v>693</v>
      </c>
      <c r="D16" s="52" t="n">
        <f aca="false">IFERROR(IF(UPPER('1 Sample Size'!$C$9)="YES",ROUNDUP(($C$7^2*$C$5*$B16^2)/(($C$5-1)*D$10^2+$C$7^2*$B16^2),0),ROUNDUP(($C$7*$B16/D$10)^2,0)),"")</f>
        <v>174</v>
      </c>
      <c r="E16" s="52" t="n">
        <f aca="false">IFERROR(IF(UPPER('1 Sample Size'!$C$9)="YES",ROUNDUP(($C$7^2*$C$5*$B16^2)/(($C$5-1)*E$10^2+$C$7^2*$B16^2),0),ROUNDUP(($C$7*$B16/E$10)^2,0)),"")</f>
        <v>77</v>
      </c>
      <c r="F16" s="52" t="n">
        <f aca="false">IFERROR(IF(UPPER('1 Sample Size'!$C$9)="YES",ROUNDUP(($C$7^2*$C$5*$B16^2)/(($C$5-1)*F$10^2+$C$7^2*$B16^2),0),ROUNDUP(($C$7*$B16/F$10)^2,0)),"")</f>
        <v>44</v>
      </c>
      <c r="G16" s="52" t="n">
        <f aca="false">IFERROR(IF(UPPER('1 Sample Size'!$C$9)="YES",ROUNDUP(($C$7^2*$C$5*$B16^2)/(($C$5-1)*G$10^2+$C$7^2*$B16^2),0),ROUNDUP(($C$7*$B16/G$10)^2,0)),"")</f>
        <v>28</v>
      </c>
      <c r="H16" s="52" t="n">
        <f aca="false">IFERROR(IF(UPPER('1 Sample Size'!$C$9)="YES",ROUNDUP(($C$7^2*$C$5*$B16^2)/(($C$5-1)*H$10^2+$C$7^2*$B16^2),0),ROUNDUP(($C$7*$B16/H$10)^2,0)),"")</f>
        <v>20</v>
      </c>
    </row>
    <row r="17" customFormat="false" ht="15" hidden="false" customHeight="true" outlineLevel="0" collapsed="false">
      <c r="B17" s="51" t="n">
        <v>0.9</v>
      </c>
      <c r="C17" s="52" t="n">
        <f aca="false">IFERROR(IF(UPPER('1 Sample Size'!$C$9)="YES",ROUNDUP(($C$7^2*$C$5*$B17^2)/(($C$5-1)*C$10^2+$C$7^2*$B17^2),0),ROUNDUP(($C$7*$B17/C$10)^2,0)),"")</f>
        <v>877</v>
      </c>
      <c r="D17" s="52" t="n">
        <f aca="false">IFERROR(IF(UPPER('1 Sample Size'!$C$9)="YES",ROUNDUP(($C$7^2*$C$5*$B17^2)/(($C$5-1)*D$10^2+$C$7^2*$B17^2),0),ROUNDUP(($C$7*$B17/D$10)^2,0)),"")</f>
        <v>220</v>
      </c>
      <c r="E17" s="52" t="n">
        <f aca="false">IFERROR(IF(UPPER('1 Sample Size'!$C$9)="YES",ROUNDUP(($C$7^2*$C$5*$B17^2)/(($C$5-1)*E$10^2+$C$7^2*$B17^2),0),ROUNDUP(($C$7*$B17/E$10)^2,0)),"")</f>
        <v>98</v>
      </c>
      <c r="F17" s="52" t="n">
        <f aca="false">IFERROR(IF(UPPER('1 Sample Size'!$C$9)="YES",ROUNDUP(($C$7^2*$C$5*$B17^2)/(($C$5-1)*F$10^2+$C$7^2*$B17^2),0),ROUNDUP(($C$7*$B17/F$10)^2,0)),"")</f>
        <v>55</v>
      </c>
      <c r="G17" s="52" t="n">
        <f aca="false">IFERROR(IF(UPPER('1 Sample Size'!$C$9)="YES",ROUNDUP(($C$7^2*$C$5*$B17^2)/(($C$5-1)*G$10^2+$C$7^2*$B17^2),0),ROUNDUP(($C$7*$B17/G$10)^2,0)),"")</f>
        <v>36</v>
      </c>
      <c r="H17" s="52" t="n">
        <f aca="false">IFERROR(IF(UPPER('1 Sample Size'!$C$9)="YES",ROUNDUP(($C$7^2*$C$5*$B17^2)/(($C$5-1)*H$10^2+$C$7^2*$B17^2),0),ROUNDUP(($C$7*$B17/H$10)^2,0)),"")</f>
        <v>25</v>
      </c>
    </row>
    <row r="18" customFormat="false" ht="15" hidden="false" customHeight="true" outlineLevel="0" collapsed="false">
      <c r="B18" s="51" t="n">
        <v>1</v>
      </c>
      <c r="C18" s="52" t="n">
        <f aca="false">IFERROR(IF(UPPER('1 Sample Size'!$C$9)="YES",ROUNDUP(($C$7^2*$C$5*$B18^2)/(($C$5-1)*C$10^2+$C$7^2*$B18^2),0),ROUNDUP(($C$7*$B18/C$10)^2,0)),"")</f>
        <v>1083</v>
      </c>
      <c r="D18" s="52" t="n">
        <f aca="false">IFERROR(IF(UPPER('1 Sample Size'!$C$9)="YES",ROUNDUP(($C$7^2*$C$5*$B18^2)/(($C$5-1)*D$10^2+$C$7^2*$B18^2),0),ROUNDUP(($C$7*$B18/D$10)^2,0)),"")</f>
        <v>271</v>
      </c>
      <c r="E18" s="52" t="n">
        <f aca="false">IFERROR(IF(UPPER('1 Sample Size'!$C$9)="YES",ROUNDUP(($C$7^2*$C$5*$B18^2)/(($C$5-1)*E$10^2+$C$7^2*$B18^2),0),ROUNDUP(($C$7*$B18/E$10)^2,0)),"")</f>
        <v>121</v>
      </c>
      <c r="F18" s="52" t="n">
        <f aca="false">IFERROR(IF(UPPER('1 Sample Size'!$C$9)="YES",ROUNDUP(($C$7^2*$C$5*$B18^2)/(($C$5-1)*F$10^2+$C$7^2*$B18^2),0),ROUNDUP(($C$7*$B18/F$10)^2,0)),"")</f>
        <v>68</v>
      </c>
      <c r="G18" s="52" t="n">
        <f aca="false">IFERROR(IF(UPPER('1 Sample Size'!$C$9)="YES",ROUNDUP(($C$7^2*$C$5*$B18^2)/(($C$5-1)*G$10^2+$C$7^2*$B18^2),0),ROUNDUP(($C$7*$B18/G$10)^2,0)),"")</f>
        <v>44</v>
      </c>
      <c r="H18" s="52" t="n">
        <f aca="false">IFERROR(IF(UPPER('1 Sample Size'!$C$9)="YES",ROUNDUP(($C$7^2*$C$5*$B18^2)/(($C$5-1)*H$10^2+$C$7^2*$B18^2),0),ROUNDUP(($C$7*$B18/H$10)^2,0)),"")</f>
        <v>31</v>
      </c>
    </row>
    <row r="20" customFormat="false" ht="15" hidden="false" customHeight="true" outlineLevel="0" collapsed="false">
      <c r="B20" s="16" t="s">
        <v>177</v>
      </c>
    </row>
    <row r="21" customFormat="false" ht="15.75" hidden="false" customHeight="true" outlineLevel="0" collapsed="false"/>
    <row r="22" customFormat="false" ht="15" hidden="false" customHeight="true" outlineLevel="0" collapsed="false">
      <c r="B22" s="31" t="s">
        <v>178</v>
      </c>
      <c r="C22" s="31"/>
      <c r="D22" s="31"/>
      <c r="E22" s="31"/>
      <c r="F22" s="31"/>
      <c r="G22" s="31"/>
      <c r="H22" s="31"/>
    </row>
    <row r="23" customFormat="false" ht="15.75" hidden="false" customHeight="true" outlineLevel="0" collapsed="false">
      <c r="B23" s="31"/>
      <c r="C23" s="31"/>
      <c r="D23" s="31"/>
      <c r="E23" s="31"/>
      <c r="F23" s="31"/>
      <c r="G23" s="31"/>
      <c r="H23" s="31"/>
    </row>
    <row r="24" customFormat="false" ht="15.75" hidden="false" customHeight="true" outlineLevel="0" collapsed="false">
      <c r="B24" s="31"/>
      <c r="C24" s="31"/>
      <c r="D24" s="31"/>
      <c r="E24" s="31"/>
      <c r="F24" s="31"/>
      <c r="G24" s="31"/>
      <c r="H24" s="31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22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7" min="3" style="1" width="20"/>
    <col collapsed="false" customWidth="true" hidden="false" outlineLevel="0" max="26" min="8" style="1" width="8.73"/>
  </cols>
  <sheetData>
    <row r="2" customFormat="false" ht="25.5" hidden="false" customHeight="true" outlineLevel="0" collapsed="false">
      <c r="B2" s="2" t="s">
        <v>179</v>
      </c>
      <c r="C2" s="3"/>
      <c r="D2" s="3"/>
      <c r="E2" s="3"/>
      <c r="F2" s="3"/>
      <c r="G2" s="3"/>
    </row>
    <row r="4" customFormat="false" ht="15" hidden="false" customHeight="true" outlineLevel="0" collapsed="false">
      <c r="B4" s="6" t="s">
        <v>180</v>
      </c>
      <c r="C4" s="7"/>
      <c r="D4" s="7"/>
      <c r="E4" s="7"/>
      <c r="F4" s="7"/>
      <c r="G4" s="7"/>
    </row>
    <row r="5" customFormat="false" ht="15" hidden="false" customHeight="true" outlineLevel="0" collapsed="false">
      <c r="B5" s="10" t="s">
        <v>181</v>
      </c>
      <c r="C5" s="11" t="s">
        <v>182</v>
      </c>
      <c r="D5" s="11"/>
      <c r="E5" s="11"/>
      <c r="F5" s="11"/>
      <c r="G5" s="11"/>
    </row>
    <row r="6" customFormat="false" ht="15" hidden="false" customHeight="true" outlineLevel="0" collapsed="false">
      <c r="B6" s="10" t="s">
        <v>50</v>
      </c>
      <c r="C6" s="11" t="s">
        <v>183</v>
      </c>
      <c r="D6" s="11"/>
      <c r="E6" s="11"/>
      <c r="F6" s="11"/>
      <c r="G6" s="11"/>
    </row>
    <row r="7" customFormat="false" ht="15" hidden="false" customHeight="true" outlineLevel="0" collapsed="false">
      <c r="B7" s="10" t="s">
        <v>184</v>
      </c>
      <c r="C7" s="11" t="s">
        <v>185</v>
      </c>
      <c r="D7" s="11"/>
      <c r="E7" s="11"/>
      <c r="F7" s="11"/>
      <c r="G7" s="11"/>
    </row>
    <row r="8" customFormat="false" ht="15" hidden="false" customHeight="true" outlineLevel="0" collapsed="false">
      <c r="B8" s="10" t="s">
        <v>186</v>
      </c>
      <c r="C8" s="11" t="s">
        <v>187</v>
      </c>
      <c r="D8" s="11"/>
      <c r="E8" s="11"/>
      <c r="F8" s="11"/>
      <c r="G8" s="11"/>
    </row>
    <row r="9" customFormat="false" ht="15" hidden="false" customHeight="true" outlineLevel="0" collapsed="false">
      <c r="B9" s="10" t="s">
        <v>188</v>
      </c>
      <c r="C9" s="11" t="s">
        <v>189</v>
      </c>
      <c r="D9" s="11"/>
      <c r="E9" s="11"/>
      <c r="F9" s="11"/>
      <c r="G9" s="11"/>
    </row>
    <row r="10" customFormat="false" ht="15" hidden="false" customHeight="true" outlineLevel="0" collapsed="false">
      <c r="B10" s="10" t="s">
        <v>190</v>
      </c>
      <c r="C10" s="11" t="s">
        <v>191</v>
      </c>
      <c r="D10" s="11"/>
      <c r="E10" s="11"/>
      <c r="F10" s="11"/>
      <c r="G10" s="11"/>
    </row>
    <row r="13" customFormat="false" ht="15" hidden="false" customHeight="true" outlineLevel="0" collapsed="false">
      <c r="B13" s="6" t="s">
        <v>192</v>
      </c>
      <c r="C13" s="7"/>
      <c r="D13" s="7"/>
      <c r="E13" s="7"/>
      <c r="F13" s="7"/>
      <c r="G13" s="7"/>
    </row>
    <row r="14" customFormat="false" ht="15" hidden="false" customHeight="true" outlineLevel="0" collapsed="false">
      <c r="B14" s="10" t="s">
        <v>193</v>
      </c>
      <c r="C14" s="10" t="s">
        <v>194</v>
      </c>
      <c r="D14" s="54" t="s">
        <v>195</v>
      </c>
      <c r="E14" s="54"/>
      <c r="F14" s="54"/>
      <c r="G14" s="54"/>
    </row>
    <row r="15" customFormat="false" ht="15" hidden="false" customHeight="true" outlineLevel="0" collapsed="false">
      <c r="B15" s="14" t="s">
        <v>196</v>
      </c>
      <c r="C15" s="14" t="s">
        <v>197</v>
      </c>
      <c r="D15" s="11" t="s">
        <v>198</v>
      </c>
      <c r="E15" s="11"/>
      <c r="F15" s="11"/>
      <c r="G15" s="11"/>
    </row>
    <row r="16" customFormat="false" ht="15" hidden="false" customHeight="true" outlineLevel="0" collapsed="false">
      <c r="B16" s="14" t="s">
        <v>199</v>
      </c>
      <c r="C16" s="14" t="s">
        <v>200</v>
      </c>
      <c r="D16" s="11" t="s">
        <v>201</v>
      </c>
      <c r="E16" s="11"/>
      <c r="F16" s="11"/>
      <c r="G16" s="11"/>
    </row>
    <row r="17" customFormat="false" ht="15" hidden="false" customHeight="true" outlineLevel="0" collapsed="false">
      <c r="B17" s="14" t="s">
        <v>202</v>
      </c>
      <c r="C17" s="14" t="s">
        <v>203</v>
      </c>
      <c r="D17" s="11" t="s">
        <v>204</v>
      </c>
      <c r="E17" s="11"/>
      <c r="F17" s="11"/>
      <c r="G17" s="11"/>
    </row>
    <row r="18" customFormat="false" ht="15" hidden="false" customHeight="true" outlineLevel="0" collapsed="false">
      <c r="B18" s="14" t="s">
        <v>82</v>
      </c>
      <c r="C18" s="14" t="s">
        <v>82</v>
      </c>
      <c r="D18" s="11" t="s">
        <v>205</v>
      </c>
      <c r="E18" s="11"/>
      <c r="F18" s="11"/>
      <c r="G18" s="11"/>
    </row>
    <row r="19" customFormat="false" ht="15" hidden="false" customHeight="true" outlineLevel="0" collapsed="false">
      <c r="B19" s="14" t="s">
        <v>206</v>
      </c>
      <c r="C19" s="14" t="s">
        <v>206</v>
      </c>
      <c r="D19" s="11" t="s">
        <v>207</v>
      </c>
      <c r="E19" s="11"/>
      <c r="F19" s="11"/>
      <c r="G19" s="11"/>
    </row>
    <row r="20" customFormat="false" ht="15" hidden="false" customHeight="true" outlineLevel="0" collapsed="false">
      <c r="B20" s="14" t="s">
        <v>208</v>
      </c>
      <c r="C20" s="14" t="s">
        <v>208</v>
      </c>
      <c r="D20" s="11" t="s">
        <v>209</v>
      </c>
      <c r="E20" s="11"/>
      <c r="F20" s="11"/>
      <c r="G20" s="1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>
      <c r="B23" s="6" t="s">
        <v>210</v>
      </c>
      <c r="C23" s="7"/>
      <c r="D23" s="7"/>
      <c r="E23" s="7"/>
      <c r="F23" s="7"/>
      <c r="G23" s="7"/>
    </row>
    <row r="24" customFormat="false" ht="27.75" hidden="false" customHeight="true" outlineLevel="0" collapsed="false">
      <c r="B24" s="5" t="s">
        <v>211</v>
      </c>
      <c r="C24" s="5"/>
      <c r="D24" s="5"/>
      <c r="E24" s="5"/>
      <c r="F24" s="5"/>
      <c r="G24" s="5"/>
    </row>
    <row r="25" customFormat="false" ht="27.75" hidden="false" customHeight="true" outlineLevel="0" collapsed="false">
      <c r="B25" s="5" t="s">
        <v>212</v>
      </c>
      <c r="C25" s="5"/>
      <c r="D25" s="5"/>
      <c r="E25" s="5"/>
      <c r="F25" s="5"/>
      <c r="G25" s="5"/>
    </row>
    <row r="26" customFormat="false" ht="27.75" hidden="false" customHeight="true" outlineLevel="0" collapsed="false">
      <c r="B26" s="5" t="s">
        <v>213</v>
      </c>
      <c r="C26" s="5"/>
      <c r="D26" s="5"/>
      <c r="E26" s="5"/>
      <c r="F26" s="5"/>
      <c r="G26" s="5"/>
    </row>
    <row r="27" customFormat="false" ht="27.75" hidden="false" customHeight="true" outlineLevel="0" collapsed="false">
      <c r="B27" s="5" t="s">
        <v>214</v>
      </c>
      <c r="C27" s="5"/>
      <c r="D27" s="5"/>
      <c r="E27" s="5"/>
      <c r="F27" s="5"/>
      <c r="G27" s="5"/>
    </row>
    <row r="28" customFormat="false" ht="27.75" hidden="false" customHeight="true" outlineLevel="0" collapsed="false">
      <c r="B28" s="5" t="s">
        <v>215</v>
      </c>
      <c r="C28" s="5"/>
      <c r="D28" s="5"/>
      <c r="E28" s="5"/>
      <c r="F28" s="5"/>
      <c r="G28" s="5"/>
    </row>
    <row r="29" customFormat="false" ht="15.75" hidden="false" customHeight="true" outlineLevel="0" collapsed="false">
      <c r="B29" s="55" t="s">
        <v>216</v>
      </c>
    </row>
    <row r="30" customFormat="false" ht="15.75" hidden="false" customHeight="true" outlineLevel="0" collapsed="false"/>
    <row r="31" customFormat="false" ht="15.75" hidden="false" customHeight="true" outlineLevel="0" collapsed="false">
      <c r="B31" s="6" t="s">
        <v>217</v>
      </c>
      <c r="C31" s="7"/>
      <c r="D31" s="7"/>
      <c r="E31" s="7"/>
      <c r="F31" s="7"/>
      <c r="G31" s="7"/>
    </row>
    <row r="32" customFormat="false" ht="25.5" hidden="false" customHeight="true" outlineLevel="0" collapsed="false">
      <c r="B32" s="56" t="s">
        <v>218</v>
      </c>
      <c r="C32" s="56"/>
      <c r="D32" s="56"/>
      <c r="E32" s="56"/>
      <c r="F32" s="56"/>
      <c r="G32" s="56"/>
    </row>
    <row r="33" customFormat="false" ht="25.5" hidden="false" customHeight="true" outlineLevel="0" collapsed="false">
      <c r="B33" s="56" t="s">
        <v>219</v>
      </c>
      <c r="C33" s="56"/>
      <c r="D33" s="56"/>
      <c r="E33" s="56"/>
      <c r="F33" s="56"/>
      <c r="G33" s="56"/>
    </row>
    <row r="34" customFormat="false" ht="25.5" hidden="false" customHeight="true" outlineLevel="0" collapsed="false">
      <c r="B34" s="56" t="s">
        <v>220</v>
      </c>
      <c r="C34" s="56"/>
      <c r="D34" s="56"/>
      <c r="E34" s="56"/>
      <c r="F34" s="56"/>
      <c r="G34" s="56"/>
    </row>
    <row r="35" customFormat="false" ht="25.5" hidden="false" customHeight="true" outlineLevel="0" collapsed="false">
      <c r="B35" s="56" t="s">
        <v>221</v>
      </c>
      <c r="C35" s="56"/>
      <c r="D35" s="56"/>
      <c r="E35" s="56"/>
      <c r="F35" s="56"/>
      <c r="G35" s="56"/>
    </row>
    <row r="36" customFormat="false" ht="25.5" hidden="false" customHeight="true" outlineLevel="0" collapsed="false">
      <c r="B36" s="56" t="s">
        <v>222</v>
      </c>
      <c r="C36" s="56"/>
      <c r="D36" s="56"/>
      <c r="E36" s="56"/>
      <c r="F36" s="56"/>
      <c r="G36" s="56"/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>
      <c r="B39" s="16" t="s">
        <v>223</v>
      </c>
    </row>
    <row r="40" customFormat="false" ht="15.75" hidden="false" customHeight="true" outlineLevel="0" collapsed="false">
      <c r="B40" s="16" t="s">
        <v>224</v>
      </c>
    </row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3">
    <mergeCell ref="C5:G5"/>
    <mergeCell ref="C6:G6"/>
    <mergeCell ref="C7:G7"/>
    <mergeCell ref="C8:G8"/>
    <mergeCell ref="C9:G9"/>
    <mergeCell ref="C10:G10"/>
    <mergeCell ref="D14:G14"/>
    <mergeCell ref="D15:G15"/>
    <mergeCell ref="D16:G16"/>
    <mergeCell ref="D17:G17"/>
    <mergeCell ref="D18:G18"/>
    <mergeCell ref="D19:G19"/>
    <mergeCell ref="D20:G20"/>
    <mergeCell ref="B24:G24"/>
    <mergeCell ref="B25:G25"/>
    <mergeCell ref="B26:G26"/>
    <mergeCell ref="B27:G27"/>
    <mergeCell ref="B28:G28"/>
    <mergeCell ref="B32:G32"/>
    <mergeCell ref="B33:G33"/>
    <mergeCell ref="B34:G34"/>
    <mergeCell ref="B35:G35"/>
    <mergeCell ref="B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2026-10-06T18:54:05Z</dcterms:created>
  <dc:creator>openpyxl</dc:creator>
  <dc:description/>
  <dc:language>en-CA</dc:language>
  <cp:lastModifiedBy>Cathal Doherty</cp:lastModifiedBy>
  <dcterms:modified xsi:type="dcterms:W3CDTF">2026-10-06T18:54:05Z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