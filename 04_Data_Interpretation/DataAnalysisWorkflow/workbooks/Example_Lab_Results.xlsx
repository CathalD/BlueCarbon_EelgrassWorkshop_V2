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Reading this 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<sst xmlns="http://schemas.openxmlformats.org/spreadsheetml/2006/main" count="254" uniqueCount="155">
  <si>
    <t xml:space="preserve">Example Lab — sediment carbon results</t>
  </si>
  <si>
    <t xml:space="preserve">MOCK RESULTS FOR TEACHING. 'Example Lab' is not a real laboratory. Values are the Cowichan worked example (Douglas et al. 2022, via Janousek et al. 2025), laid out the way a lab might return them.</t>
  </si>
  <si>
    <t xml:space="preserve">Client</t>
  </si>
  <si>
    <t xml:space="preserve">Blue Carbon Eelgrass Workshop (example)</t>
  </si>
  <si>
    <t xml:space="preserve">Samples received</t>
  </si>
  <si>
    <t xml:space="preserve">45 slices from 3 cores</t>
  </si>
  <si>
    <t xml:space="preserve">Drying (illustrative)</t>
  </si>
  <si>
    <t xml:space="preserve">65 °C to constant mass</t>
  </si>
  <si>
    <t xml:space="preserve">Loss on ignition</t>
  </si>
  <si>
    <t xml:space="preserve">550 °C, 5 h</t>
  </si>
  <si>
    <t xml:space="preserve">Organic carbon</t>
  </si>
  <si>
    <t xml:space="preserve">Elemental analyser after acid fumigation (carbonate removed). Run on a subset.</t>
  </si>
  <si>
    <t xml:space="preserve">Bulk density</t>
  </si>
  <si>
    <t xml:space="preserve">Dry mass ÷ (π × (corer internal diameter ÷ 2)² × slice thickness); corer internal diameter 7.6 cm as supplied by the client</t>
  </si>
  <si>
    <t xml:space="preserve">Published measurement (Douglas et al. 2022)</t>
  </si>
  <si>
    <t xml:space="preserve">Reconstructed teaching value — dry mass back-calculated from published bulk density</t>
  </si>
  <si>
    <t xml:space="preserve">Illustrative detail — lab ID, date, comments; not real</t>
  </si>
  <si>
    <t xml:space="preserve">Calculated on this sheet</t>
  </si>
  <si>
    <t xml:space="preserve">Lab ID</t>
  </si>
  <si>
    <t xml:space="preserve">Client sample ID</t>
  </si>
  <si>
    <t xml:space="preserve">Date received</t>
  </si>
  <si>
    <t xml:space="preserve">Top (cm)</t>
  </si>
  <si>
    <t xml:space="preserve">Bottom (cm)</t>
  </si>
  <si>
    <t xml:space="preserve">Slice thickness (cm)</t>
  </si>
  <si>
    <t xml:space="preserve">Corer internal diameter (cm)</t>
  </si>
  <si>
    <t xml:space="preserve">Dry mass for BD (g)</t>
  </si>
  <si>
    <t xml:space="preserve">Dry bulk density (g/cm³)</t>
  </si>
  <si>
    <t xml:space="preserve">N (%)</t>
  </si>
  <si>
    <t xml:space="preserve">C total (%)</t>
  </si>
  <si>
    <t xml:space="preserve">C inorganic (%)</t>
  </si>
  <si>
    <t xml:space="preserve">C organic (%)</t>
  </si>
  <si>
    <t xml:space="preserve">LOI 550 °C (%)</t>
  </si>
  <si>
    <t xml:space="preserve">Comments</t>
  </si>
  <si>
    <t xml:space="preserve">EL-1001</t>
  </si>
  <si>
    <t xml:space="preserve">COW-S5-01</t>
  </si>
  <si>
    <t xml:space="preserve">2026-08-04</t>
  </si>
  <si>
    <t xml:space="preserve">OC run</t>
  </si>
  <si>
    <t xml:space="preserve">EL-1002</t>
  </si>
  <si>
    <t xml:space="preserve">COW-S5-02</t>
  </si>
  <si>
    <t xml:space="preserve">LOI only (OC not requested for this slice)</t>
  </si>
  <si>
    <t xml:space="preserve">EL-1003</t>
  </si>
  <si>
    <t xml:space="preserve">COW-S5-03</t>
  </si>
  <si>
    <t xml:space="preserve">EL-1004</t>
  </si>
  <si>
    <t xml:space="preserve">COW-S5-04</t>
  </si>
  <si>
    <t xml:space="preserve">EL-1005</t>
  </si>
  <si>
    <t xml:space="preserve">COW-S5-05</t>
  </si>
  <si>
    <t xml:space="preserve">EL-1006</t>
  </si>
  <si>
    <t xml:space="preserve">COW-S5-06</t>
  </si>
  <si>
    <t xml:space="preserve">EL-1007</t>
  </si>
  <si>
    <t xml:space="preserve">COW-S5-07</t>
  </si>
  <si>
    <t xml:space="preserve">EL-1008</t>
  </si>
  <si>
    <t xml:space="preserve">COW-S5-08</t>
  </si>
  <si>
    <t xml:space="preserve">EL-1009</t>
  </si>
  <si>
    <t xml:space="preserve">COW-S5-09</t>
  </si>
  <si>
    <t xml:space="preserve">EL-1010</t>
  </si>
  <si>
    <t xml:space="preserve">COW-S5-10</t>
  </si>
  <si>
    <t xml:space="preserve">EL-1011</t>
  </si>
  <si>
    <t xml:space="preserve">COW-S5-11</t>
  </si>
  <si>
    <t xml:space="preserve">EL-1012</t>
  </si>
  <si>
    <t xml:space="preserve">COW-S5-12</t>
  </si>
  <si>
    <t xml:space="preserve">EL-1013</t>
  </si>
  <si>
    <t xml:space="preserve">COW-S5-13</t>
  </si>
  <si>
    <t xml:space="preserve">EL-1014</t>
  </si>
  <si>
    <t xml:space="preserve">COW-S5-14</t>
  </si>
  <si>
    <t xml:space="preserve">EL-1015</t>
  </si>
  <si>
    <t xml:space="preserve">COW-S5-15</t>
  </si>
  <si>
    <t xml:space="preserve">EL-1016</t>
  </si>
  <si>
    <t xml:space="preserve">COW-S6-01</t>
  </si>
  <si>
    <t xml:space="preserve">EL-1017</t>
  </si>
  <si>
    <t xml:space="preserve">COW-S6-02</t>
  </si>
  <si>
    <t xml:space="preserve">EL-1018</t>
  </si>
  <si>
    <t xml:space="preserve">COW-S6-03</t>
  </si>
  <si>
    <t xml:space="preserve">EL-1019</t>
  </si>
  <si>
    <t xml:space="preserve">COW-S6-04</t>
  </si>
  <si>
    <t xml:space="preserve">EL-1020</t>
  </si>
  <si>
    <t xml:space="preserve">COW-S6-05</t>
  </si>
  <si>
    <t xml:space="preserve">EL-1021</t>
  </si>
  <si>
    <t xml:space="preserve">COW-S6-06</t>
  </si>
  <si>
    <t xml:space="preserve">EL-1022</t>
  </si>
  <si>
    <t xml:space="preserve">COW-S6-07</t>
  </si>
  <si>
    <t xml:space="preserve">EL-1023</t>
  </si>
  <si>
    <t xml:space="preserve">COW-S6-08</t>
  </si>
  <si>
    <t xml:space="preserve">EL-1024</t>
  </si>
  <si>
    <t xml:space="preserve">COW-S6-09</t>
  </si>
  <si>
    <t xml:space="preserve">EL-1025</t>
  </si>
  <si>
    <t xml:space="preserve">COW-S6-10</t>
  </si>
  <si>
    <t xml:space="preserve">EL-1026</t>
  </si>
  <si>
    <t xml:space="preserve">COW-S6-11</t>
  </si>
  <si>
    <t xml:space="preserve">EL-1027</t>
  </si>
  <si>
    <t xml:space="preserve">COW-S6-12</t>
  </si>
  <si>
    <t xml:space="preserve">EL-1028</t>
  </si>
  <si>
    <t xml:space="preserve">COW-S6-13</t>
  </si>
  <si>
    <t xml:space="preserve">EL-1029</t>
  </si>
  <si>
    <t xml:space="preserve">COW-S6-14</t>
  </si>
  <si>
    <t xml:space="preserve">EL-1030</t>
  </si>
  <si>
    <t xml:space="preserve">COW-S6-15</t>
  </si>
  <si>
    <t xml:space="preserve">EL-1031</t>
  </si>
  <si>
    <t xml:space="preserve">COW-S7-01</t>
  </si>
  <si>
    <t xml:space="preserve">EL-1032</t>
  </si>
  <si>
    <t xml:space="preserve">COW-S7-02</t>
  </si>
  <si>
    <t xml:space="preserve">EL-1033</t>
  </si>
  <si>
    <t xml:space="preserve">COW-S7-03</t>
  </si>
  <si>
    <t xml:space="preserve">EL-1034</t>
  </si>
  <si>
    <t xml:space="preserve">COW-S7-04</t>
  </si>
  <si>
    <t xml:space="preserve">EL-1035</t>
  </si>
  <si>
    <t xml:space="preserve">COW-S7-05</t>
  </si>
  <si>
    <t xml:space="preserve">EL-1036</t>
  </si>
  <si>
    <t xml:space="preserve">COW-S7-06</t>
  </si>
  <si>
    <t xml:space="preserve">EL-1037</t>
  </si>
  <si>
    <t xml:space="preserve">COW-S7-07</t>
  </si>
  <si>
    <t xml:space="preserve">EL-1038</t>
  </si>
  <si>
    <t xml:space="preserve">COW-S7-08</t>
  </si>
  <si>
    <t xml:space="preserve">EL-1039</t>
  </si>
  <si>
    <t xml:space="preserve">COW-S7-09</t>
  </si>
  <si>
    <t xml:space="preserve">EL-1040</t>
  </si>
  <si>
    <t xml:space="preserve">COW-S7-10</t>
  </si>
  <si>
    <t xml:space="preserve">EL-1041</t>
  </si>
  <si>
    <t xml:space="preserve">COW-S7-11</t>
  </si>
  <si>
    <t xml:space="preserve">EL-1042</t>
  </si>
  <si>
    <t xml:space="preserve">COW-S7-12</t>
  </si>
  <si>
    <t xml:space="preserve">EL-1043</t>
  </si>
  <si>
    <t xml:space="preserve">COW-S7-13</t>
  </si>
  <si>
    <t xml:space="preserve">EL-1044</t>
  </si>
  <si>
    <t xml:space="preserve">COW-S7-14</t>
  </si>
  <si>
    <t xml:space="preserve">EL-1045</t>
  </si>
  <si>
    <t xml:space="preserve">COW-S7-15</t>
  </si>
  <si>
    <t xml:space="preserve">N, C total and C inorganic were not run: organic carbon was measured directly after acid fumigation. A blank means 'not measured' — never zero.</t>
  </si>
  <si>
    <t xml:space="preserve">Reading a lab results sheet — and moving it into the digital data sheet</t>
  </si>
  <si>
    <t xml:space="preserve">Each row of the Results tab is one slice. Match it to Sheet 3 of the digital data sheet by Core ID and Sample ID.</t>
  </si>
  <si>
    <t xml:space="preserve">On the results sheet</t>
  </si>
  <si>
    <t xml:space="preserve">Goes to (digital data sheet, Sheet 3)</t>
  </si>
  <si>
    <t xml:space="preserve">Check before you copy</t>
  </si>
  <si>
    <t xml:space="preserve">Client sample ID (e.g. COW-S5-01)</t>
  </si>
  <si>
    <t xml:space="preserve">Column A Core ID (COW-S5) and column B Sample ID (1)</t>
  </si>
  <si>
    <t xml:space="preserve">The ID must be exactly what you wrote on the bags and the field data sheet.</t>
  </si>
  <si>
    <t xml:space="preserve">Column M — Dry weight (g), whole slice</t>
  </si>
  <si>
    <t xml:space="preserve">Grams, not kilograms. It must be the dry mass of the WHOLE slice, not of a subsample.</t>
  </si>
  <si>
    <t xml:space="preserve">Column N — Carbon value, and type OC in column O</t>
  </si>
  <si>
    <t xml:space="preserve">Only if inorganic carbon was removed or subtracted. A percent of dry mass (0.9 means 0.9%).</t>
  </si>
  <si>
    <t xml:space="preserve">Column N — Carbon value, and type LOI in column O (only where there is no C organic)</t>
  </si>
  <si>
    <t xml:space="preserve">Needs your LOI→OC equation on the Instructions tab. Note the temperature and duration.</t>
  </si>
  <si>
    <t xml:space="preserve">Not used as organic carbon</t>
  </si>
  <si>
    <t xml:space="preserve">Total carbon includes shell carbonate. Ask the lab for inorganic carbon, then OC = TC − IC.</t>
  </si>
  <si>
    <t xml:space="preserve">Not entered</t>
  </si>
  <si>
    <t xml:space="preserve">Used only to work out OC = TC − IC.</t>
  </si>
  <si>
    <t xml:space="preserve">Useful for C:N (a source indicator), not needed for the stock.</t>
  </si>
  <si>
    <t xml:space="preserve">Not entered — the data sheet calculates its own (column Q)</t>
  </si>
  <si>
    <t xml:space="preserve">Use the lab's value only as a cross-check. It must divide by slice thickness: dry mass ÷ (π r² × thickness).</t>
  </si>
  <si>
    <t xml:space="preserve">Drying temperature</t>
  </si>
  <si>
    <t xml:space="preserve">Note it in the workbook (Sheet 3 notes or Sheet 2 core notes)</t>
  </si>
  <si>
    <t xml:space="preserve">60–65 °C is usual for carbon. Material dried at 105 °C can lose some organic matter.</t>
  </si>
  <si>
    <t xml:space="preserve">Three things to look for on any results sheet</t>
  </si>
  <si>
    <t xml:space="preserve">1. Bulk density divided by slice thickness. If the lab divides dry mass by the corer's cross-section only (π r²), a 2 cm slice comes out twice as dense as it is. Check the formula whenever values look unusual for your sediment — dense sands can genuinely exceed 1.8 g/cm³ (several Cowichan slices reach 2.0).</t>
  </si>
  <si>
    <t xml:space="preserve">2. Units. Masses in g or kg, carbon as % or as a fraction (0–1), and whether the units changed between reports.</t>
  </si>
  <si>
    <t xml:space="preserve">3. What 'C' means. Total carbon is not organic carbon. If the sheet does not say inorganic carbon was removed, ask.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</si>
</sst>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CE6F1"/>
      </patternFill>
    </fill>
    <fill>
      <patternFill patternType="solid">
        <fgColor rgb="FFFCE5CD"/>
        <bgColor rgb="FFFFF2CC"/>
      </patternFill>
    </fill>
    <fill>
      <patternFill patternType="solid">
        <fgColor rgb="FFE6E0F0"/>
        <bgColor rgb="FFDCE6F1"/>
      </patternFill>
    </fill>
    <fill>
      <patternFill patternType="solid">
        <fgColor rgb="FFF2F2F2"/>
        <bgColor rgb="FFFFF2CC"/>
      </patternFill>
    </fill>
    <fill>
      <patternFill patternType="solid">
        <fgColor rgb="FFDCE6F1"/>
        <bgColor rgb="FFE6E0F0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E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4" min="12" style="0" width="10"/>
    <col collapsed="false" customWidth="true" hidden="false" outlineLevel="0" max="15" min="15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0" t="s">
        <v>3</v>
      </c>
    </row>
    <row r="5" customFormat="false" ht="15" hidden="false" customHeight="false" outlineLevel="0" collapsed="false">
      <c r="A5" s="3" t="s">
        <v>4</v>
      </c>
      <c r="C5" s="0" t="s">
        <v>5</v>
      </c>
    </row>
    <row r="6" customFormat="false" ht="15" hidden="false" customHeight="false" outlineLevel="0" collapsed="false">
      <c r="A6" s="3" t="s">
        <v>6</v>
      </c>
      <c r="C6" s="0" t="s">
        <v>7</v>
      </c>
    </row>
    <row r="7" customFormat="false" ht="15" hidden="false" customHeight="false" outlineLevel="0" collapsed="false">
      <c r="A7" s="3" t="s">
        <v>8</v>
      </c>
      <c r="C7" s="0" t="s">
        <v>9</v>
      </c>
    </row>
    <row r="8" customFormat="false" ht="15" hidden="false" customHeight="false" outlineLevel="0" collapsed="false">
      <c r="A8" s="3" t="s">
        <v>10</v>
      </c>
      <c r="C8" s="0" t="s">
        <v>11</v>
      </c>
    </row>
    <row r="9" customFormat="false" ht="15" hidden="false" customHeight="false" outlineLevel="0" collapsed="false">
      <c r="A9" s="3" t="s">
        <v>12</v>
      </c>
      <c r="C9" s="0" t="s">
        <v>13</v>
      </c>
    </row>
    <row r="10" customFormat="false" ht="30" hidden="false" customHeight="true" outlineLevel="0" collapsed="false">
      <c r="A10" s="4" t="s">
        <v>14</v>
      </c>
      <c r="B10" s="4"/>
      <c r="C10" s="4"/>
      <c r="D10" s="5" t="s">
        <v>15</v>
      </c>
      <c r="E10" s="5"/>
      <c r="F10" s="5"/>
      <c r="G10" s="5"/>
      <c r="H10" s="5"/>
      <c r="I10" s="6" t="s">
        <v>16</v>
      </c>
      <c r="J10" s="6"/>
      <c r="K10" s="6"/>
      <c r="L10" s="6"/>
      <c r="M10" s="7" t="s">
        <v>17</v>
      </c>
      <c r="N10" s="7"/>
      <c r="O10" s="7"/>
    </row>
    <row r="11" customFormat="false" ht="60" hidden="false" customHeight="tru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23</v>
      </c>
      <c r="G11" s="8" t="s">
        <v>24</v>
      </c>
      <c r="H11" s="8" t="s">
        <v>25</v>
      </c>
      <c r="I11" s="8" t="s">
        <v>26</v>
      </c>
      <c r="J11" s="8" t="s">
        <v>27</v>
      </c>
      <c r="K11" s="8" t="s">
        <v>28</v>
      </c>
      <c r="L11" s="8" t="s">
        <v>29</v>
      </c>
      <c r="M11" s="8" t="s">
        <v>30</v>
      </c>
      <c r="N11" s="8" t="s">
        <v>31</v>
      </c>
      <c r="O11" s="8" t="s">
        <v>32</v>
      </c>
    </row>
    <row r="12" customFormat="false" ht="15" hidden="false" customHeight="false" outlineLevel="0" collapsed="false">
      <c r="A12" s="9" t="s">
        <v>33</v>
      </c>
      <c r="B12" s="10" t="s">
        <v>34</v>
      </c>
      <c r="C12" s="9" t="s">
        <v>35</v>
      </c>
      <c r="D12" s="10" t="n">
        <v>0</v>
      </c>
      <c r="E12" s="10" t="n">
        <v>1</v>
      </c>
      <c r="F12" s="11" t="n">
        <f aca="false">E12-D12</f>
        <v>1</v>
      </c>
      <c r="G12" s="10" t="n">
        <v>7.6</v>
      </c>
      <c r="H12" s="12" t="n">
        <v>53.98</v>
      </c>
      <c r="I12" s="13" t="n">
        <f aca="false">IF(OR(F12="",G12="",H12=""),"",H12/(PI()*(G12/2)^2*F12))</f>
        <v>1.18991465763165</v>
      </c>
      <c r="J12" s="14"/>
      <c r="K12" s="14"/>
      <c r="L12" s="14"/>
      <c r="M12" s="10" t="n">
        <v>0.9</v>
      </c>
      <c r="N12" s="10" t="n">
        <v>2.9</v>
      </c>
      <c r="O12" s="9" t="s">
        <v>36</v>
      </c>
    </row>
    <row r="13" customFormat="false" ht="15" hidden="false" customHeight="false" outlineLevel="0" collapsed="false">
      <c r="A13" s="9" t="s">
        <v>37</v>
      </c>
      <c r="B13" s="10" t="s">
        <v>38</v>
      </c>
      <c r="C13" s="9" t="s">
        <v>35</v>
      </c>
      <c r="D13" s="10" t="n">
        <v>1</v>
      </c>
      <c r="E13" s="10" t="n">
        <v>2</v>
      </c>
      <c r="F13" s="11" t="n">
        <f aca="false">E13-D13</f>
        <v>1</v>
      </c>
      <c r="G13" s="10" t="n">
        <v>7.6</v>
      </c>
      <c r="H13" s="12" t="n">
        <v>69.86</v>
      </c>
      <c r="I13" s="13" t="n">
        <f aca="false">IF(OR(F13="",G13="",H13=""),"",H13/(PI()*(G13/2)^2*F13))</f>
        <v>1.53996735795011</v>
      </c>
      <c r="J13" s="14"/>
      <c r="K13" s="14"/>
      <c r="L13" s="14"/>
      <c r="M13" s="14"/>
      <c r="N13" s="10" t="n">
        <v>3</v>
      </c>
      <c r="O13" s="9" t="s">
        <v>39</v>
      </c>
    </row>
    <row r="14" customFormat="false" ht="15" hidden="false" customHeight="false" outlineLevel="0" collapsed="false">
      <c r="A14" s="9" t="s">
        <v>40</v>
      </c>
      <c r="B14" s="10" t="s">
        <v>41</v>
      </c>
      <c r="C14" s="9" t="s">
        <v>35</v>
      </c>
      <c r="D14" s="10" t="n">
        <v>2</v>
      </c>
      <c r="E14" s="10" t="n">
        <v>3</v>
      </c>
      <c r="F14" s="11" t="n">
        <f aca="false">E14-D14</f>
        <v>1</v>
      </c>
      <c r="G14" s="10" t="n">
        <v>7.6</v>
      </c>
      <c r="H14" s="12" t="n">
        <v>75.76</v>
      </c>
      <c r="I14" s="13" t="n">
        <f aca="false">IF(OR(F14="",G14="",H14=""),"",H14/(PI()*(G14/2)^2*F14))</f>
        <v>1.67002472141856</v>
      </c>
      <c r="J14" s="14"/>
      <c r="K14" s="14"/>
      <c r="L14" s="14"/>
      <c r="M14" s="14"/>
      <c r="N14" s="10" t="n">
        <v>2.9</v>
      </c>
      <c r="O14" s="9" t="s">
        <v>39</v>
      </c>
    </row>
    <row r="15" customFormat="false" ht="15" hidden="false" customHeight="false" outlineLevel="0" collapsed="false">
      <c r="A15" s="9" t="s">
        <v>42</v>
      </c>
      <c r="B15" s="10" t="s">
        <v>43</v>
      </c>
      <c r="C15" s="9" t="s">
        <v>35</v>
      </c>
      <c r="D15" s="10" t="n">
        <v>3</v>
      </c>
      <c r="E15" s="10" t="n">
        <v>4</v>
      </c>
      <c r="F15" s="11" t="n">
        <f aca="false">E15-D15</f>
        <v>1</v>
      </c>
      <c r="G15" s="10" t="n">
        <v>7.6</v>
      </c>
      <c r="H15" s="12" t="n">
        <v>74.4</v>
      </c>
      <c r="I15" s="13" t="n">
        <f aca="false">IF(OR(F15="",G15="",H15=""),"",H15/(PI()*(G15/2)^2*F15))</f>
        <v>1.64004539695804</v>
      </c>
      <c r="J15" s="14"/>
      <c r="K15" s="14"/>
      <c r="L15" s="14"/>
      <c r="M15" s="14"/>
      <c r="N15" s="10" t="n">
        <v>2.8</v>
      </c>
      <c r="O15" s="9" t="s">
        <v>39</v>
      </c>
    </row>
    <row r="16" customFormat="false" ht="15" hidden="false" customHeight="false" outlineLevel="0" collapsed="false">
      <c r="A16" s="9" t="s">
        <v>44</v>
      </c>
      <c r="B16" s="10" t="s">
        <v>45</v>
      </c>
      <c r="C16" s="9" t="s">
        <v>35</v>
      </c>
      <c r="D16" s="10" t="n">
        <v>4</v>
      </c>
      <c r="E16" s="10" t="n">
        <v>5</v>
      </c>
      <c r="F16" s="11" t="n">
        <f aca="false">E16-D16</f>
        <v>1</v>
      </c>
      <c r="G16" s="10" t="n">
        <v>7.6</v>
      </c>
      <c r="H16" s="12" t="n">
        <v>69.86</v>
      </c>
      <c r="I16" s="13" t="n">
        <f aca="false">IF(OR(F16="",G16="",H16=""),"",H16/(PI()*(G16/2)^2*F16))</f>
        <v>1.53996735795011</v>
      </c>
      <c r="J16" s="14"/>
      <c r="K16" s="14"/>
      <c r="L16" s="14"/>
      <c r="M16" s="14"/>
      <c r="N16" s="10" t="n">
        <v>2.9</v>
      </c>
      <c r="O16" s="9" t="s">
        <v>39</v>
      </c>
    </row>
    <row r="17" customFormat="false" ht="15" hidden="false" customHeight="false" outlineLevel="0" collapsed="false">
      <c r="A17" s="9" t="s">
        <v>46</v>
      </c>
      <c r="B17" s="10" t="s">
        <v>47</v>
      </c>
      <c r="C17" s="9" t="s">
        <v>35</v>
      </c>
      <c r="D17" s="10" t="n">
        <v>5</v>
      </c>
      <c r="E17" s="10" t="n">
        <v>6</v>
      </c>
      <c r="F17" s="11" t="n">
        <f aca="false">E17-D17</f>
        <v>1</v>
      </c>
      <c r="G17" s="10" t="n">
        <v>7.6</v>
      </c>
      <c r="H17" s="12" t="n">
        <v>73.04</v>
      </c>
      <c r="I17" s="13" t="n">
        <f aca="false">IF(OR(F17="",G17="",H17=""),"",H17/(PI()*(G17/2)^2*F17))</f>
        <v>1.61006607249751</v>
      </c>
      <c r="J17" s="14"/>
      <c r="K17" s="14"/>
      <c r="L17" s="14"/>
      <c r="M17" s="14"/>
      <c r="N17" s="10" t="n">
        <v>3.3</v>
      </c>
      <c r="O17" s="9" t="s">
        <v>39</v>
      </c>
    </row>
    <row r="18" customFormat="false" ht="15" hidden="false" customHeight="false" outlineLevel="0" collapsed="false">
      <c r="A18" s="9" t="s">
        <v>48</v>
      </c>
      <c r="B18" s="10" t="s">
        <v>49</v>
      </c>
      <c r="C18" s="9" t="s">
        <v>35</v>
      </c>
      <c r="D18" s="10" t="n">
        <v>6</v>
      </c>
      <c r="E18" s="10" t="n">
        <v>7</v>
      </c>
      <c r="F18" s="11" t="n">
        <f aca="false">E18-D18</f>
        <v>1</v>
      </c>
      <c r="G18" s="10" t="n">
        <v>7.6</v>
      </c>
      <c r="H18" s="12" t="n">
        <v>69.86</v>
      </c>
      <c r="I18" s="13" t="n">
        <f aca="false">IF(OR(F18="",G18="",H18=""),"",H18/(PI()*(G18/2)^2*F18))</f>
        <v>1.53996735795011</v>
      </c>
      <c r="J18" s="14"/>
      <c r="K18" s="14"/>
      <c r="L18" s="14"/>
      <c r="M18" s="14"/>
      <c r="N18" s="10" t="n">
        <v>2.2</v>
      </c>
      <c r="O18" s="9" t="s">
        <v>39</v>
      </c>
    </row>
    <row r="19" customFormat="false" ht="15" hidden="false" customHeight="false" outlineLevel="0" collapsed="false">
      <c r="A19" s="9" t="s">
        <v>50</v>
      </c>
      <c r="B19" s="10" t="s">
        <v>51</v>
      </c>
      <c r="C19" s="9" t="s">
        <v>35</v>
      </c>
      <c r="D19" s="10" t="n">
        <v>7</v>
      </c>
      <c r="E19" s="10" t="n">
        <v>8</v>
      </c>
      <c r="F19" s="11" t="n">
        <f aca="false">E19-D19</f>
        <v>1</v>
      </c>
      <c r="G19" s="10" t="n">
        <v>7.6</v>
      </c>
      <c r="H19" s="12" t="n">
        <v>82.56</v>
      </c>
      <c r="I19" s="13" t="n">
        <f aca="false">IF(OR(F19="",G19="",H19=""),"",H19/(PI()*(G19/2)^2*F19))</f>
        <v>1.81992134372117</v>
      </c>
      <c r="J19" s="14"/>
      <c r="K19" s="14"/>
      <c r="L19" s="14"/>
      <c r="M19" s="14"/>
      <c r="N19" s="10" t="n">
        <v>3.2</v>
      </c>
      <c r="O19" s="9" t="s">
        <v>39</v>
      </c>
    </row>
    <row r="20" customFormat="false" ht="15" hidden="false" customHeight="false" outlineLevel="0" collapsed="false">
      <c r="A20" s="9" t="s">
        <v>52</v>
      </c>
      <c r="B20" s="10" t="s">
        <v>53</v>
      </c>
      <c r="C20" s="9" t="s">
        <v>35</v>
      </c>
      <c r="D20" s="10" t="n">
        <v>8</v>
      </c>
      <c r="E20" s="10" t="n">
        <v>9</v>
      </c>
      <c r="F20" s="11" t="n">
        <f aca="false">E20-D20</f>
        <v>1</v>
      </c>
      <c r="G20" s="10" t="n">
        <v>7.6</v>
      </c>
      <c r="H20" s="12" t="n">
        <v>84.38</v>
      </c>
      <c r="I20" s="13" t="n">
        <f aca="false">IF(OR(F20="",G20="",H20=""),"",H20/(PI()*(G20/2)^2*F20))</f>
        <v>1.86004073380805</v>
      </c>
      <c r="J20" s="14"/>
      <c r="K20" s="14"/>
      <c r="L20" s="14"/>
      <c r="M20" s="14"/>
      <c r="N20" s="10" t="n">
        <v>2.8</v>
      </c>
      <c r="O20" s="9" t="s">
        <v>39</v>
      </c>
    </row>
    <row r="21" customFormat="false" ht="15" hidden="false" customHeight="false" outlineLevel="0" collapsed="false">
      <c r="A21" s="9" t="s">
        <v>54</v>
      </c>
      <c r="B21" s="10" t="s">
        <v>55</v>
      </c>
      <c r="C21" s="9" t="s">
        <v>35</v>
      </c>
      <c r="D21" s="10" t="n">
        <v>9</v>
      </c>
      <c r="E21" s="10" t="n">
        <v>10</v>
      </c>
      <c r="F21" s="11" t="n">
        <f aca="false">E21-D21</f>
        <v>1</v>
      </c>
      <c r="G21" s="10" t="n">
        <v>7.6</v>
      </c>
      <c r="H21" s="12" t="n">
        <v>75.76</v>
      </c>
      <c r="I21" s="13" t="n">
        <f aca="false">IF(OR(F21="",G21="",H21=""),"",H21/(PI()*(G21/2)^2*F21))</f>
        <v>1.67002472141856</v>
      </c>
      <c r="J21" s="14"/>
      <c r="K21" s="14"/>
      <c r="L21" s="14"/>
      <c r="M21" s="14"/>
      <c r="N21" s="10" t="n">
        <v>2.5</v>
      </c>
      <c r="O21" s="9" t="s">
        <v>39</v>
      </c>
    </row>
    <row r="22" customFormat="false" ht="15" hidden="false" customHeight="false" outlineLevel="0" collapsed="false">
      <c r="A22" s="9" t="s">
        <v>56</v>
      </c>
      <c r="B22" s="10" t="s">
        <v>57</v>
      </c>
      <c r="C22" s="9" t="s">
        <v>35</v>
      </c>
      <c r="D22" s="10" t="n">
        <v>10</v>
      </c>
      <c r="E22" s="10" t="n">
        <v>12</v>
      </c>
      <c r="F22" s="11" t="n">
        <f aca="false">E22-D22</f>
        <v>2</v>
      </c>
      <c r="G22" s="10" t="n">
        <v>7.6</v>
      </c>
      <c r="H22" s="12" t="n">
        <v>158.78</v>
      </c>
      <c r="I22" s="13" t="n">
        <f aca="false">IF(OR(F22="",G22="",H22=""),"",H22/(PI()*(G22/2)^2*F22))</f>
        <v>1.75004306538304</v>
      </c>
      <c r="J22" s="14"/>
      <c r="K22" s="14"/>
      <c r="L22" s="14"/>
      <c r="M22" s="14"/>
      <c r="N22" s="10" t="n">
        <v>2.6</v>
      </c>
      <c r="O22" s="9" t="s">
        <v>39</v>
      </c>
    </row>
    <row r="23" customFormat="false" ht="15" hidden="false" customHeight="false" outlineLevel="0" collapsed="false">
      <c r="A23" s="9" t="s">
        <v>58</v>
      </c>
      <c r="B23" s="10" t="s">
        <v>59</v>
      </c>
      <c r="C23" s="9" t="s">
        <v>35</v>
      </c>
      <c r="D23" s="10" t="n">
        <v>12</v>
      </c>
      <c r="E23" s="10" t="n">
        <v>14</v>
      </c>
      <c r="F23" s="11" t="n">
        <f aca="false">E23-D23</f>
        <v>2</v>
      </c>
      <c r="G23" s="10" t="n">
        <v>7.6</v>
      </c>
      <c r="H23" s="12" t="n">
        <v>157.87</v>
      </c>
      <c r="I23" s="13" t="n">
        <f aca="false">IF(OR(F23="",G23="",H23=""),"",H23/(PI()*(G23/2)^2*F23))</f>
        <v>1.74001321786132</v>
      </c>
      <c r="J23" s="14"/>
      <c r="K23" s="14"/>
      <c r="L23" s="14"/>
      <c r="M23" s="14"/>
      <c r="N23" s="10" t="n">
        <v>2.5</v>
      </c>
      <c r="O23" s="9" t="s">
        <v>39</v>
      </c>
    </row>
    <row r="24" customFormat="false" ht="15" hidden="false" customHeight="false" outlineLevel="0" collapsed="false">
      <c r="A24" s="9" t="s">
        <v>60</v>
      </c>
      <c r="B24" s="10" t="s">
        <v>61</v>
      </c>
      <c r="C24" s="9" t="s">
        <v>35</v>
      </c>
      <c r="D24" s="10" t="n">
        <v>14</v>
      </c>
      <c r="E24" s="10" t="n">
        <v>16</v>
      </c>
      <c r="F24" s="11" t="n">
        <f aca="false">E24-D24</f>
        <v>2</v>
      </c>
      <c r="G24" s="10" t="n">
        <v>7.6</v>
      </c>
      <c r="H24" s="12" t="n">
        <v>182.37</v>
      </c>
      <c r="I24" s="13" t="n">
        <f aca="false">IF(OR(F24="",G24="",H24=""),"",H24/(PI()*(G24/2)^2*F24))</f>
        <v>2.0100475742153</v>
      </c>
      <c r="J24" s="14"/>
      <c r="K24" s="14"/>
      <c r="L24" s="14"/>
      <c r="M24" s="14"/>
      <c r="N24" s="10" t="n">
        <v>2.3</v>
      </c>
      <c r="O24" s="9" t="s">
        <v>39</v>
      </c>
    </row>
    <row r="25" customFormat="false" ht="15" hidden="false" customHeight="false" outlineLevel="0" collapsed="false">
      <c r="A25" s="9" t="s">
        <v>62</v>
      </c>
      <c r="B25" s="10" t="s">
        <v>63</v>
      </c>
      <c r="C25" s="9" t="s">
        <v>35</v>
      </c>
      <c r="D25" s="10" t="n">
        <v>16</v>
      </c>
      <c r="E25" s="10" t="n">
        <v>18</v>
      </c>
      <c r="F25" s="11" t="n">
        <f aca="false">E25-D25</f>
        <v>2</v>
      </c>
      <c r="G25" s="10" t="n">
        <v>7.6</v>
      </c>
      <c r="H25" s="12" t="n">
        <v>173.29</v>
      </c>
      <c r="I25" s="13" t="n">
        <f aca="false">IF(OR(F25="",G25="",H25=""),"",H25/(PI()*(G25/2)^2*F25))</f>
        <v>1.90996953520738</v>
      </c>
      <c r="J25" s="14"/>
      <c r="K25" s="14"/>
      <c r="L25" s="14"/>
      <c r="M25" s="14"/>
      <c r="N25" s="10" t="n">
        <v>2.3</v>
      </c>
      <c r="O25" s="9" t="s">
        <v>39</v>
      </c>
    </row>
    <row r="26" customFormat="false" ht="15" hidden="false" customHeight="false" outlineLevel="0" collapsed="false">
      <c r="A26" s="9" t="s">
        <v>64</v>
      </c>
      <c r="B26" s="10" t="s">
        <v>65</v>
      </c>
      <c r="C26" s="9" t="s">
        <v>35</v>
      </c>
      <c r="D26" s="10" t="n">
        <v>18</v>
      </c>
      <c r="E26" s="10" t="n">
        <v>20</v>
      </c>
      <c r="F26" s="11" t="n">
        <f aca="false">E26-D26</f>
        <v>2</v>
      </c>
      <c r="G26" s="10" t="n">
        <v>7.6</v>
      </c>
      <c r="H26" s="12" t="n">
        <v>175.11</v>
      </c>
      <c r="I26" s="13" t="n">
        <f aca="false">IF(OR(F26="",G26="",H26=""),"",H26/(PI()*(G26/2)^2*F26))</f>
        <v>1.93002923025082</v>
      </c>
      <c r="J26" s="14"/>
      <c r="K26" s="14"/>
      <c r="L26" s="14"/>
      <c r="M26" s="14"/>
      <c r="N26" s="10" t="n">
        <v>2.2</v>
      </c>
      <c r="O26" s="9" t="s">
        <v>39</v>
      </c>
    </row>
    <row r="27" customFormat="false" ht="15" hidden="false" customHeight="false" outlineLevel="0" collapsed="false">
      <c r="A27" s="9" t="s">
        <v>66</v>
      </c>
      <c r="B27" s="10" t="s">
        <v>67</v>
      </c>
      <c r="C27" s="9" t="s">
        <v>35</v>
      </c>
      <c r="D27" s="10" t="n">
        <v>0</v>
      </c>
      <c r="E27" s="10" t="n">
        <v>1</v>
      </c>
      <c r="F27" s="11" t="n">
        <f aca="false">E27-D27</f>
        <v>1</v>
      </c>
      <c r="G27" s="10" t="n">
        <v>7.6</v>
      </c>
      <c r="H27" s="12" t="n">
        <v>77.57</v>
      </c>
      <c r="I27" s="13" t="n">
        <f aca="false">IF(OR(F27="",G27="",H27=""),"",H27/(PI()*(G27/2)^2*F27))</f>
        <v>1.70992367529617</v>
      </c>
      <c r="J27" s="14"/>
      <c r="K27" s="14"/>
      <c r="L27" s="14"/>
      <c r="M27" s="10" t="n">
        <v>0.9</v>
      </c>
      <c r="N27" s="10" t="n">
        <v>2.8</v>
      </c>
      <c r="O27" s="9" t="s">
        <v>36</v>
      </c>
    </row>
    <row r="28" customFormat="false" ht="15" hidden="false" customHeight="false" outlineLevel="0" collapsed="false">
      <c r="A28" s="9" t="s">
        <v>68</v>
      </c>
      <c r="B28" s="10" t="s">
        <v>69</v>
      </c>
      <c r="C28" s="9" t="s">
        <v>35</v>
      </c>
      <c r="D28" s="10" t="n">
        <v>1</v>
      </c>
      <c r="E28" s="10" t="n">
        <v>2</v>
      </c>
      <c r="F28" s="11" t="n">
        <f aca="false">E28-D28</f>
        <v>1</v>
      </c>
      <c r="G28" s="10" t="n">
        <v>7.6</v>
      </c>
      <c r="H28" s="12" t="n">
        <v>65.33</v>
      </c>
      <c r="I28" s="13" t="n">
        <f aca="false">IF(OR(F28="",G28="",H28=""),"",H28/(PI()*(G28/2)^2*F28))</f>
        <v>1.44010975515146</v>
      </c>
      <c r="J28" s="14"/>
      <c r="K28" s="14"/>
      <c r="L28" s="14"/>
      <c r="M28" s="10" t="n">
        <v>0.4</v>
      </c>
      <c r="N28" s="10" t="n">
        <v>2.1</v>
      </c>
      <c r="O28" s="9" t="s">
        <v>36</v>
      </c>
    </row>
    <row r="29" customFormat="false" ht="15" hidden="false" customHeight="false" outlineLevel="0" collapsed="false">
      <c r="A29" s="9" t="s">
        <v>70</v>
      </c>
      <c r="B29" s="10" t="s">
        <v>71</v>
      </c>
      <c r="C29" s="9" t="s">
        <v>35</v>
      </c>
      <c r="D29" s="10" t="n">
        <v>2</v>
      </c>
      <c r="E29" s="10" t="n">
        <v>3</v>
      </c>
      <c r="F29" s="11" t="n">
        <f aca="false">E29-D29</f>
        <v>1</v>
      </c>
      <c r="G29" s="10" t="n">
        <v>7.6</v>
      </c>
      <c r="H29" s="12" t="n">
        <v>71.68</v>
      </c>
      <c r="I29" s="13" t="n">
        <f aca="false">IF(OR(F29="",G29="",H29=""),"",H29/(PI()*(G29/2)^2*F29))</f>
        <v>1.58008674803699</v>
      </c>
      <c r="J29" s="14"/>
      <c r="K29" s="14"/>
      <c r="L29" s="14"/>
      <c r="M29" s="10" t="n">
        <v>0.4</v>
      </c>
      <c r="N29" s="10" t="n">
        <v>2</v>
      </c>
      <c r="O29" s="9" t="s">
        <v>36</v>
      </c>
    </row>
    <row r="30" customFormat="false" ht="15" hidden="false" customHeight="false" outlineLevel="0" collapsed="false">
      <c r="A30" s="9" t="s">
        <v>72</v>
      </c>
      <c r="B30" s="10" t="s">
        <v>73</v>
      </c>
      <c r="C30" s="9" t="s">
        <v>35</v>
      </c>
      <c r="D30" s="10" t="n">
        <v>3</v>
      </c>
      <c r="E30" s="10" t="n">
        <v>4</v>
      </c>
      <c r="F30" s="11" t="n">
        <f aca="false">E30-D30</f>
        <v>1</v>
      </c>
      <c r="G30" s="10" t="n">
        <v>7.6</v>
      </c>
      <c r="H30" s="12" t="n">
        <v>73.94</v>
      </c>
      <c r="I30" s="13" t="n">
        <f aca="false">IF(OR(F30="",G30="",H30=""),"",H30/(PI()*(G30/2)^2*F30))</f>
        <v>1.62990533133168</v>
      </c>
      <c r="J30" s="14"/>
      <c r="K30" s="14"/>
      <c r="L30" s="14"/>
      <c r="M30" s="10" t="n">
        <v>0.4</v>
      </c>
      <c r="N30" s="10" t="n">
        <v>2.1</v>
      </c>
      <c r="O30" s="9" t="s">
        <v>36</v>
      </c>
    </row>
    <row r="31" customFormat="false" ht="15" hidden="false" customHeight="false" outlineLevel="0" collapsed="false">
      <c r="A31" s="9" t="s">
        <v>74</v>
      </c>
      <c r="B31" s="10" t="s">
        <v>75</v>
      </c>
      <c r="C31" s="9" t="s">
        <v>35</v>
      </c>
      <c r="D31" s="10" t="n">
        <v>4</v>
      </c>
      <c r="E31" s="10" t="n">
        <v>5</v>
      </c>
      <c r="F31" s="11" t="n">
        <f aca="false">E31-D31</f>
        <v>1</v>
      </c>
      <c r="G31" s="10" t="n">
        <v>7.6</v>
      </c>
      <c r="H31" s="12" t="n">
        <v>75.76</v>
      </c>
      <c r="I31" s="13" t="n">
        <f aca="false">IF(OR(F31="",G31="",H31=""),"",H31/(PI()*(G31/2)^2*F31))</f>
        <v>1.67002472141856</v>
      </c>
      <c r="J31" s="14"/>
      <c r="K31" s="14"/>
      <c r="L31" s="14"/>
      <c r="M31" s="10" t="n">
        <v>0.4</v>
      </c>
      <c r="N31" s="10" t="n">
        <v>2</v>
      </c>
      <c r="O31" s="9" t="s">
        <v>36</v>
      </c>
    </row>
    <row r="32" customFormat="false" ht="15" hidden="false" customHeight="false" outlineLevel="0" collapsed="false">
      <c r="A32" s="9" t="s">
        <v>76</v>
      </c>
      <c r="B32" s="10" t="s">
        <v>77</v>
      </c>
      <c r="C32" s="9" t="s">
        <v>35</v>
      </c>
      <c r="D32" s="10" t="n">
        <v>5</v>
      </c>
      <c r="E32" s="10" t="n">
        <v>6</v>
      </c>
      <c r="F32" s="11" t="n">
        <f aca="false">E32-D32</f>
        <v>1</v>
      </c>
      <c r="G32" s="10" t="n">
        <v>7.6</v>
      </c>
      <c r="H32" s="12" t="n">
        <v>66.69</v>
      </c>
      <c r="I32" s="13" t="n">
        <f aca="false">IF(OR(F32="",G32="",H32=""),"",H32/(PI()*(G32/2)^2*F32))</f>
        <v>1.47008907961198</v>
      </c>
      <c r="J32" s="14"/>
      <c r="K32" s="14"/>
      <c r="L32" s="14"/>
      <c r="M32" s="14"/>
      <c r="N32" s="10" t="n">
        <v>2.1</v>
      </c>
      <c r="O32" s="9" t="s">
        <v>39</v>
      </c>
    </row>
    <row r="33" customFormat="false" ht="15" hidden="false" customHeight="false" outlineLevel="0" collapsed="false">
      <c r="A33" s="9" t="s">
        <v>78</v>
      </c>
      <c r="B33" s="10" t="s">
        <v>79</v>
      </c>
      <c r="C33" s="9" t="s">
        <v>35</v>
      </c>
      <c r="D33" s="10" t="n">
        <v>6</v>
      </c>
      <c r="E33" s="10" t="n">
        <v>7</v>
      </c>
      <c r="F33" s="11" t="n">
        <f aca="false">E33-D33</f>
        <v>1</v>
      </c>
      <c r="G33" s="10" t="n">
        <v>7.6</v>
      </c>
      <c r="H33" s="12" t="n">
        <v>70.77</v>
      </c>
      <c r="I33" s="13" t="n">
        <f aca="false">IF(OR(F33="",G33="",H33=""),"",H33/(PI()*(G33/2)^2*F33))</f>
        <v>1.56002705299355</v>
      </c>
      <c r="J33" s="14"/>
      <c r="K33" s="14"/>
      <c r="L33" s="14"/>
      <c r="M33" s="10" t="n">
        <v>0.5</v>
      </c>
      <c r="N33" s="10" t="n">
        <v>2.2</v>
      </c>
      <c r="O33" s="9" t="s">
        <v>36</v>
      </c>
    </row>
    <row r="34" customFormat="false" ht="15" hidden="false" customHeight="false" outlineLevel="0" collapsed="false">
      <c r="A34" s="9" t="s">
        <v>80</v>
      </c>
      <c r="B34" s="10" t="s">
        <v>81</v>
      </c>
      <c r="C34" s="9" t="s">
        <v>35</v>
      </c>
      <c r="D34" s="10" t="n">
        <v>7</v>
      </c>
      <c r="E34" s="10" t="n">
        <v>8</v>
      </c>
      <c r="F34" s="11" t="n">
        <f aca="false">E34-D34</f>
        <v>1</v>
      </c>
      <c r="G34" s="10" t="n">
        <v>7.6</v>
      </c>
      <c r="H34" s="12" t="n">
        <v>71.22</v>
      </c>
      <c r="I34" s="13" t="n">
        <f aca="false">IF(OR(F34="",G34="",H34=""),"",H34/(PI()*(G34/2)^2*F34))</f>
        <v>1.56994668241064</v>
      </c>
      <c r="J34" s="14"/>
      <c r="K34" s="14"/>
      <c r="L34" s="14"/>
      <c r="M34" s="10" t="n">
        <v>0.7</v>
      </c>
      <c r="N34" s="10" t="n">
        <v>2.2</v>
      </c>
      <c r="O34" s="9" t="s">
        <v>36</v>
      </c>
    </row>
    <row r="35" customFormat="false" ht="15" hidden="false" customHeight="false" outlineLevel="0" collapsed="false">
      <c r="A35" s="9" t="s">
        <v>82</v>
      </c>
      <c r="B35" s="10" t="s">
        <v>83</v>
      </c>
      <c r="C35" s="9" t="s">
        <v>35</v>
      </c>
      <c r="D35" s="10" t="n">
        <v>8</v>
      </c>
      <c r="E35" s="10" t="n">
        <v>9</v>
      </c>
      <c r="F35" s="11" t="n">
        <f aca="false">E35-D35</f>
        <v>1</v>
      </c>
      <c r="G35" s="10" t="n">
        <v>7.6</v>
      </c>
      <c r="H35" s="12" t="n">
        <v>66.23</v>
      </c>
      <c r="I35" s="13" t="n">
        <f aca="false">IF(OR(F35="",G35="",H35=""),"",H35/(PI()*(G35/2)^2*F35))</f>
        <v>1.45994901398563</v>
      </c>
      <c r="J35" s="14"/>
      <c r="K35" s="14"/>
      <c r="L35" s="14"/>
      <c r="M35" s="10" t="n">
        <v>0.4</v>
      </c>
      <c r="N35" s="10" t="n">
        <v>2.2</v>
      </c>
      <c r="O35" s="9" t="s">
        <v>36</v>
      </c>
    </row>
    <row r="36" customFormat="false" ht="15" hidden="false" customHeight="false" outlineLevel="0" collapsed="false">
      <c r="A36" s="9" t="s">
        <v>84</v>
      </c>
      <c r="B36" s="10" t="s">
        <v>85</v>
      </c>
      <c r="C36" s="9" t="s">
        <v>35</v>
      </c>
      <c r="D36" s="10" t="n">
        <v>9</v>
      </c>
      <c r="E36" s="10" t="n">
        <v>10</v>
      </c>
      <c r="F36" s="11" t="n">
        <f aca="false">E36-D36</f>
        <v>1</v>
      </c>
      <c r="G36" s="10" t="n">
        <v>7.6</v>
      </c>
      <c r="H36" s="12" t="n">
        <v>68.05</v>
      </c>
      <c r="I36" s="13" t="n">
        <f aca="false">IF(OR(F36="",G36="",H36=""),"",H36/(PI()*(G36/2)^2*F36))</f>
        <v>1.5000684040725</v>
      </c>
      <c r="J36" s="14"/>
      <c r="K36" s="14"/>
      <c r="L36" s="14"/>
      <c r="M36" s="10" t="n">
        <v>0.4</v>
      </c>
      <c r="N36" s="10" t="n">
        <v>2</v>
      </c>
      <c r="O36" s="9" t="s">
        <v>36</v>
      </c>
    </row>
    <row r="37" customFormat="false" ht="15" hidden="false" customHeight="false" outlineLevel="0" collapsed="false">
      <c r="A37" s="9" t="s">
        <v>86</v>
      </c>
      <c r="B37" s="10" t="s">
        <v>87</v>
      </c>
      <c r="C37" s="9" t="s">
        <v>35</v>
      </c>
      <c r="D37" s="10" t="n">
        <v>10</v>
      </c>
      <c r="E37" s="10" t="n">
        <v>12</v>
      </c>
      <c r="F37" s="11" t="n">
        <f aca="false">E37-D37</f>
        <v>2</v>
      </c>
      <c r="G37" s="10" t="n">
        <v>7.6</v>
      </c>
      <c r="H37" s="12" t="n">
        <v>169.66</v>
      </c>
      <c r="I37" s="13" t="n">
        <f aca="false">IF(OR(F37="",G37="",H37=""),"",H37/(PI()*(G37/2)^2*F37))</f>
        <v>1.86996036322514</v>
      </c>
      <c r="J37" s="14"/>
      <c r="K37" s="14"/>
      <c r="L37" s="14"/>
      <c r="M37" s="10" t="n">
        <v>0.6</v>
      </c>
      <c r="N37" s="10" t="n">
        <v>2.1</v>
      </c>
      <c r="O37" s="9" t="s">
        <v>36</v>
      </c>
    </row>
    <row r="38" customFormat="false" ht="15" hidden="false" customHeight="false" outlineLevel="0" collapsed="false">
      <c r="A38" s="9" t="s">
        <v>88</v>
      </c>
      <c r="B38" s="10" t="s">
        <v>89</v>
      </c>
      <c r="C38" s="9" t="s">
        <v>35</v>
      </c>
      <c r="D38" s="10" t="n">
        <v>12</v>
      </c>
      <c r="E38" s="10" t="n">
        <v>14</v>
      </c>
      <c r="F38" s="11" t="n">
        <f aca="false">E38-D38</f>
        <v>2</v>
      </c>
      <c r="G38" s="10" t="n">
        <v>7.6</v>
      </c>
      <c r="H38" s="12" t="n">
        <v>141.54</v>
      </c>
      <c r="I38" s="13" t="n">
        <f aca="false">IF(OR(F38="",G38="",H38=""),"",H38/(PI()*(G38/2)^2*F38))</f>
        <v>1.56002705299355</v>
      </c>
      <c r="J38" s="14"/>
      <c r="K38" s="14"/>
      <c r="L38" s="14"/>
      <c r="M38" s="10" t="n">
        <v>0.3</v>
      </c>
      <c r="N38" s="10" t="n">
        <v>2.2</v>
      </c>
      <c r="O38" s="9" t="s">
        <v>36</v>
      </c>
    </row>
    <row r="39" customFormat="false" ht="15" hidden="false" customHeight="false" outlineLevel="0" collapsed="false">
      <c r="A39" s="9" t="s">
        <v>90</v>
      </c>
      <c r="B39" s="10" t="s">
        <v>91</v>
      </c>
      <c r="C39" s="9" t="s">
        <v>35</v>
      </c>
      <c r="D39" s="10" t="n">
        <v>14</v>
      </c>
      <c r="E39" s="10" t="n">
        <v>16</v>
      </c>
      <c r="F39" s="11" t="n">
        <f aca="false">E39-D39</f>
        <v>2</v>
      </c>
      <c r="G39" s="10" t="n">
        <v>7.6</v>
      </c>
      <c r="H39" s="12" t="n">
        <v>167.85</v>
      </c>
      <c r="I39" s="13" t="n">
        <f aca="false">IF(OR(F39="",G39="",H39=""),"",H39/(PI()*(G39/2)^2*F39))</f>
        <v>1.85001088628633</v>
      </c>
      <c r="J39" s="14"/>
      <c r="K39" s="14"/>
      <c r="L39" s="14"/>
      <c r="M39" s="10" t="n">
        <v>0.6</v>
      </c>
      <c r="N39" s="10" t="n">
        <v>2.8</v>
      </c>
      <c r="O39" s="9" t="s">
        <v>36</v>
      </c>
    </row>
    <row r="40" customFormat="false" ht="15" hidden="false" customHeight="false" outlineLevel="0" collapsed="false">
      <c r="A40" s="9" t="s">
        <v>92</v>
      </c>
      <c r="B40" s="10" t="s">
        <v>93</v>
      </c>
      <c r="C40" s="9" t="s">
        <v>35</v>
      </c>
      <c r="D40" s="10" t="n">
        <v>16</v>
      </c>
      <c r="E40" s="10" t="n">
        <v>18</v>
      </c>
      <c r="F40" s="11" t="n">
        <f aca="false">E40-D40</f>
        <v>2</v>
      </c>
      <c r="G40" s="10" t="n">
        <v>7.6</v>
      </c>
      <c r="H40" s="12" t="n">
        <v>159.68</v>
      </c>
      <c r="I40" s="13" t="n">
        <f aca="false">IF(OR(F40="",G40="",H40=""),"",H40/(PI()*(G40/2)^2*F40))</f>
        <v>1.75996269480013</v>
      </c>
      <c r="J40" s="14"/>
      <c r="K40" s="14"/>
      <c r="L40" s="14"/>
      <c r="M40" s="10" t="n">
        <v>1</v>
      </c>
      <c r="N40" s="10" t="n">
        <v>2.6</v>
      </c>
      <c r="O40" s="9" t="s">
        <v>36</v>
      </c>
    </row>
    <row r="41" customFormat="false" ht="15" hidden="false" customHeight="false" outlineLevel="0" collapsed="false">
      <c r="A41" s="9" t="s">
        <v>94</v>
      </c>
      <c r="B41" s="10" t="s">
        <v>95</v>
      </c>
      <c r="C41" s="9" t="s">
        <v>35</v>
      </c>
      <c r="D41" s="10" t="n">
        <v>18</v>
      </c>
      <c r="E41" s="10" t="n">
        <v>20</v>
      </c>
      <c r="F41" s="11" t="n">
        <f aca="false">E41-D41</f>
        <v>2</v>
      </c>
      <c r="G41" s="10" t="n">
        <v>7.6</v>
      </c>
      <c r="H41" s="12" t="n">
        <v>153.33</v>
      </c>
      <c r="I41" s="13" t="n">
        <f aca="false">IF(OR(F41="",G41="",H41=""),"",H41/(PI()*(G41/2)^2*F41))</f>
        <v>1.68997419835736</v>
      </c>
      <c r="J41" s="14"/>
      <c r="K41" s="14"/>
      <c r="L41" s="14"/>
      <c r="M41" s="10" t="n">
        <v>1.5</v>
      </c>
      <c r="N41" s="10" t="n">
        <v>5.5</v>
      </c>
      <c r="O41" s="9" t="s">
        <v>36</v>
      </c>
    </row>
    <row r="42" customFormat="false" ht="15" hidden="false" customHeight="false" outlineLevel="0" collapsed="false">
      <c r="A42" s="9" t="s">
        <v>96</v>
      </c>
      <c r="B42" s="10" t="s">
        <v>97</v>
      </c>
      <c r="C42" s="9" t="s">
        <v>35</v>
      </c>
      <c r="D42" s="10" t="n">
        <v>0</v>
      </c>
      <c r="E42" s="10" t="n">
        <v>1</v>
      </c>
      <c r="F42" s="11" t="n">
        <f aca="false">E42-D42</f>
        <v>1</v>
      </c>
      <c r="G42" s="10" t="n">
        <v>7.6</v>
      </c>
      <c r="H42" s="12" t="n">
        <v>78.03</v>
      </c>
      <c r="I42" s="13" t="n">
        <f aca="false">IF(OR(F42="",G42="",H42=""),"",H42/(PI()*(G42/2)^2*F42))</f>
        <v>1.72006374092252</v>
      </c>
      <c r="J42" s="14"/>
      <c r="K42" s="14"/>
      <c r="L42" s="14"/>
      <c r="M42" s="10" t="n">
        <v>0.4</v>
      </c>
      <c r="N42" s="10" t="n">
        <v>2.7</v>
      </c>
      <c r="O42" s="9" t="s">
        <v>36</v>
      </c>
    </row>
    <row r="43" customFormat="false" ht="15" hidden="false" customHeight="false" outlineLevel="0" collapsed="false">
      <c r="A43" s="9" t="s">
        <v>98</v>
      </c>
      <c r="B43" s="10" t="s">
        <v>99</v>
      </c>
      <c r="C43" s="9" t="s">
        <v>35</v>
      </c>
      <c r="D43" s="10" t="n">
        <v>1</v>
      </c>
      <c r="E43" s="10" t="n">
        <v>2</v>
      </c>
      <c r="F43" s="11" t="n">
        <f aca="false">E43-D43</f>
        <v>1</v>
      </c>
      <c r="G43" s="10" t="n">
        <v>7.6</v>
      </c>
      <c r="H43" s="12" t="n">
        <v>74.4</v>
      </c>
      <c r="I43" s="13" t="n">
        <f aca="false">IF(OR(F43="",G43="",H43=""),"",H43/(PI()*(G43/2)^2*F43))</f>
        <v>1.64004539695804</v>
      </c>
      <c r="J43" s="14"/>
      <c r="K43" s="14"/>
      <c r="L43" s="14"/>
      <c r="M43" s="14"/>
      <c r="N43" s="10" t="n">
        <v>2.3</v>
      </c>
      <c r="O43" s="9" t="s">
        <v>39</v>
      </c>
    </row>
    <row r="44" customFormat="false" ht="15" hidden="false" customHeight="false" outlineLevel="0" collapsed="false">
      <c r="A44" s="9" t="s">
        <v>100</v>
      </c>
      <c r="B44" s="10" t="s">
        <v>101</v>
      </c>
      <c r="C44" s="9" t="s">
        <v>35</v>
      </c>
      <c r="D44" s="10" t="n">
        <v>2</v>
      </c>
      <c r="E44" s="10" t="n">
        <v>3</v>
      </c>
      <c r="F44" s="11" t="n">
        <f aca="false">E44-D44</f>
        <v>1</v>
      </c>
      <c r="G44" s="10" t="n">
        <v>7.6</v>
      </c>
      <c r="H44" s="12" t="n">
        <v>76.67</v>
      </c>
      <c r="I44" s="13" t="n">
        <f aca="false">IF(OR(F44="",G44="",H44=""),"",H44/(PI()*(G44/2)^2*F44))</f>
        <v>1.690084416462</v>
      </c>
      <c r="J44" s="14"/>
      <c r="K44" s="14"/>
      <c r="L44" s="14"/>
      <c r="M44" s="14"/>
      <c r="N44" s="10" t="n">
        <v>2.8</v>
      </c>
      <c r="O44" s="9" t="s">
        <v>39</v>
      </c>
    </row>
    <row r="45" customFormat="false" ht="15" hidden="false" customHeight="false" outlineLevel="0" collapsed="false">
      <c r="A45" s="9" t="s">
        <v>102</v>
      </c>
      <c r="B45" s="10" t="s">
        <v>103</v>
      </c>
      <c r="C45" s="9" t="s">
        <v>35</v>
      </c>
      <c r="D45" s="10" t="n">
        <v>3</v>
      </c>
      <c r="E45" s="10" t="n">
        <v>4</v>
      </c>
      <c r="F45" s="11" t="n">
        <f aca="false">E45-D45</f>
        <v>1</v>
      </c>
      <c r="G45" s="10" t="n">
        <v>7.6</v>
      </c>
      <c r="H45" s="12" t="n">
        <v>80.75</v>
      </c>
      <c r="I45" s="13" t="n">
        <f aca="false">IF(OR(F45="",G45="",H45=""),"",H45/(PI()*(G45/2)^2*F45))</f>
        <v>1.78002238984357</v>
      </c>
      <c r="J45" s="14"/>
      <c r="K45" s="14"/>
      <c r="L45" s="14"/>
      <c r="M45" s="14"/>
      <c r="N45" s="10" t="n">
        <v>2.8</v>
      </c>
      <c r="O45" s="9" t="s">
        <v>39</v>
      </c>
    </row>
    <row r="46" customFormat="false" ht="15" hidden="false" customHeight="false" outlineLevel="0" collapsed="false">
      <c r="A46" s="9" t="s">
        <v>104</v>
      </c>
      <c r="B46" s="10" t="s">
        <v>105</v>
      </c>
      <c r="C46" s="9" t="s">
        <v>35</v>
      </c>
      <c r="D46" s="10" t="n">
        <v>4</v>
      </c>
      <c r="E46" s="10" t="n">
        <v>5</v>
      </c>
      <c r="F46" s="11" t="n">
        <f aca="false">E46-D46</f>
        <v>1</v>
      </c>
      <c r="G46" s="10" t="n">
        <v>7.6</v>
      </c>
      <c r="H46" s="12" t="n">
        <v>78.48</v>
      </c>
      <c r="I46" s="13" t="n">
        <f aca="false">IF(OR(F46="",G46="",H46=""),"",H46/(PI()*(G46/2)^2*F46))</f>
        <v>1.7299833703396</v>
      </c>
      <c r="J46" s="14"/>
      <c r="K46" s="14"/>
      <c r="L46" s="14"/>
      <c r="M46" s="14"/>
      <c r="N46" s="10" t="n">
        <v>2.4</v>
      </c>
      <c r="O46" s="9" t="s">
        <v>39</v>
      </c>
    </row>
    <row r="47" customFormat="false" ht="15" hidden="false" customHeight="false" outlineLevel="0" collapsed="false">
      <c r="A47" s="9" t="s">
        <v>106</v>
      </c>
      <c r="B47" s="10" t="s">
        <v>107</v>
      </c>
      <c r="C47" s="9" t="s">
        <v>35</v>
      </c>
      <c r="D47" s="10" t="n">
        <v>5</v>
      </c>
      <c r="E47" s="10" t="n">
        <v>6</v>
      </c>
      <c r="F47" s="11" t="n">
        <f aca="false">E47-D47</f>
        <v>1</v>
      </c>
      <c r="G47" s="10" t="n">
        <v>7.6</v>
      </c>
      <c r="H47" s="12" t="n">
        <v>86.19</v>
      </c>
      <c r="I47" s="13" t="n">
        <f aca="false">IF(OR(F47="",G47="",H47=""),"",H47/(PI()*(G47/2)^2*F47))</f>
        <v>1.89993968768566</v>
      </c>
      <c r="J47" s="14"/>
      <c r="K47" s="14"/>
      <c r="L47" s="14"/>
      <c r="M47" s="14"/>
      <c r="N47" s="10" t="n">
        <v>2.4</v>
      </c>
      <c r="O47" s="9" t="s">
        <v>39</v>
      </c>
    </row>
    <row r="48" customFormat="false" ht="15" hidden="false" customHeight="false" outlineLevel="0" collapsed="false">
      <c r="A48" s="9" t="s">
        <v>108</v>
      </c>
      <c r="B48" s="10" t="s">
        <v>109</v>
      </c>
      <c r="C48" s="9" t="s">
        <v>35</v>
      </c>
      <c r="D48" s="10" t="n">
        <v>6</v>
      </c>
      <c r="E48" s="10" t="n">
        <v>7</v>
      </c>
      <c r="F48" s="11" t="n">
        <f aca="false">E48-D48</f>
        <v>1</v>
      </c>
      <c r="G48" s="10" t="n">
        <v>7.6</v>
      </c>
      <c r="H48" s="12" t="n">
        <v>73.49</v>
      </c>
      <c r="I48" s="13" t="n">
        <f aca="false">IF(OR(F48="",G48="",H48=""),"",H48/(PI()*(G48/2)^2*F48))</f>
        <v>1.6199857019146</v>
      </c>
      <c r="J48" s="14"/>
      <c r="K48" s="14"/>
      <c r="L48" s="14"/>
      <c r="M48" s="14"/>
      <c r="N48" s="10" t="n">
        <v>2.5</v>
      </c>
      <c r="O48" s="9" t="s">
        <v>39</v>
      </c>
    </row>
    <row r="49" customFormat="false" ht="15" hidden="false" customHeight="false" outlineLevel="0" collapsed="false">
      <c r="A49" s="9" t="s">
        <v>110</v>
      </c>
      <c r="B49" s="10" t="s">
        <v>111</v>
      </c>
      <c r="C49" s="9" t="s">
        <v>35</v>
      </c>
      <c r="D49" s="10" t="n">
        <v>7</v>
      </c>
      <c r="E49" s="10" t="n">
        <v>8</v>
      </c>
      <c r="F49" s="11" t="n">
        <f aca="false">E49-D49</f>
        <v>1</v>
      </c>
      <c r="G49" s="10" t="n">
        <v>7.6</v>
      </c>
      <c r="H49" s="12" t="n">
        <v>78.48</v>
      </c>
      <c r="I49" s="13" t="n">
        <f aca="false">IF(OR(F49="",G49="",H49=""),"",H49/(PI()*(G49/2)^2*F49))</f>
        <v>1.7299833703396</v>
      </c>
      <c r="J49" s="14"/>
      <c r="K49" s="14"/>
      <c r="L49" s="14"/>
      <c r="M49" s="14"/>
      <c r="N49" s="10" t="n">
        <v>2.2</v>
      </c>
      <c r="O49" s="9" t="s">
        <v>39</v>
      </c>
    </row>
    <row r="50" customFormat="false" ht="15" hidden="false" customHeight="false" outlineLevel="0" collapsed="false">
      <c r="A50" s="9" t="s">
        <v>112</v>
      </c>
      <c r="B50" s="10" t="s">
        <v>113</v>
      </c>
      <c r="C50" s="9" t="s">
        <v>35</v>
      </c>
      <c r="D50" s="10" t="n">
        <v>8</v>
      </c>
      <c r="E50" s="10" t="n">
        <v>9</v>
      </c>
      <c r="F50" s="11" t="n">
        <f aca="false">E50-D50</f>
        <v>1</v>
      </c>
      <c r="G50" s="10" t="n">
        <v>7.6</v>
      </c>
      <c r="H50" s="12" t="n">
        <v>88.91</v>
      </c>
      <c r="I50" s="13" t="n">
        <f aca="false">IF(OR(F50="",G50="",H50=""),"",H50/(PI()*(G50/2)^2*F50))</f>
        <v>1.95989833660671</v>
      </c>
      <c r="J50" s="14"/>
      <c r="K50" s="14"/>
      <c r="L50" s="14"/>
      <c r="M50" s="14"/>
      <c r="N50" s="10" t="n">
        <v>2</v>
      </c>
      <c r="O50" s="9" t="s">
        <v>39</v>
      </c>
    </row>
    <row r="51" customFormat="false" ht="15" hidden="false" customHeight="false" outlineLevel="0" collapsed="false">
      <c r="A51" s="9" t="s">
        <v>114</v>
      </c>
      <c r="B51" s="10" t="s">
        <v>115</v>
      </c>
      <c r="C51" s="9" t="s">
        <v>35</v>
      </c>
      <c r="D51" s="10" t="n">
        <v>9</v>
      </c>
      <c r="E51" s="10" t="n">
        <v>10</v>
      </c>
      <c r="F51" s="11" t="n">
        <f aca="false">E51-D51</f>
        <v>1</v>
      </c>
      <c r="G51" s="10" t="n">
        <v>7.6</v>
      </c>
      <c r="H51" s="12" t="n">
        <v>79.84</v>
      </c>
      <c r="I51" s="13" t="n">
        <f aca="false">IF(OR(F51="",G51="",H51=""),"",H51/(PI()*(G51/2)^2*F51))</f>
        <v>1.75996269480013</v>
      </c>
      <c r="J51" s="14"/>
      <c r="K51" s="14"/>
      <c r="L51" s="14"/>
      <c r="M51" s="14"/>
      <c r="N51" s="10" t="n">
        <v>2.2</v>
      </c>
      <c r="O51" s="9" t="s">
        <v>39</v>
      </c>
    </row>
    <row r="52" customFormat="false" ht="15" hidden="false" customHeight="false" outlineLevel="0" collapsed="false">
      <c r="A52" s="9" t="s">
        <v>116</v>
      </c>
      <c r="B52" s="10" t="s">
        <v>117</v>
      </c>
      <c r="C52" s="9" t="s">
        <v>35</v>
      </c>
      <c r="D52" s="10" t="n">
        <v>10</v>
      </c>
      <c r="E52" s="10" t="n">
        <v>12</v>
      </c>
      <c r="F52" s="11" t="n">
        <f aca="false">E52-D52</f>
        <v>2</v>
      </c>
      <c r="G52" s="10" t="n">
        <v>7.6</v>
      </c>
      <c r="H52" s="12" t="n">
        <v>146.98</v>
      </c>
      <c r="I52" s="13" t="n">
        <f aca="false">IF(OR(F52="",G52="",H52=""),"",H52/(PI()*(G52/2)^2*F52))</f>
        <v>1.6199857019146</v>
      </c>
      <c r="J52" s="14"/>
      <c r="K52" s="14"/>
      <c r="L52" s="14"/>
      <c r="M52" s="14"/>
      <c r="N52" s="10" t="n">
        <v>2.3</v>
      </c>
      <c r="O52" s="9" t="s">
        <v>39</v>
      </c>
    </row>
    <row r="53" customFormat="false" ht="15" hidden="false" customHeight="false" outlineLevel="0" collapsed="false">
      <c r="A53" s="9" t="s">
        <v>118</v>
      </c>
      <c r="B53" s="10" t="s">
        <v>119</v>
      </c>
      <c r="C53" s="9" t="s">
        <v>35</v>
      </c>
      <c r="D53" s="10" t="n">
        <v>12</v>
      </c>
      <c r="E53" s="10" t="n">
        <v>14</v>
      </c>
      <c r="F53" s="11" t="n">
        <f aca="false">E53-D53</f>
        <v>2</v>
      </c>
      <c r="G53" s="10" t="n">
        <v>7.6</v>
      </c>
      <c r="H53" s="12" t="n">
        <v>169.66</v>
      </c>
      <c r="I53" s="13" t="n">
        <f aca="false">IF(OR(F53="",G53="",H53=""),"",H53/(PI()*(G53/2)^2*F53))</f>
        <v>1.86996036322514</v>
      </c>
      <c r="J53" s="14"/>
      <c r="K53" s="14"/>
      <c r="L53" s="14"/>
      <c r="M53" s="14"/>
      <c r="N53" s="10" t="n">
        <v>2.5</v>
      </c>
      <c r="O53" s="9" t="s">
        <v>39</v>
      </c>
    </row>
    <row r="54" customFormat="false" ht="15" hidden="false" customHeight="false" outlineLevel="0" collapsed="false">
      <c r="A54" s="9" t="s">
        <v>120</v>
      </c>
      <c r="B54" s="10" t="s">
        <v>121</v>
      </c>
      <c r="C54" s="9" t="s">
        <v>35</v>
      </c>
      <c r="D54" s="10" t="n">
        <v>14</v>
      </c>
      <c r="E54" s="10" t="n">
        <v>16</v>
      </c>
      <c r="F54" s="11" t="n">
        <f aca="false">E54-D54</f>
        <v>2</v>
      </c>
      <c r="G54" s="10" t="n">
        <v>7.6</v>
      </c>
      <c r="H54" s="12" t="n">
        <v>160.59</v>
      </c>
      <c r="I54" s="13" t="n">
        <f aca="false">IF(OR(F54="",G54="",H54=""),"",H54/(PI()*(G54/2)^2*F54))</f>
        <v>1.76999254232185</v>
      </c>
      <c r="J54" s="14"/>
      <c r="K54" s="14"/>
      <c r="L54" s="14"/>
      <c r="M54" s="14"/>
      <c r="N54" s="10" t="n">
        <v>2</v>
      </c>
      <c r="O54" s="9" t="s">
        <v>39</v>
      </c>
    </row>
    <row r="55" customFormat="false" ht="15" hidden="false" customHeight="false" outlineLevel="0" collapsed="false">
      <c r="A55" s="9" t="s">
        <v>122</v>
      </c>
      <c r="B55" s="10" t="s">
        <v>123</v>
      </c>
      <c r="C55" s="9" t="s">
        <v>35</v>
      </c>
      <c r="D55" s="10" t="n">
        <v>16</v>
      </c>
      <c r="E55" s="10" t="n">
        <v>18</v>
      </c>
      <c r="F55" s="11" t="n">
        <f aca="false">E55-D55</f>
        <v>2</v>
      </c>
      <c r="G55" s="10" t="n">
        <v>7.6</v>
      </c>
      <c r="H55" s="12" t="n">
        <v>157.87</v>
      </c>
      <c r="I55" s="13" t="n">
        <f aca="false">IF(OR(F55="",G55="",H55=""),"",H55/(PI()*(G55/2)^2*F55))</f>
        <v>1.74001321786132</v>
      </c>
      <c r="J55" s="14"/>
      <c r="K55" s="14"/>
      <c r="L55" s="14"/>
      <c r="M55" s="14"/>
      <c r="N55" s="10" t="n">
        <v>2.3</v>
      </c>
      <c r="O55" s="9" t="s">
        <v>39</v>
      </c>
    </row>
    <row r="56" customFormat="false" ht="15" hidden="false" customHeight="false" outlineLevel="0" collapsed="false">
      <c r="A56" s="9" t="s">
        <v>124</v>
      </c>
      <c r="B56" s="10" t="s">
        <v>125</v>
      </c>
      <c r="C56" s="9" t="s">
        <v>35</v>
      </c>
      <c r="D56" s="10" t="n">
        <v>18</v>
      </c>
      <c r="E56" s="10" t="n">
        <v>20</v>
      </c>
      <c r="F56" s="11" t="n">
        <f aca="false">E56-D56</f>
        <v>2</v>
      </c>
      <c r="G56" s="10" t="n">
        <v>7.6</v>
      </c>
      <c r="H56" s="12" t="n">
        <v>168.76</v>
      </c>
      <c r="I56" s="13" t="n">
        <f aca="false">IF(OR(F56="",G56="",H56=""),"",H56/(PI()*(G56/2)^2*F56))</f>
        <v>1.86004073380805</v>
      </c>
      <c r="J56" s="14"/>
      <c r="K56" s="14"/>
      <c r="L56" s="14"/>
      <c r="M56" s="14"/>
      <c r="N56" s="10" t="n">
        <v>2</v>
      </c>
      <c r="O56" s="9" t="s">
        <v>39</v>
      </c>
    </row>
    <row r="58" customFormat="false" ht="15" hidden="false" customHeight="false" outlineLevel="0" collapsed="false">
      <c r="A58" s="15" t="s">
        <v>126</v>
      </c>
    </row>
  </sheetData>
  <mergeCells count="4">
    <mergeCell ref="A10:C10"/>
    <mergeCell ref="D10:H10"/>
    <mergeCell ref="I10:L10"/>
    <mergeCell ref="M10:O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6" t="s">
        <v>127</v>
      </c>
    </row>
    <row r="2" customFormat="false" ht="15" hidden="false" customHeight="false" outlineLevel="0" collapsed="false">
      <c r="A2" s="0" t="s">
        <v>128</v>
      </c>
    </row>
    <row r="3" customFormat="false" ht="30" hidden="false" customHeight="true" outlineLevel="0" collapsed="false">
      <c r="A3" s="4" t="s">
        <v>14</v>
      </c>
      <c r="B3" s="5" t="s">
        <v>15</v>
      </c>
      <c r="C3" s="6" t="s">
        <v>16</v>
      </c>
      <c r="D3" s="7" t="s">
        <v>17</v>
      </c>
    </row>
    <row r="5" customFormat="false" ht="15" hidden="false" customHeight="false" outlineLevel="0" collapsed="false">
      <c r="A5" s="8" t="s">
        <v>129</v>
      </c>
      <c r="B5" s="8" t="s">
        <v>130</v>
      </c>
      <c r="C5" s="8" t="s">
        <v>131</v>
      </c>
    </row>
    <row r="6" customFormat="false" ht="15" hidden="false" customHeight="false" outlineLevel="0" collapsed="false">
      <c r="A6" s="17" t="s">
        <v>132</v>
      </c>
      <c r="B6" s="17" t="s">
        <v>133</v>
      </c>
      <c r="C6" s="17" t="s">
        <v>134</v>
      </c>
    </row>
    <row r="7" customFormat="false" ht="23.85" hidden="false" customHeight="false" outlineLevel="0" collapsed="false">
      <c r="A7" s="17" t="s">
        <v>25</v>
      </c>
      <c r="B7" s="17" t="s">
        <v>135</v>
      </c>
      <c r="C7" s="17" t="s">
        <v>136</v>
      </c>
    </row>
    <row r="8" customFormat="false" ht="23.85" hidden="false" customHeight="false" outlineLevel="0" collapsed="false">
      <c r="A8" s="17" t="s">
        <v>30</v>
      </c>
      <c r="B8" s="17" t="s">
        <v>137</v>
      </c>
      <c r="C8" s="17" t="s">
        <v>138</v>
      </c>
    </row>
    <row r="9" customFormat="false" ht="23.85" hidden="false" customHeight="false" outlineLevel="0" collapsed="false">
      <c r="A9" s="17" t="s">
        <v>31</v>
      </c>
      <c r="B9" s="17" t="s">
        <v>139</v>
      </c>
      <c r="C9" s="17" t="s">
        <v>140</v>
      </c>
    </row>
    <row r="10" customFormat="false" ht="23.85" hidden="false" customHeight="false" outlineLevel="0" collapsed="false">
      <c r="A10" s="17" t="s">
        <v>28</v>
      </c>
      <c r="B10" s="17" t="s">
        <v>141</v>
      </c>
      <c r="C10" s="17" t="s">
        <v>142</v>
      </c>
    </row>
    <row r="11" customFormat="false" ht="15" hidden="false" customHeight="false" outlineLevel="0" collapsed="false">
      <c r="A11" s="17" t="s">
        <v>29</v>
      </c>
      <c r="B11" s="17" t="s">
        <v>143</v>
      </c>
      <c r="C11" s="17" t="s">
        <v>144</v>
      </c>
    </row>
    <row r="12" customFormat="false" ht="15" hidden="false" customHeight="false" outlineLevel="0" collapsed="false">
      <c r="A12" s="17" t="s">
        <v>27</v>
      </c>
      <c r="B12" s="17" t="s">
        <v>143</v>
      </c>
      <c r="C12" s="17" t="s">
        <v>145</v>
      </c>
    </row>
    <row r="13" customFormat="false" ht="23.85" hidden="false" customHeight="false" outlineLevel="0" collapsed="false">
      <c r="A13" s="17" t="s">
        <v>26</v>
      </c>
      <c r="B13" s="17" t="s">
        <v>146</v>
      </c>
      <c r="C13" s="17" t="s">
        <v>147</v>
      </c>
    </row>
    <row r="14" customFormat="false" ht="23.85" hidden="false" customHeight="false" outlineLevel="0" collapsed="false">
      <c r="A14" s="17" t="s">
        <v>148</v>
      </c>
      <c r="B14" s="17" t="s">
        <v>149</v>
      </c>
      <c r="C14" s="17" t="s">
        <v>150</v>
      </c>
    </row>
    <row r="16" customFormat="false" ht="15" hidden="false" customHeight="false" outlineLevel="0" collapsed="false">
      <c r="A16" s="3" t="s">
        <v>151</v>
      </c>
    </row>
    <row r="17" customFormat="false" ht="31.5" hidden="false" customHeight="true" outlineLevel="0" collapsed="false">
      <c r="A17" s="18" t="s">
        <v>152</v>
      </c>
      <c r="B17" s="18"/>
      <c r="C17" s="18"/>
    </row>
    <row r="18" customFormat="false" ht="31.5" hidden="false" customHeight="true" outlineLevel="0" collapsed="false">
      <c r="A18" s="18" t="s">
        <v>153</v>
      </c>
      <c r="B18" s="18"/>
      <c r="C18" s="18"/>
    </row>
    <row r="19" customFormat="false" ht="31.5" hidden="false" customHeight="true" outlineLevel="0" collapsed="false">
      <c r="A19" s="18" t="s">
        <v>154</v>
      </c>
      <c r="B19" s="18"/>
      <c r="C19" s="18"/>
    </row>
  </sheetData>
  <mergeCells count="3"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2026-10-07T02:05:52Z</dcterms:created>
  <dc:creator>openpyxl</dc:creator>
  <dc:description/>
  <dc:language>en-CA</dc:language>
  <cp:lastModifiedBy/>
  <dcterms:modified xsi:type="dcterms:W3CDTF">2026-10-07T02:05:52Z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