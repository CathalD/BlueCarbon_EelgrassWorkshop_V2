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Instructions" sheetId="1" r:id="rId5"/>
    <sheet state="visible" name="2. Plot &amp; Core Log" sheetId="2" r:id="rId6"/>
    <sheet state="visible" name="3. Sample Data" sheetId="3" r:id="rId7"/>
    <sheet state="visible" name="4. Core Summary" sheetId="4" r:id="rId8"/>
  </sheets>
  <definedNames/>
  <calcPr/>
</workbook>
</file>

<file path=xl/sharedStrings.xml><?xml version="1.0" encoding="utf-8"?>
<sst xmlns="http://schemas.openxmlformats.org/spreadsheetml/2006/main" count="111" uniqueCount="105">
  <si>
    <t>Eelgrass Workshop — Digital Data Sheet</t>
  </si>
  <si>
    <t>Sample Data — one row per slice</t>
  </si>
  <si>
    <t>Companion to WWF-Canada, Measuring Carbon in Coastal Sediments (2026), and Part 4 of the Blue Carbon Eelgrass Workshop.</t>
  </si>
  <si>
    <t>Type only in the yellow columns. Core ID must match Sheet 2 exactly. Enter carbon concentration as a percent (0.9 means 0.9%).</t>
  </si>
  <si>
    <t>HOW TO USE THIS WORKBOOK</t>
  </si>
  <si>
    <t>Sheet 2 — Plot &amp; Core Log</t>
  </si>
  <si>
    <t>1. Data from the field</t>
  </si>
  <si>
    <t>One row per CORE. Enter plot/core notes, the corer diameter, and the two insertion depths. The compaction factor calculates itself.</t>
  </si>
  <si>
    <t>Core Summary — automatic, nothing to type</t>
  </si>
  <si>
    <t>Plot &amp; Core Log — one row per core</t>
  </si>
  <si>
    <t>Sheet 3 — Sample Data</t>
  </si>
  <si>
    <t>One row per SLICE. Enter the field columns before you leave site, then add the lab columns when results come back. Everything else calculates.</t>
  </si>
  <si>
    <t>One row per core on Sheet 2. Carbon stock is the sum of the slice stocks, which is the field guide's Eq 5 (sum of subsections) converted to kg C/m2 by Eq 6.</t>
  </si>
  <si>
    <t>Enter one row for every core you collect. Core ID must be unique and must match exactly what you type on Sheet 3, since the sample rows look up their compaction factor and corer diameter from here.</t>
  </si>
  <si>
    <t>Sheet 4 — Core Summary</t>
  </si>
  <si>
    <t>Per-core totals. Fully automatic — nothing to type here.</t>
  </si>
  <si>
    <t>2. Calculated before the lab</t>
  </si>
  <si>
    <t>COLOUR KEY</t>
  </si>
  <si>
    <t>Core ID</t>
  </si>
  <si>
    <t>Plot &amp; core identification</t>
  </si>
  <si>
    <t>Yellow fill / blue text</t>
  </si>
  <si>
    <t>Data from the field (align with the field data sheet)</t>
  </si>
  <si>
    <t>3. Measured by the lab</t>
  </si>
  <si>
    <t>Slices analysed</t>
  </si>
  <si>
    <t>4. Calculated after the lab</t>
  </si>
  <si>
    <t>Grey fill / black text</t>
  </si>
  <si>
    <t>Coring measurements</t>
  </si>
  <si>
    <t>Max in-situ depth (cm)</t>
  </si>
  <si>
    <t>Calculated. Do not type over these — you will break the column.</t>
  </si>
  <si>
    <t>Mean dry bulk density (g/cm3)</t>
  </si>
  <si>
    <t>Green text</t>
  </si>
  <si>
    <t>Pulled from another sheet in this workbook.</t>
  </si>
  <si>
    <t>Mean carbon conc. (%)</t>
  </si>
  <si>
    <t>Calculated</t>
  </si>
  <si>
    <t>Pink fill</t>
  </si>
  <si>
    <t>Sample ID</t>
  </si>
  <si>
    <t>Core carbon stock (g C/cm2)</t>
  </si>
  <si>
    <t>Worked example row. Delete it before entering your own data.</t>
  </si>
  <si>
    <t>Top depth
(cm)</t>
  </si>
  <si>
    <t>Core carbon stock (kg C/m2)</t>
  </si>
  <si>
    <t>THE FOUR BANDS ON SHEET 3</t>
  </si>
  <si>
    <t>Bottom depth
(cm)</t>
  </si>
  <si>
    <t>Plot ID</t>
  </si>
  <si>
    <t>Complete?</t>
  </si>
  <si>
    <t>Notes</t>
  </si>
  <si>
    <t>Copy directly from the field data</t>
  </si>
  <si>
    <t>Depth interval
(cm)</t>
  </si>
  <si>
    <t>Date</t>
  </si>
  <si>
    <t>Compaction
factor</t>
  </si>
  <si>
    <t>Depth interval, compaction-corrected depths, and sample volume. You need the volume to hand to the lab, or to compute bulk density yourself.</t>
  </si>
  <si>
    <t>Time</t>
  </si>
  <si>
    <t>Study area / site</t>
  </si>
  <si>
    <t>Wet weight, dry weight, and carbon concentration.</t>
  </si>
  <si>
    <t>Latitude</t>
  </si>
  <si>
    <t>Corer diameter
(cm)</t>
  </si>
  <si>
    <t>In-situ top
depth (cm)</t>
  </si>
  <si>
    <t>Bulk density, carbon density and carbon stock per slice.</t>
  </si>
  <si>
    <t>In-situ bottom
depth (cm)</t>
  </si>
  <si>
    <t>UNITS</t>
  </si>
  <si>
    <t>Sample volume
(cm3)</t>
  </si>
  <si>
    <t>Wet weight
(g)</t>
  </si>
  <si>
    <t>Longitude</t>
  </si>
  <si>
    <t>Depths</t>
  </si>
  <si>
    <t>centimetres (cm)</t>
  </si>
  <si>
    <t>Dry weight
(g)</t>
  </si>
  <si>
    <t>Photo series ID</t>
  </si>
  <si>
    <t>Carbon conc.
(%)</t>
  </si>
  <si>
    <t>Weights</t>
  </si>
  <si>
    <t>grams (g)</t>
  </si>
  <si>
    <t>Water content
(%)</t>
  </si>
  <si>
    <t>Weather / tidal conditions</t>
  </si>
  <si>
    <t>Dry bulk density
(g/cm3)
bulk_density_g_cm3</t>
  </si>
  <si>
    <t>Volume</t>
  </si>
  <si>
    <t>cubic centimetres (cm3)</t>
  </si>
  <si>
    <t>Corer internal
diameter (cm)</t>
  </si>
  <si>
    <t>Organic carbon
(g/kg)
soc_g_kg</t>
  </si>
  <si>
    <t>Carbon density
(g C/cm3)</t>
  </si>
  <si>
    <t>Carbon concentration</t>
  </si>
  <si>
    <t>Outside depth (cm)
= depth corer inserted</t>
  </si>
  <si>
    <t>Carbon stock
(g C/cm2)</t>
  </si>
  <si>
    <t>Assume in percent (0-100%), some labs return decimal value (0-1)</t>
  </si>
  <si>
    <t>Carbon stock
(kg C/m2)</t>
  </si>
  <si>
    <t>Inside depth (cm)
= length of core recovered</t>
  </si>
  <si>
    <t>Dry bulk density</t>
  </si>
  <si>
    <t>g/cm3</t>
  </si>
  <si>
    <t>Compaction factor
= outside / inside</t>
  </si>
  <si>
    <t>Carbon stock</t>
  </si>
  <si>
    <t>reported per slice both as g C/cm2 and kg C/m2 (the field guide's Eq 4 and Eq 6).</t>
  </si>
  <si>
    <t>Compaction (cm)
= outside - inside</t>
  </si>
  <si>
    <t>PREP DATA for the R ANALYSIS</t>
  </si>
  <si>
    <t>QC check</t>
  </si>
  <si>
    <t>bulk_density_g_cm3</t>
  </si>
  <si>
    <t>Sheet 3, column Q — matches the field name expected by the EelgrassWorkshop scripts.</t>
  </si>
  <si>
    <t>soc_g_kg</t>
  </si>
  <si>
    <t>Sheet 3, column R — organic carbon in g/kg, which is simply %C x 10.</t>
  </si>
  <si>
    <t>TWO THINGS THAT CATCH PEOPLE OUT</t>
  </si>
  <si>
    <t>Measure your actual corer diameter</t>
  </si>
  <si>
    <t>Nominal pipe size is not internal diameter. A '3 inch' Schedule 40 PVC pipe has an internal diameter noticeably larger than 7.62 cm. Volume sits in the denominator of bulk density, so an assumed diameter biases EVERY carbon stock in the dataset. Measure the ID with calipers and enter that.</t>
  </si>
  <si>
    <t>Compaction corrects depths, not stocks</t>
  </si>
  <si>
    <t>Carbon stock per slice uses the MEASURED interval, not the decompacted one. The dry mass in the tube already came from a taller in-situ column, so multiplying by the compaction factor as well would double-count it. The corrected depths (columns I-K) exist to tell you which in-situ depth each slice represents, which is what depth harmonisation needs.</t>
  </si>
  <si>
    <t>Definitions — outside vs inside depth</t>
  </si>
  <si>
    <t>Outside depth = how far the corer was driven into the sediment (penetration). Inside depth = the length of core actually recovered inside the tube. These match the paper datasheet (Appendix 2), where the worked example is 50 cm and 45 cm. Compaction factor = outside / inside, and is the number you multiply a measured depth by to get its true in-situ depth.</t>
  </si>
  <si>
    <t>Mean across cores</t>
  </si>
  <si>
    <t>This is the field guide's Eq 7 (mean of cores). Scale by site area for Eq 8.</t>
  </si>
  <si>
    <t>EXAMPLE ROW (pink) — delete row 6 before entering your own data.</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</si>
</sst>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0.000"/>
    <numFmt numFmtId="166" formatCode="0.0000"/>
    <numFmt numFmtId="167" formatCode="0.00000"/>
  </numFmts>
  <fonts count="16">
    <font>
      <sz val="11.0"/>
      <color theme="1"/>
      <name val="Calibri"/>
      <scheme val="minor"/>
    </font>
    <font>
      <b/>
      <sz val="16.0"/>
      <color rgb="FF222222"/>
      <name val="Arial"/>
    </font>
    <font>
      <b/>
      <sz val="14.0"/>
      <color rgb="FF222222"/>
      <name val="Arial"/>
    </font>
    <font>
      <i/>
      <sz val="10.0"/>
      <color theme="1"/>
      <name val="Arial"/>
    </font>
    <font>
      <i/>
      <sz val="9.0"/>
      <color theme="1"/>
      <name val="Arial"/>
    </font>
    <font>
      <b/>
      <sz val="11.0"/>
      <color rgb="FF1B7B8C"/>
      <name val="Arial"/>
    </font>
    <font>
      <b/>
      <sz val="10.0"/>
      <color theme="1"/>
      <name val="Arial"/>
    </font>
    <font>
      <sz val="10.0"/>
      <color theme="1"/>
      <name val="Arial"/>
    </font>
    <font>
      <b/>
      <sz val="10.0"/>
      <color rgb="FFFFFFFF"/>
      <name val="Arial"/>
    </font>
    <font/>
    <font>
      <b/>
      <sz val="9.0"/>
      <color rgb="FFFFFFFF"/>
      <name val="Arial"/>
    </font>
    <font>
      <sz val="9.0"/>
      <color rgb="FF008000"/>
      <name val="Arial"/>
    </font>
    <font>
      <sz val="9.0"/>
      <color rgb="FF0000FF"/>
      <name val="Arial"/>
    </font>
    <font>
      <sz val="9.0"/>
      <color rgb="FF000000"/>
      <name val="Arial"/>
    </font>
    <font>
      <sz val="9.0"/>
      <color theme="1"/>
      <name val="Arial"/>
    </font>
    <font>
      <b/>
      <i/>
      <sz val="9.0"/>
      <color rgb="FFB03030"/>
      <name val="Arial"/>
    </font>
  </fonts>
  <fills count="9">
    <fill>
      <patternFill patternType="none"/>
    </fill>
    <fill>
      <patternFill patternType="lightGray"/>
    </fill>
    <fill>
      <patternFill patternType="solid">
        <fgColor rgb="FF1B7B8C"/>
        <bgColor rgb="FF1B7B8C"/>
      </patternFill>
    </fill>
    <fill>
      <patternFill patternType="solid">
        <fgColor rgb="FF4A9D5F"/>
        <bgColor rgb="FF4A9D5F"/>
      </patternFill>
    </fill>
    <fill>
      <patternFill patternType="solid">
        <fgColor rgb="FF5B4E9D"/>
        <bgColor rgb="FF5B4E9D"/>
      </patternFill>
    </fill>
    <fill>
      <patternFill patternType="solid">
        <fgColor rgb="FFC8722B"/>
        <bgColor rgb="FFC8722B"/>
      </patternFill>
    </fill>
    <fill>
      <patternFill patternType="solid">
        <fgColor rgb="FFF0F0F0"/>
        <bgColor rgb="FFF0F0F0"/>
      </patternFill>
    </fill>
    <fill>
      <patternFill patternType="solid">
        <fgColor rgb="FFFFF9DB"/>
        <bgColor rgb="FFFFF9DB"/>
      </patternFill>
    </fill>
    <fill>
      <patternFill patternType="solid">
        <fgColor rgb="FFE8E4F5"/>
        <bgColor rgb="FFE8E4F5"/>
      </patternFill>
    </fill>
  </fills>
  <borders count="5">
    <border/>
    <border>
      <left/>
      <top/>
      <bottom/>
    </border>
    <border>
      <top/>
      <bottom/>
    </border>
    <border>
      <right/>
      <top/>
      <bottom/>
    </border>
    <border>
      <left style="thin">
        <color rgb="FFBBBBBB"/>
      </left>
      <right style="thin">
        <color rgb="FFBBBBBB"/>
      </right>
      <top style="thin">
        <color rgb="FFBBBBBB"/>
      </top>
      <bottom style="thin">
        <color rgb="FFBBBBBB"/>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7" numFmtId="0" xfId="0" applyAlignment="1" applyFont="1">
      <alignment shrinkToFit="0" vertical="top" wrapText="1"/>
    </xf>
    <xf borderId="1" fillId="2" fontId="8" numFmtId="0" xfId="0" applyAlignment="1" applyBorder="1" applyFill="1" applyFont="1">
      <alignment horizontal="center" shrinkToFit="0" vertical="center" wrapText="0"/>
    </xf>
    <xf borderId="2" fillId="0" fontId="9" numFmtId="0" xfId="0" applyBorder="1" applyFont="1"/>
    <xf borderId="3" fillId="0" fontId="9" numFmtId="0" xfId="0" applyBorder="1" applyFont="1"/>
    <xf borderId="1" fillId="3" fontId="8" numFmtId="0" xfId="0" applyAlignment="1" applyBorder="1" applyFill="1" applyFont="1">
      <alignment horizontal="center" shrinkToFit="0" vertical="center" wrapText="0"/>
    </xf>
    <xf borderId="4" fillId="4" fontId="10" numFmtId="0" xfId="0" applyAlignment="1" applyBorder="1" applyFill="1" applyFont="1">
      <alignment horizontal="center" shrinkToFit="0" vertical="center" wrapText="1"/>
    </xf>
    <xf borderId="1" fillId="5" fontId="8" numFmtId="0" xfId="0" applyAlignment="1" applyBorder="1" applyFill="1" applyFont="1">
      <alignment horizontal="center" shrinkToFit="0" vertical="center" wrapText="0"/>
    </xf>
    <xf borderId="0" fillId="0" fontId="7" numFmtId="0" xfId="0" applyAlignment="1" applyFont="1">
      <alignment readingOrder="0" shrinkToFit="0" vertical="top" wrapText="1"/>
    </xf>
    <xf borderId="1" fillId="4" fontId="8" numFmtId="0" xfId="0" applyAlignment="1" applyBorder="1" applyFont="1">
      <alignment horizontal="center" shrinkToFit="0" vertical="center" wrapText="0"/>
    </xf>
    <xf borderId="4" fillId="2" fontId="10" numFmtId="0" xfId="0" applyAlignment="1" applyBorder="1" applyFont="1">
      <alignment horizontal="center" shrinkToFit="0" vertical="center" wrapText="1"/>
    </xf>
    <xf borderId="4" fillId="3" fontId="10" numFmtId="0" xfId="0" applyAlignment="1" applyBorder="1" applyFont="1">
      <alignment horizontal="center" shrinkToFit="0" vertical="center" wrapText="1"/>
    </xf>
    <xf borderId="0" fillId="0" fontId="5" numFmtId="0" xfId="0" applyAlignment="1" applyFont="1">
      <alignment readingOrder="0" shrinkToFit="0" vertical="bottom" wrapText="0"/>
    </xf>
    <xf borderId="4" fillId="5" fontId="10" numFmtId="0" xfId="0" applyAlignment="1" applyBorder="1" applyFont="1">
      <alignment horizontal="center" shrinkToFit="0" vertical="center" wrapText="1"/>
    </xf>
    <xf borderId="4" fillId="6" fontId="11" numFmtId="0" xfId="0" applyAlignment="1" applyBorder="1" applyFill="1" applyFont="1">
      <alignment horizontal="center" shrinkToFit="0" vertical="bottom" wrapText="0"/>
    </xf>
    <xf borderId="4" fillId="7" fontId="12" numFmtId="0" xfId="0" applyAlignment="1" applyBorder="1" applyFill="1" applyFont="1">
      <alignment readingOrder="0" shrinkToFit="0" vertical="bottom" wrapText="0"/>
    </xf>
    <xf borderId="4" fillId="6" fontId="13" numFmtId="1" xfId="0" applyAlignment="1" applyBorder="1" applyFont="1" applyNumberFormat="1">
      <alignment horizontal="center" shrinkToFit="0" vertical="bottom" wrapText="0"/>
    </xf>
    <xf borderId="4" fillId="7" fontId="12" numFmtId="0" xfId="0" applyAlignment="1" applyBorder="1" applyFont="1">
      <alignment shrinkToFit="0" vertical="bottom" wrapText="0"/>
    </xf>
    <xf borderId="4" fillId="7" fontId="12" numFmtId="164" xfId="0" applyAlignment="1" applyBorder="1" applyFont="1" applyNumberFormat="1">
      <alignment shrinkToFit="0" vertical="bottom" wrapText="0"/>
    </xf>
    <xf borderId="4" fillId="7" fontId="12" numFmtId="164" xfId="0" applyAlignment="1" applyBorder="1" applyFont="1" applyNumberFormat="1">
      <alignment readingOrder="0" shrinkToFit="0" vertical="bottom" wrapText="0"/>
    </xf>
    <xf borderId="4" fillId="7" fontId="12" numFmtId="0" xfId="0" applyAlignment="1" applyBorder="1" applyFont="1">
      <alignment shrinkToFit="0" vertical="top" wrapText="1"/>
    </xf>
    <xf borderId="4" fillId="6" fontId="13" numFmtId="164" xfId="0" applyAlignment="1" applyBorder="1" applyFont="1" applyNumberFormat="1">
      <alignment horizontal="center" shrinkToFit="0" vertical="bottom" wrapText="0"/>
    </xf>
    <xf borderId="4" fillId="6" fontId="13" numFmtId="165" xfId="0" applyAlignment="1" applyBorder="1" applyFont="1" applyNumberFormat="1">
      <alignment horizontal="center" shrinkToFit="0" vertical="bottom" wrapText="0"/>
    </xf>
    <xf borderId="4" fillId="6" fontId="11" numFmtId="165" xfId="0" applyAlignment="1" applyBorder="1" applyFont="1" applyNumberFormat="1">
      <alignment horizontal="center" shrinkToFit="0" vertical="bottom" wrapText="0"/>
    </xf>
    <xf borderId="4" fillId="6" fontId="11" numFmtId="2" xfId="0" applyAlignment="1" applyBorder="1" applyFont="1" applyNumberFormat="1">
      <alignment horizontal="center" shrinkToFit="0" vertical="bottom" wrapText="0"/>
    </xf>
    <xf borderId="4" fillId="6" fontId="13" numFmtId="166" xfId="0" applyAlignment="1" applyBorder="1" applyFont="1" applyNumberFormat="1">
      <alignment horizontal="center" shrinkToFit="0" vertical="bottom" wrapText="0"/>
    </xf>
    <xf borderId="4" fillId="7" fontId="12" numFmtId="2" xfId="0" applyAlignment="1" applyBorder="1" applyFont="1" applyNumberFormat="1">
      <alignment shrinkToFit="0" vertical="bottom" wrapText="0"/>
    </xf>
    <xf borderId="4" fillId="6" fontId="13" numFmtId="0" xfId="0" applyAlignment="1" applyBorder="1" applyFont="1">
      <alignment horizontal="center" shrinkToFit="0" vertical="bottom" wrapText="0"/>
    </xf>
    <xf borderId="4" fillId="7" fontId="12" numFmtId="165" xfId="0" applyAlignment="1" applyBorder="1" applyFont="1" applyNumberFormat="1">
      <alignment shrinkToFit="0" vertical="bottom" wrapText="0"/>
    </xf>
    <xf borderId="4" fillId="6" fontId="13" numFmtId="167" xfId="0" applyAlignment="1" applyBorder="1" applyFont="1" applyNumberFormat="1">
      <alignment horizontal="center" shrinkToFit="0" vertical="bottom" wrapText="0"/>
    </xf>
    <xf borderId="0" fillId="0" fontId="14" numFmtId="0" xfId="0" applyAlignment="1" applyFont="1">
      <alignment shrinkToFit="0" vertical="top" wrapText="1"/>
    </xf>
    <xf borderId="4" fillId="8" fontId="6" numFmtId="165" xfId="0" applyAlignment="1" applyBorder="1" applyFill="1" applyFont="1" applyNumberFormat="1">
      <alignment shrinkToFit="0" vertical="bottom" wrapText="0"/>
    </xf>
    <xf borderId="0" fillId="0" fontId="15"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0"/>
    <col customWidth="1" min="2" max="2" width="95.0"/>
    <col customWidth="1" min="3" max="26" width="8.71"/>
  </cols>
  <sheetData>
    <row r="1">
      <c r="A1" s="1" t="s">
        <v>0</v>
      </c>
    </row>
    <row r="2">
      <c r="A2" s="3" t="s">
        <v>2</v>
      </c>
    </row>
    <row r="5">
      <c r="A5" s="5" t="s">
        <v>4</v>
      </c>
    </row>
    <row r="6">
      <c r="A6" s="6" t="s">
        <v>5</v>
      </c>
      <c r="B6" s="7" t="s">
        <v>7</v>
      </c>
    </row>
    <row r="7">
      <c r="A7" s="6" t="s">
        <v>10</v>
      </c>
      <c r="B7" s="7" t="s">
        <v>11</v>
      </c>
    </row>
    <row r="8">
      <c r="A8" s="6" t="s">
        <v>14</v>
      </c>
      <c r="B8" s="7" t="s">
        <v>15</v>
      </c>
    </row>
    <row r="10">
      <c r="A10" s="5" t="s">
        <v>17</v>
      </c>
    </row>
    <row r="11">
      <c r="A11" s="6" t="s">
        <v>20</v>
      </c>
      <c r="B11" s="14" t="s">
        <v>21</v>
      </c>
    </row>
    <row r="12">
      <c r="A12" s="6" t="s">
        <v>25</v>
      </c>
      <c r="B12" s="7" t="s">
        <v>28</v>
      </c>
    </row>
    <row r="13">
      <c r="A13" s="6" t="s">
        <v>30</v>
      </c>
      <c r="B13" s="7" t="s">
        <v>31</v>
      </c>
    </row>
    <row r="14">
      <c r="A14" s="6" t="s">
        <v>34</v>
      </c>
      <c r="B14" s="7" t="s">
        <v>37</v>
      </c>
    </row>
    <row r="16">
      <c r="A16" s="5" t="s">
        <v>40</v>
      </c>
    </row>
    <row r="17">
      <c r="A17" s="6" t="s">
        <v>6</v>
      </c>
      <c r="B17" s="14" t="s">
        <v>45</v>
      </c>
    </row>
    <row r="18">
      <c r="A18" s="6" t="s">
        <v>16</v>
      </c>
      <c r="B18" s="7" t="s">
        <v>49</v>
      </c>
    </row>
    <row r="19">
      <c r="A19" s="6" t="s">
        <v>22</v>
      </c>
      <c r="B19" s="7" t="s">
        <v>52</v>
      </c>
    </row>
    <row r="20">
      <c r="A20" s="6" t="s">
        <v>24</v>
      </c>
      <c r="B20" s="7" t="s">
        <v>56</v>
      </c>
    </row>
    <row r="21" ht="15.75" customHeight="1"/>
    <row r="22" ht="15.75" customHeight="1">
      <c r="A22" s="18" t="s">
        <v>58</v>
      </c>
    </row>
    <row r="23" ht="15.75" customHeight="1">
      <c r="A23" s="6" t="s">
        <v>62</v>
      </c>
      <c r="B23" s="7" t="s">
        <v>63</v>
      </c>
    </row>
    <row r="24" ht="15.75" customHeight="1">
      <c r="A24" s="6" t="s">
        <v>67</v>
      </c>
      <c r="B24" s="7" t="s">
        <v>68</v>
      </c>
    </row>
    <row r="25" ht="15.75" customHeight="1">
      <c r="A25" s="6" t="s">
        <v>72</v>
      </c>
      <c r="B25" s="7" t="s">
        <v>73</v>
      </c>
    </row>
    <row r="26" ht="15.75" customHeight="1">
      <c r="A26" s="6" t="s">
        <v>77</v>
      </c>
      <c r="B26" s="14" t="s">
        <v>80</v>
      </c>
    </row>
    <row r="27" ht="15.75" customHeight="1">
      <c r="A27" s="6" t="s">
        <v>83</v>
      </c>
      <c r="B27" s="7" t="s">
        <v>84</v>
      </c>
    </row>
    <row r="28" ht="15.75" customHeight="1">
      <c r="A28" s="6" t="s">
        <v>86</v>
      </c>
      <c r="B28" s="7" t="s">
        <v>87</v>
      </c>
    </row>
    <row r="29" ht="15.75" customHeight="1"/>
    <row r="30" ht="15.75" customHeight="1">
      <c r="A30" s="18" t="s">
        <v>89</v>
      </c>
    </row>
    <row r="31" ht="15.75" customHeight="1">
      <c r="A31" s="6" t="s">
        <v>91</v>
      </c>
      <c r="B31" s="7" t="s">
        <v>92</v>
      </c>
    </row>
    <row r="32" ht="15.75" customHeight="1">
      <c r="A32" s="6" t="s">
        <v>93</v>
      </c>
      <c r="B32" s="7" t="s">
        <v>94</v>
      </c>
    </row>
    <row r="33" ht="15.75" customHeight="1"/>
    <row r="34" ht="15.75" customHeight="1">
      <c r="A34" s="5" t="s">
        <v>95</v>
      </c>
    </row>
    <row r="35" ht="15.75" customHeight="1">
      <c r="A35" s="6" t="s">
        <v>96</v>
      </c>
      <c r="B35" s="7" t="s">
        <v>97</v>
      </c>
    </row>
    <row r="36" ht="15.75" customHeight="1">
      <c r="A36" s="6" t="s">
        <v>98</v>
      </c>
      <c r="B36" s="7" t="s">
        <v>99</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14.0"/>
    <col customWidth="1" min="3" max="3" width="12.0"/>
    <col customWidth="1" min="4" max="4" width="10.0"/>
    <col customWidth="1" min="5" max="5" width="20.0"/>
    <col customWidth="1" min="6" max="7" width="12.0"/>
    <col customWidth="1" min="8" max="8" width="14.0"/>
    <col customWidth="1" min="9" max="9" width="30.0"/>
    <col customWidth="1" min="10" max="10" width="13.0"/>
    <col customWidth="1" min="11" max="12" width="18.0"/>
    <col customWidth="1" min="13" max="13" width="16.0"/>
    <col customWidth="1" min="14" max="14" width="15.0"/>
    <col customWidth="1" min="15" max="15" width="26.0"/>
    <col customWidth="1" min="16" max="26" width="8.71"/>
  </cols>
  <sheetData>
    <row r="1">
      <c r="A1" s="2" t="s">
        <v>9</v>
      </c>
    </row>
    <row r="2">
      <c r="A2" s="4" t="s">
        <v>13</v>
      </c>
    </row>
    <row r="4">
      <c r="A4" s="8" t="s">
        <v>19</v>
      </c>
      <c r="B4" s="9"/>
      <c r="C4" s="9"/>
      <c r="D4" s="9"/>
      <c r="E4" s="9"/>
      <c r="F4" s="9"/>
      <c r="G4" s="9"/>
      <c r="H4" s="9"/>
      <c r="I4" s="10"/>
      <c r="J4" s="8" t="s">
        <v>26</v>
      </c>
      <c r="K4" s="9"/>
      <c r="L4" s="10"/>
      <c r="M4" s="11" t="s">
        <v>33</v>
      </c>
      <c r="N4" s="9"/>
      <c r="O4" s="10"/>
    </row>
    <row r="5" ht="42.0" customHeight="1">
      <c r="A5" s="16" t="s">
        <v>42</v>
      </c>
      <c r="B5" s="16" t="s">
        <v>18</v>
      </c>
      <c r="C5" s="16" t="s">
        <v>47</v>
      </c>
      <c r="D5" s="16" t="s">
        <v>50</v>
      </c>
      <c r="E5" s="16" t="s">
        <v>51</v>
      </c>
      <c r="F5" s="16" t="s">
        <v>53</v>
      </c>
      <c r="G5" s="16" t="s">
        <v>61</v>
      </c>
      <c r="H5" s="16" t="s">
        <v>65</v>
      </c>
      <c r="I5" s="16" t="s">
        <v>70</v>
      </c>
      <c r="J5" s="16" t="s">
        <v>74</v>
      </c>
      <c r="K5" s="16" t="s">
        <v>78</v>
      </c>
      <c r="L5" s="16" t="s">
        <v>82</v>
      </c>
      <c r="M5" s="17" t="s">
        <v>85</v>
      </c>
      <c r="N5" s="17" t="s">
        <v>88</v>
      </c>
      <c r="O5" s="17" t="s">
        <v>90</v>
      </c>
    </row>
    <row r="6">
      <c r="A6" s="21"/>
      <c r="B6" s="21"/>
      <c r="C6" s="23"/>
      <c r="D6" s="23"/>
      <c r="E6" s="21"/>
      <c r="F6" s="21"/>
      <c r="G6" s="21"/>
      <c r="H6" s="21"/>
      <c r="I6" s="23"/>
      <c r="J6" s="23"/>
      <c r="K6" s="21"/>
      <c r="L6" s="21"/>
      <c r="M6" s="28" t="str">
        <f t="shared" ref="M6:M35" si="1">IF(OR($K6="",$L6=""),"",$K6/$L6)</f>
        <v/>
      </c>
      <c r="N6" s="27" t="str">
        <f t="shared" ref="N6:N35" si="2">IF(OR($K6="",$L6=""),"",$K6-$L6)</f>
        <v/>
      </c>
      <c r="O6" s="33" t="str">
        <f t="shared" ref="O6:O35" si="3">IF(OR($K6="",$L6=""),"",IF($L6&gt;$K6,"CHECK: inside &gt; outside",IF($M6&gt;1.5,"CHECK: &gt;50% compaction","OK")))</f>
        <v/>
      </c>
    </row>
    <row r="7">
      <c r="A7" s="23"/>
      <c r="B7" s="23"/>
      <c r="C7" s="23"/>
      <c r="D7" s="23"/>
      <c r="E7" s="23"/>
      <c r="F7" s="23"/>
      <c r="G7" s="23"/>
      <c r="H7" s="23"/>
      <c r="I7" s="23"/>
      <c r="J7" s="23"/>
      <c r="K7" s="23"/>
      <c r="L7" s="23"/>
      <c r="M7" s="28" t="str">
        <f t="shared" si="1"/>
        <v/>
      </c>
      <c r="N7" s="27" t="str">
        <f t="shared" si="2"/>
        <v/>
      </c>
      <c r="O7" s="33" t="str">
        <f t="shared" si="3"/>
        <v/>
      </c>
    </row>
    <row r="8">
      <c r="A8" s="23"/>
      <c r="B8" s="23"/>
      <c r="C8" s="23"/>
      <c r="D8" s="23"/>
      <c r="E8" s="23"/>
      <c r="F8" s="23"/>
      <c r="G8" s="23"/>
      <c r="H8" s="23"/>
      <c r="I8" s="23"/>
      <c r="J8" s="23"/>
      <c r="K8" s="23"/>
      <c r="L8" s="23"/>
      <c r="M8" s="28" t="str">
        <f t="shared" si="1"/>
        <v/>
      </c>
      <c r="N8" s="27" t="str">
        <f t="shared" si="2"/>
        <v/>
      </c>
      <c r="O8" s="33" t="str">
        <f t="shared" si="3"/>
        <v/>
      </c>
    </row>
    <row r="9">
      <c r="A9" s="23"/>
      <c r="B9" s="23"/>
      <c r="C9" s="23"/>
      <c r="D9" s="23"/>
      <c r="E9" s="23"/>
      <c r="F9" s="23"/>
      <c r="G9" s="23"/>
      <c r="H9" s="23"/>
      <c r="I9" s="23"/>
      <c r="J9" s="23"/>
      <c r="K9" s="23"/>
      <c r="L9" s="23"/>
      <c r="M9" s="28" t="str">
        <f t="shared" si="1"/>
        <v/>
      </c>
      <c r="N9" s="27" t="str">
        <f t="shared" si="2"/>
        <v/>
      </c>
      <c r="O9" s="33" t="str">
        <f t="shared" si="3"/>
        <v/>
      </c>
    </row>
    <row r="10">
      <c r="A10" s="23"/>
      <c r="B10" s="23"/>
      <c r="C10" s="23"/>
      <c r="D10" s="23"/>
      <c r="E10" s="23"/>
      <c r="F10" s="23"/>
      <c r="G10" s="23"/>
      <c r="H10" s="23"/>
      <c r="I10" s="23"/>
      <c r="J10" s="23"/>
      <c r="K10" s="23"/>
      <c r="L10" s="23"/>
      <c r="M10" s="28" t="str">
        <f t="shared" si="1"/>
        <v/>
      </c>
      <c r="N10" s="27" t="str">
        <f t="shared" si="2"/>
        <v/>
      </c>
      <c r="O10" s="33" t="str">
        <f t="shared" si="3"/>
        <v/>
      </c>
    </row>
    <row r="11">
      <c r="A11" s="23"/>
      <c r="B11" s="23"/>
      <c r="C11" s="23"/>
      <c r="D11" s="23"/>
      <c r="E11" s="23"/>
      <c r="F11" s="23"/>
      <c r="G11" s="23"/>
      <c r="H11" s="23"/>
      <c r="I11" s="23"/>
      <c r="J11" s="23"/>
      <c r="K11" s="23"/>
      <c r="L11" s="23"/>
      <c r="M11" s="28" t="str">
        <f t="shared" si="1"/>
        <v/>
      </c>
      <c r="N11" s="27" t="str">
        <f t="shared" si="2"/>
        <v/>
      </c>
      <c r="O11" s="33" t="str">
        <f t="shared" si="3"/>
        <v/>
      </c>
    </row>
    <row r="12">
      <c r="A12" s="23"/>
      <c r="B12" s="23"/>
      <c r="C12" s="23"/>
      <c r="D12" s="23"/>
      <c r="E12" s="23"/>
      <c r="F12" s="23"/>
      <c r="G12" s="23"/>
      <c r="H12" s="23"/>
      <c r="I12" s="23"/>
      <c r="J12" s="23"/>
      <c r="K12" s="23"/>
      <c r="L12" s="23"/>
      <c r="M12" s="28" t="str">
        <f t="shared" si="1"/>
        <v/>
      </c>
      <c r="N12" s="27" t="str">
        <f t="shared" si="2"/>
        <v/>
      </c>
      <c r="O12" s="33" t="str">
        <f t="shared" si="3"/>
        <v/>
      </c>
    </row>
    <row r="13">
      <c r="A13" s="23"/>
      <c r="B13" s="23"/>
      <c r="C13" s="23"/>
      <c r="D13" s="23"/>
      <c r="E13" s="23"/>
      <c r="F13" s="23"/>
      <c r="G13" s="23"/>
      <c r="H13" s="23"/>
      <c r="I13" s="23"/>
      <c r="J13" s="23"/>
      <c r="K13" s="23"/>
      <c r="L13" s="23"/>
      <c r="M13" s="28" t="str">
        <f t="shared" si="1"/>
        <v/>
      </c>
      <c r="N13" s="27" t="str">
        <f t="shared" si="2"/>
        <v/>
      </c>
      <c r="O13" s="33" t="str">
        <f t="shared" si="3"/>
        <v/>
      </c>
    </row>
    <row r="14">
      <c r="A14" s="23"/>
      <c r="B14" s="23"/>
      <c r="C14" s="23"/>
      <c r="D14" s="23"/>
      <c r="E14" s="23"/>
      <c r="F14" s="23"/>
      <c r="G14" s="23"/>
      <c r="H14" s="23"/>
      <c r="I14" s="23"/>
      <c r="J14" s="23"/>
      <c r="K14" s="23"/>
      <c r="L14" s="23"/>
      <c r="M14" s="28" t="str">
        <f t="shared" si="1"/>
        <v/>
      </c>
      <c r="N14" s="27" t="str">
        <f t="shared" si="2"/>
        <v/>
      </c>
      <c r="O14" s="33" t="str">
        <f t="shared" si="3"/>
        <v/>
      </c>
    </row>
    <row r="15">
      <c r="A15" s="23"/>
      <c r="B15" s="23"/>
      <c r="C15" s="23"/>
      <c r="D15" s="23"/>
      <c r="E15" s="23"/>
      <c r="F15" s="23"/>
      <c r="G15" s="23"/>
      <c r="H15" s="23"/>
      <c r="I15" s="23"/>
      <c r="J15" s="23"/>
      <c r="K15" s="23"/>
      <c r="L15" s="23"/>
      <c r="M15" s="28" t="str">
        <f t="shared" si="1"/>
        <v/>
      </c>
      <c r="N15" s="27" t="str">
        <f t="shared" si="2"/>
        <v/>
      </c>
      <c r="O15" s="33" t="str">
        <f t="shared" si="3"/>
        <v/>
      </c>
    </row>
    <row r="16">
      <c r="A16" s="23"/>
      <c r="B16" s="23"/>
      <c r="C16" s="23"/>
      <c r="D16" s="23"/>
      <c r="E16" s="23"/>
      <c r="F16" s="23"/>
      <c r="G16" s="23"/>
      <c r="H16" s="23"/>
      <c r="I16" s="23"/>
      <c r="J16" s="23"/>
      <c r="K16" s="23"/>
      <c r="L16" s="23"/>
      <c r="M16" s="28" t="str">
        <f t="shared" si="1"/>
        <v/>
      </c>
      <c r="N16" s="27" t="str">
        <f t="shared" si="2"/>
        <v/>
      </c>
      <c r="O16" s="33" t="str">
        <f t="shared" si="3"/>
        <v/>
      </c>
    </row>
    <row r="17">
      <c r="A17" s="23"/>
      <c r="B17" s="23"/>
      <c r="C17" s="23"/>
      <c r="D17" s="23"/>
      <c r="E17" s="23"/>
      <c r="F17" s="23"/>
      <c r="G17" s="23"/>
      <c r="H17" s="23"/>
      <c r="I17" s="23"/>
      <c r="J17" s="23"/>
      <c r="K17" s="23"/>
      <c r="L17" s="23"/>
      <c r="M17" s="28" t="str">
        <f t="shared" si="1"/>
        <v/>
      </c>
      <c r="N17" s="27" t="str">
        <f t="shared" si="2"/>
        <v/>
      </c>
      <c r="O17" s="33" t="str">
        <f t="shared" si="3"/>
        <v/>
      </c>
    </row>
    <row r="18">
      <c r="A18" s="23"/>
      <c r="B18" s="23"/>
      <c r="C18" s="23"/>
      <c r="D18" s="23"/>
      <c r="E18" s="23"/>
      <c r="F18" s="23"/>
      <c r="G18" s="23"/>
      <c r="H18" s="23"/>
      <c r="I18" s="23"/>
      <c r="J18" s="23"/>
      <c r="K18" s="23"/>
      <c r="L18" s="23"/>
      <c r="M18" s="28" t="str">
        <f t="shared" si="1"/>
        <v/>
      </c>
      <c r="N18" s="27" t="str">
        <f t="shared" si="2"/>
        <v/>
      </c>
      <c r="O18" s="33" t="str">
        <f t="shared" si="3"/>
        <v/>
      </c>
    </row>
    <row r="19">
      <c r="A19" s="23"/>
      <c r="B19" s="23"/>
      <c r="C19" s="23"/>
      <c r="D19" s="23"/>
      <c r="E19" s="23"/>
      <c r="F19" s="23"/>
      <c r="G19" s="23"/>
      <c r="H19" s="23"/>
      <c r="I19" s="23"/>
      <c r="J19" s="23"/>
      <c r="K19" s="23"/>
      <c r="L19" s="23"/>
      <c r="M19" s="28" t="str">
        <f t="shared" si="1"/>
        <v/>
      </c>
      <c r="N19" s="27" t="str">
        <f t="shared" si="2"/>
        <v/>
      </c>
      <c r="O19" s="33" t="str">
        <f t="shared" si="3"/>
        <v/>
      </c>
    </row>
    <row r="20">
      <c r="A20" s="23"/>
      <c r="B20" s="23"/>
      <c r="C20" s="23"/>
      <c r="D20" s="23"/>
      <c r="E20" s="23"/>
      <c r="F20" s="23"/>
      <c r="G20" s="23"/>
      <c r="H20" s="23"/>
      <c r="I20" s="23"/>
      <c r="J20" s="23"/>
      <c r="K20" s="23"/>
      <c r="L20" s="23"/>
      <c r="M20" s="28" t="str">
        <f t="shared" si="1"/>
        <v/>
      </c>
      <c r="N20" s="27" t="str">
        <f t="shared" si="2"/>
        <v/>
      </c>
      <c r="O20" s="33" t="str">
        <f t="shared" si="3"/>
        <v/>
      </c>
    </row>
    <row r="21" ht="15.75" customHeight="1">
      <c r="A21" s="23"/>
      <c r="B21" s="23"/>
      <c r="C21" s="23"/>
      <c r="D21" s="23"/>
      <c r="E21" s="23"/>
      <c r="F21" s="23"/>
      <c r="G21" s="23"/>
      <c r="H21" s="23"/>
      <c r="I21" s="23"/>
      <c r="J21" s="23"/>
      <c r="K21" s="23"/>
      <c r="L21" s="23"/>
      <c r="M21" s="28" t="str">
        <f t="shared" si="1"/>
        <v/>
      </c>
      <c r="N21" s="27" t="str">
        <f t="shared" si="2"/>
        <v/>
      </c>
      <c r="O21" s="33" t="str">
        <f t="shared" si="3"/>
        <v/>
      </c>
    </row>
    <row r="22" ht="15.75" customHeight="1">
      <c r="A22" s="23"/>
      <c r="B22" s="23"/>
      <c r="C22" s="23"/>
      <c r="D22" s="23"/>
      <c r="E22" s="23"/>
      <c r="F22" s="23"/>
      <c r="G22" s="23"/>
      <c r="H22" s="23"/>
      <c r="I22" s="23"/>
      <c r="J22" s="23"/>
      <c r="K22" s="23"/>
      <c r="L22" s="23"/>
      <c r="M22" s="28" t="str">
        <f t="shared" si="1"/>
        <v/>
      </c>
      <c r="N22" s="27" t="str">
        <f t="shared" si="2"/>
        <v/>
      </c>
      <c r="O22" s="33" t="str">
        <f t="shared" si="3"/>
        <v/>
      </c>
    </row>
    <row r="23" ht="15.75" customHeight="1">
      <c r="A23" s="23"/>
      <c r="B23" s="23"/>
      <c r="C23" s="23"/>
      <c r="D23" s="23"/>
      <c r="E23" s="23"/>
      <c r="F23" s="23"/>
      <c r="G23" s="23"/>
      <c r="H23" s="23"/>
      <c r="I23" s="23"/>
      <c r="J23" s="23"/>
      <c r="K23" s="23"/>
      <c r="L23" s="23"/>
      <c r="M23" s="28" t="str">
        <f t="shared" si="1"/>
        <v/>
      </c>
      <c r="N23" s="27" t="str">
        <f t="shared" si="2"/>
        <v/>
      </c>
      <c r="O23" s="33" t="str">
        <f t="shared" si="3"/>
        <v/>
      </c>
    </row>
    <row r="24" ht="15.75" customHeight="1">
      <c r="A24" s="23"/>
      <c r="B24" s="23"/>
      <c r="C24" s="23"/>
      <c r="D24" s="23"/>
      <c r="E24" s="23"/>
      <c r="F24" s="23"/>
      <c r="G24" s="23"/>
      <c r="H24" s="23"/>
      <c r="I24" s="23"/>
      <c r="J24" s="23"/>
      <c r="K24" s="23"/>
      <c r="L24" s="23"/>
      <c r="M24" s="28" t="str">
        <f t="shared" si="1"/>
        <v/>
      </c>
      <c r="N24" s="27" t="str">
        <f t="shared" si="2"/>
        <v/>
      </c>
      <c r="O24" s="33" t="str">
        <f t="shared" si="3"/>
        <v/>
      </c>
    </row>
    <row r="25" ht="15.75" customHeight="1">
      <c r="A25" s="23"/>
      <c r="B25" s="23"/>
      <c r="C25" s="23"/>
      <c r="D25" s="23"/>
      <c r="E25" s="23"/>
      <c r="F25" s="23"/>
      <c r="G25" s="23"/>
      <c r="H25" s="23"/>
      <c r="I25" s="23"/>
      <c r="J25" s="23"/>
      <c r="K25" s="23"/>
      <c r="L25" s="23"/>
      <c r="M25" s="28" t="str">
        <f t="shared" si="1"/>
        <v/>
      </c>
      <c r="N25" s="27" t="str">
        <f t="shared" si="2"/>
        <v/>
      </c>
      <c r="O25" s="33" t="str">
        <f t="shared" si="3"/>
        <v/>
      </c>
    </row>
    <row r="26" ht="15.75" customHeight="1">
      <c r="A26" s="23"/>
      <c r="B26" s="23"/>
      <c r="C26" s="23"/>
      <c r="D26" s="23"/>
      <c r="E26" s="23"/>
      <c r="F26" s="23"/>
      <c r="G26" s="23"/>
      <c r="H26" s="23"/>
      <c r="I26" s="23"/>
      <c r="J26" s="23"/>
      <c r="K26" s="23"/>
      <c r="L26" s="23"/>
      <c r="M26" s="28" t="str">
        <f t="shared" si="1"/>
        <v/>
      </c>
      <c r="N26" s="27" t="str">
        <f t="shared" si="2"/>
        <v/>
      </c>
      <c r="O26" s="33" t="str">
        <f t="shared" si="3"/>
        <v/>
      </c>
    </row>
    <row r="27" ht="15.75" customHeight="1">
      <c r="A27" s="23"/>
      <c r="B27" s="23"/>
      <c r="C27" s="23"/>
      <c r="D27" s="23"/>
      <c r="E27" s="23"/>
      <c r="F27" s="23"/>
      <c r="G27" s="23"/>
      <c r="H27" s="23"/>
      <c r="I27" s="23"/>
      <c r="J27" s="23"/>
      <c r="K27" s="23"/>
      <c r="L27" s="23"/>
      <c r="M27" s="28" t="str">
        <f t="shared" si="1"/>
        <v/>
      </c>
      <c r="N27" s="27" t="str">
        <f t="shared" si="2"/>
        <v/>
      </c>
      <c r="O27" s="33" t="str">
        <f t="shared" si="3"/>
        <v/>
      </c>
    </row>
    <row r="28" ht="15.75" customHeight="1">
      <c r="A28" s="23"/>
      <c r="B28" s="23"/>
      <c r="C28" s="23"/>
      <c r="D28" s="23"/>
      <c r="E28" s="23"/>
      <c r="F28" s="23"/>
      <c r="G28" s="23"/>
      <c r="H28" s="23"/>
      <c r="I28" s="23"/>
      <c r="J28" s="23"/>
      <c r="K28" s="23"/>
      <c r="L28" s="23"/>
      <c r="M28" s="28" t="str">
        <f t="shared" si="1"/>
        <v/>
      </c>
      <c r="N28" s="27" t="str">
        <f t="shared" si="2"/>
        <v/>
      </c>
      <c r="O28" s="33" t="str">
        <f t="shared" si="3"/>
        <v/>
      </c>
    </row>
    <row r="29" ht="15.75" customHeight="1">
      <c r="A29" s="23"/>
      <c r="B29" s="23"/>
      <c r="C29" s="23"/>
      <c r="D29" s="23"/>
      <c r="E29" s="23"/>
      <c r="F29" s="23"/>
      <c r="G29" s="23"/>
      <c r="H29" s="23"/>
      <c r="I29" s="23"/>
      <c r="J29" s="23"/>
      <c r="K29" s="23"/>
      <c r="L29" s="23"/>
      <c r="M29" s="28" t="str">
        <f t="shared" si="1"/>
        <v/>
      </c>
      <c r="N29" s="27" t="str">
        <f t="shared" si="2"/>
        <v/>
      </c>
      <c r="O29" s="33" t="str">
        <f t="shared" si="3"/>
        <v/>
      </c>
    </row>
    <row r="30" ht="15.75" customHeight="1">
      <c r="A30" s="23"/>
      <c r="B30" s="23"/>
      <c r="C30" s="23"/>
      <c r="D30" s="23"/>
      <c r="E30" s="23"/>
      <c r="F30" s="23"/>
      <c r="G30" s="23"/>
      <c r="H30" s="23"/>
      <c r="I30" s="23"/>
      <c r="J30" s="23"/>
      <c r="K30" s="23"/>
      <c r="L30" s="23"/>
      <c r="M30" s="28" t="str">
        <f t="shared" si="1"/>
        <v/>
      </c>
      <c r="N30" s="27" t="str">
        <f t="shared" si="2"/>
        <v/>
      </c>
      <c r="O30" s="33" t="str">
        <f t="shared" si="3"/>
        <v/>
      </c>
    </row>
    <row r="31" ht="15.75" customHeight="1">
      <c r="A31" s="23"/>
      <c r="B31" s="23"/>
      <c r="C31" s="23"/>
      <c r="D31" s="23"/>
      <c r="E31" s="23"/>
      <c r="F31" s="23"/>
      <c r="G31" s="23"/>
      <c r="H31" s="23"/>
      <c r="I31" s="23"/>
      <c r="J31" s="23"/>
      <c r="K31" s="23"/>
      <c r="L31" s="23"/>
      <c r="M31" s="28" t="str">
        <f t="shared" si="1"/>
        <v/>
      </c>
      <c r="N31" s="27" t="str">
        <f t="shared" si="2"/>
        <v/>
      </c>
      <c r="O31" s="33" t="str">
        <f t="shared" si="3"/>
        <v/>
      </c>
    </row>
    <row r="32" ht="15.75" customHeight="1">
      <c r="A32" s="23"/>
      <c r="B32" s="23"/>
      <c r="C32" s="23"/>
      <c r="D32" s="23"/>
      <c r="E32" s="23"/>
      <c r="F32" s="23"/>
      <c r="G32" s="23"/>
      <c r="H32" s="23"/>
      <c r="I32" s="23"/>
      <c r="J32" s="23"/>
      <c r="K32" s="23"/>
      <c r="L32" s="23"/>
      <c r="M32" s="28" t="str">
        <f t="shared" si="1"/>
        <v/>
      </c>
      <c r="N32" s="27" t="str">
        <f t="shared" si="2"/>
        <v/>
      </c>
      <c r="O32" s="33" t="str">
        <f t="shared" si="3"/>
        <v/>
      </c>
    </row>
    <row r="33" ht="15.75" customHeight="1">
      <c r="A33" s="23"/>
      <c r="B33" s="23"/>
      <c r="C33" s="23"/>
      <c r="D33" s="23"/>
      <c r="E33" s="23"/>
      <c r="F33" s="23"/>
      <c r="G33" s="23"/>
      <c r="H33" s="23"/>
      <c r="I33" s="23"/>
      <c r="J33" s="23"/>
      <c r="K33" s="23"/>
      <c r="L33" s="23"/>
      <c r="M33" s="28" t="str">
        <f t="shared" si="1"/>
        <v/>
      </c>
      <c r="N33" s="27" t="str">
        <f t="shared" si="2"/>
        <v/>
      </c>
      <c r="O33" s="33" t="str">
        <f t="shared" si="3"/>
        <v/>
      </c>
    </row>
    <row r="34" ht="15.75" customHeight="1">
      <c r="A34" s="23"/>
      <c r="B34" s="23"/>
      <c r="C34" s="23"/>
      <c r="D34" s="23"/>
      <c r="E34" s="23"/>
      <c r="F34" s="23"/>
      <c r="G34" s="23"/>
      <c r="H34" s="23"/>
      <c r="I34" s="23"/>
      <c r="J34" s="23"/>
      <c r="K34" s="23"/>
      <c r="L34" s="23"/>
      <c r="M34" s="28" t="str">
        <f t="shared" si="1"/>
        <v/>
      </c>
      <c r="N34" s="27" t="str">
        <f t="shared" si="2"/>
        <v/>
      </c>
      <c r="O34" s="33" t="str">
        <f t="shared" si="3"/>
        <v/>
      </c>
    </row>
    <row r="35" ht="15.75" customHeight="1">
      <c r="A35" s="23"/>
      <c r="B35" s="23"/>
      <c r="C35" s="23"/>
      <c r="D35" s="23"/>
      <c r="E35" s="23"/>
      <c r="F35" s="23"/>
      <c r="G35" s="23"/>
      <c r="H35" s="23"/>
      <c r="I35" s="23"/>
      <c r="J35" s="23"/>
      <c r="K35" s="23"/>
      <c r="L35" s="23"/>
      <c r="M35" s="28" t="str">
        <f t="shared" si="1"/>
        <v/>
      </c>
      <c r="N35" s="27" t="str">
        <f t="shared" si="2"/>
        <v/>
      </c>
      <c r="O35" s="33" t="str">
        <f t="shared" si="3"/>
        <v/>
      </c>
    </row>
    <row r="36" ht="15.75" customHeight="1"/>
    <row r="37" ht="15.75" customHeight="1">
      <c r="A37" s="6" t="s">
        <v>100</v>
      </c>
    </row>
    <row r="38" ht="15.0" customHeight="1">
      <c r="A38" s="36" t="s">
        <v>101</v>
      </c>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2:R2"/>
    <mergeCell ref="A4:I4"/>
    <mergeCell ref="J4:L4"/>
    <mergeCell ref="M4:O4"/>
    <mergeCell ref="A38:I39"/>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4.43" defaultRowHeight="15.0"/>
  <cols>
    <col customWidth="1" min="1" max="1" width="13.0"/>
    <col customWidth="1" min="2" max="2" width="11.0"/>
    <col customWidth="1" min="3" max="3" width="10.0"/>
    <col customWidth="1" min="4" max="4" width="11.0"/>
    <col customWidth="1" min="5" max="5" width="30.0"/>
    <col customWidth="1" min="6" max="7" width="11.0"/>
    <col customWidth="1" min="8" max="8" width="12.0"/>
    <col customWidth="1" min="9" max="9" width="11.0"/>
    <col customWidth="1" min="10" max="11" width="12.0"/>
    <col customWidth="1" min="12" max="15" width="11.0"/>
    <col customWidth="1" min="16" max="16" width="16.0"/>
    <col customWidth="1" min="17" max="17" width="15.0"/>
    <col customWidth="1" min="18" max="18" width="13.0"/>
    <col customWidth="1" min="19" max="20" width="12.0"/>
    <col customWidth="1" min="21" max="26" width="8.71"/>
  </cols>
  <sheetData>
    <row r="1">
      <c r="A1" s="2" t="s">
        <v>1</v>
      </c>
    </row>
    <row r="2">
      <c r="A2" s="4" t="s">
        <v>3</v>
      </c>
    </row>
    <row r="4" ht="19.5" customHeight="1">
      <c r="A4" s="8" t="s">
        <v>6</v>
      </c>
      <c r="B4" s="9"/>
      <c r="C4" s="9"/>
      <c r="D4" s="9"/>
      <c r="E4" s="10"/>
      <c r="F4" s="11" t="s">
        <v>16</v>
      </c>
      <c r="G4" s="9"/>
      <c r="H4" s="9"/>
      <c r="I4" s="9"/>
      <c r="J4" s="9"/>
      <c r="K4" s="10"/>
      <c r="L4" s="13" t="s">
        <v>22</v>
      </c>
      <c r="M4" s="9"/>
      <c r="N4" s="10"/>
      <c r="O4" s="15" t="s">
        <v>24</v>
      </c>
      <c r="P4" s="9"/>
      <c r="Q4" s="9"/>
      <c r="R4" s="9"/>
      <c r="S4" s="9"/>
      <c r="T4" s="10"/>
    </row>
    <row r="5" ht="51.75" customHeight="1">
      <c r="A5" s="16" t="s">
        <v>18</v>
      </c>
      <c r="B5" s="16" t="s">
        <v>35</v>
      </c>
      <c r="C5" s="16" t="s">
        <v>38</v>
      </c>
      <c r="D5" s="16" t="s">
        <v>41</v>
      </c>
      <c r="E5" s="16" t="s">
        <v>44</v>
      </c>
      <c r="F5" s="17" t="s">
        <v>46</v>
      </c>
      <c r="G5" s="17" t="s">
        <v>48</v>
      </c>
      <c r="H5" s="17" t="s">
        <v>54</v>
      </c>
      <c r="I5" s="17" t="s">
        <v>55</v>
      </c>
      <c r="J5" s="17" t="s">
        <v>57</v>
      </c>
      <c r="K5" s="17" t="s">
        <v>59</v>
      </c>
      <c r="L5" s="19" t="s">
        <v>60</v>
      </c>
      <c r="M5" s="19" t="s">
        <v>64</v>
      </c>
      <c r="N5" s="19" t="s">
        <v>66</v>
      </c>
      <c r="O5" s="12" t="s">
        <v>69</v>
      </c>
      <c r="P5" s="12" t="s">
        <v>71</v>
      </c>
      <c r="Q5" s="12" t="s">
        <v>75</v>
      </c>
      <c r="R5" s="12" t="s">
        <v>76</v>
      </c>
      <c r="S5" s="12" t="s">
        <v>79</v>
      </c>
      <c r="T5" s="12" t="s">
        <v>81</v>
      </c>
    </row>
    <row r="6">
      <c r="A6" s="21"/>
      <c r="B6" s="23"/>
      <c r="C6" s="24"/>
      <c r="D6" s="25"/>
      <c r="E6" s="26"/>
      <c r="F6" s="27" t="str">
        <f t="shared" ref="F6:F205" si="1">IF(OR($C6="",$D6=""),"",$D6-$C6)</f>
        <v/>
      </c>
      <c r="G6" s="29" t="str">
        <f t="array" ref="G6">IF($A6="","",IFERROR(INDEX('2. Plot &amp; Core Log'!$M$6:$M$35,MATCH($A6,'2. Plot &amp; Core Log'!$B$6:$B$35,0)),""))</f>
        <v/>
      </c>
      <c r="H6" s="30" t="str">
        <f t="array" ref="H6">IF($A6="","",IFERROR(INDEX('2. Plot &amp; Core Log'!$J$6:$J$35,MATCH($A6,'2. Plot &amp; Core Log'!$B$6:$B$35,0)),""))</f>
        <v/>
      </c>
      <c r="I6" s="27" t="str">
        <f t="shared" ref="I6:I205" si="2">IF(OR($C6="",$G6=""),"",$C6*$G6)</f>
        <v/>
      </c>
      <c r="J6" s="27" t="str">
        <f t="shared" ref="J6:J205" si="3">IF(OR($D6="",$G6=""),"",$D6*$G6)</f>
        <v/>
      </c>
      <c r="K6" s="27" t="str">
        <f t="shared" ref="K6:K205" si="4">IF(OR($F6="",$H6=""),"",PI()*(($H6/2)^2)*$F6)</f>
        <v/>
      </c>
      <c r="L6" s="32"/>
      <c r="M6" s="32"/>
      <c r="N6" s="34"/>
      <c r="O6" s="27"/>
      <c r="P6" s="28" t="str">
        <f t="shared" ref="P6:P205" si="5">IF(OR($M6="",$K6="",$K6=0),"",$M6/$K6)</f>
        <v/>
      </c>
      <c r="Q6" s="27" t="str">
        <f t="shared" ref="Q6:Q205" si="6">IF($N6="","",$N6*10)</f>
        <v/>
      </c>
      <c r="R6" s="35" t="str">
        <f t="shared" ref="R6:R205" si="7">IF(OR($P6="",$N6=""),"",$P6*($N6/100))</f>
        <v/>
      </c>
      <c r="S6" s="31" t="str">
        <f t="shared" ref="S6:S205" si="8">IF(OR($R6="",$F6=""),"",$R6*$F6)</f>
        <v/>
      </c>
      <c r="T6" s="28" t="str">
        <f t="shared" ref="T6:T205" si="9">IF($S6="","",$S6*10)</f>
        <v/>
      </c>
    </row>
    <row r="7">
      <c r="A7" s="21"/>
      <c r="B7" s="21"/>
      <c r="C7" s="25"/>
      <c r="D7" s="25"/>
      <c r="E7" s="26"/>
      <c r="F7" s="27" t="str">
        <f t="shared" si="1"/>
        <v/>
      </c>
      <c r="G7" s="29" t="str">
        <f t="array" ref="G7">IF($A7="","",IFERROR(INDEX('2. Plot &amp; Core Log'!$M$6:$M$35,MATCH($A7,'2. Plot &amp; Core Log'!$B$6:$B$35,0)),""))</f>
        <v/>
      </c>
      <c r="H7" s="30" t="str">
        <f t="array" ref="H7">IF($A7="","",IFERROR(INDEX('2. Plot &amp; Core Log'!$J$6:$J$35,MATCH($A7,'2. Plot &amp; Core Log'!$B$6:$B$35,0)),""))</f>
        <v/>
      </c>
      <c r="I7" s="27" t="str">
        <f t="shared" si="2"/>
        <v/>
      </c>
      <c r="J7" s="27" t="str">
        <f t="shared" si="3"/>
        <v/>
      </c>
      <c r="K7" s="27" t="str">
        <f t="shared" si="4"/>
        <v/>
      </c>
      <c r="L7" s="32"/>
      <c r="M7" s="32"/>
      <c r="N7" s="34"/>
      <c r="O7" s="27" t="str">
        <f t="shared" ref="O7:O205" si="10">IF(OR($L7="",$M7="",$L7=0),"",(($L7-$M7)/$L7)*100)</f>
        <v/>
      </c>
      <c r="P7" s="28" t="str">
        <f t="shared" si="5"/>
        <v/>
      </c>
      <c r="Q7" s="27" t="str">
        <f t="shared" si="6"/>
        <v/>
      </c>
      <c r="R7" s="35" t="str">
        <f t="shared" si="7"/>
        <v/>
      </c>
      <c r="S7" s="31" t="str">
        <f t="shared" si="8"/>
        <v/>
      </c>
      <c r="T7" s="28" t="str">
        <f t="shared" si="9"/>
        <v/>
      </c>
    </row>
    <row r="8">
      <c r="A8" s="21"/>
      <c r="B8" s="21"/>
      <c r="C8" s="25"/>
      <c r="D8" s="25"/>
      <c r="E8" s="26"/>
      <c r="F8" s="27" t="str">
        <f t="shared" si="1"/>
        <v/>
      </c>
      <c r="G8" s="29" t="str">
        <f t="array" ref="G8">IF($A8="","",IFERROR(INDEX('2. Plot &amp; Core Log'!$M$6:$M$35,MATCH($A8,'2. Plot &amp; Core Log'!$B$6:$B$35,0)),""))</f>
        <v/>
      </c>
      <c r="H8" s="30" t="str">
        <f t="array" ref="H8">IF($A8="","",IFERROR(INDEX('2. Plot &amp; Core Log'!$J$6:$J$35,MATCH($A8,'2. Plot &amp; Core Log'!$B$6:$B$35,0)),""))</f>
        <v/>
      </c>
      <c r="I8" s="27" t="str">
        <f t="shared" si="2"/>
        <v/>
      </c>
      <c r="J8" s="27" t="str">
        <f t="shared" si="3"/>
        <v/>
      </c>
      <c r="K8" s="27" t="str">
        <f t="shared" si="4"/>
        <v/>
      </c>
      <c r="L8" s="32"/>
      <c r="M8" s="32"/>
      <c r="N8" s="34"/>
      <c r="O8" s="27" t="str">
        <f t="shared" si="10"/>
        <v/>
      </c>
      <c r="P8" s="28" t="str">
        <f t="shared" si="5"/>
        <v/>
      </c>
      <c r="Q8" s="27" t="str">
        <f t="shared" si="6"/>
        <v/>
      </c>
      <c r="R8" s="35" t="str">
        <f t="shared" si="7"/>
        <v/>
      </c>
      <c r="S8" s="31" t="str">
        <f t="shared" si="8"/>
        <v/>
      </c>
      <c r="T8" s="28" t="str">
        <f t="shared" si="9"/>
        <v/>
      </c>
    </row>
    <row r="9">
      <c r="A9" s="21"/>
      <c r="B9" s="21"/>
      <c r="C9" s="25"/>
      <c r="D9" s="25"/>
      <c r="E9" s="26"/>
      <c r="F9" s="27" t="str">
        <f t="shared" si="1"/>
        <v/>
      </c>
      <c r="G9" s="29" t="str">
        <f t="array" ref="G9">IF($A9="","",IFERROR(INDEX('2. Plot &amp; Core Log'!$M$6:$M$35,MATCH($A9,'2. Plot &amp; Core Log'!$B$6:$B$35,0)),""))</f>
        <v/>
      </c>
      <c r="H9" s="30" t="str">
        <f t="array" ref="H9">IF($A9="","",IFERROR(INDEX('2. Plot &amp; Core Log'!$J$6:$J$35,MATCH($A9,'2. Plot &amp; Core Log'!$B$6:$B$35,0)),""))</f>
        <v/>
      </c>
      <c r="I9" s="27" t="str">
        <f t="shared" si="2"/>
        <v/>
      </c>
      <c r="J9" s="27" t="str">
        <f t="shared" si="3"/>
        <v/>
      </c>
      <c r="K9" s="27" t="str">
        <f t="shared" si="4"/>
        <v/>
      </c>
      <c r="L9" s="32"/>
      <c r="M9" s="32"/>
      <c r="N9" s="34"/>
      <c r="O9" s="27" t="str">
        <f t="shared" si="10"/>
        <v/>
      </c>
      <c r="P9" s="28" t="str">
        <f t="shared" si="5"/>
        <v/>
      </c>
      <c r="Q9" s="27" t="str">
        <f t="shared" si="6"/>
        <v/>
      </c>
      <c r="R9" s="35" t="str">
        <f t="shared" si="7"/>
        <v/>
      </c>
      <c r="S9" s="31" t="str">
        <f t="shared" si="8"/>
        <v/>
      </c>
      <c r="T9" s="28" t="str">
        <f t="shared" si="9"/>
        <v/>
      </c>
    </row>
    <row r="10">
      <c r="A10" s="21"/>
      <c r="B10" s="21"/>
      <c r="C10" s="25"/>
      <c r="D10" s="25"/>
      <c r="E10" s="26"/>
      <c r="F10" s="27" t="str">
        <f t="shared" si="1"/>
        <v/>
      </c>
      <c r="G10" s="29" t="str">
        <f t="array" ref="G10">IF($A10="","",IFERROR(INDEX('2. Plot &amp; Core Log'!$M$6:$M$35,MATCH($A10,'2. Plot &amp; Core Log'!$B$6:$B$35,0)),""))</f>
        <v/>
      </c>
      <c r="H10" s="30" t="str">
        <f t="array" ref="H10">IF($A10="","",IFERROR(INDEX('2. Plot &amp; Core Log'!$J$6:$J$35,MATCH($A10,'2. Plot &amp; Core Log'!$B$6:$B$35,0)),""))</f>
        <v/>
      </c>
      <c r="I10" s="27" t="str">
        <f t="shared" si="2"/>
        <v/>
      </c>
      <c r="J10" s="27" t="str">
        <f t="shared" si="3"/>
        <v/>
      </c>
      <c r="K10" s="27" t="str">
        <f t="shared" si="4"/>
        <v/>
      </c>
      <c r="L10" s="32"/>
      <c r="M10" s="32"/>
      <c r="N10" s="34"/>
      <c r="O10" s="27" t="str">
        <f t="shared" si="10"/>
        <v/>
      </c>
      <c r="P10" s="28" t="str">
        <f t="shared" si="5"/>
        <v/>
      </c>
      <c r="Q10" s="27" t="str">
        <f t="shared" si="6"/>
        <v/>
      </c>
      <c r="R10" s="35" t="str">
        <f t="shared" si="7"/>
        <v/>
      </c>
      <c r="S10" s="31" t="str">
        <f t="shared" si="8"/>
        <v/>
      </c>
      <c r="T10" s="28" t="str">
        <f t="shared" si="9"/>
        <v/>
      </c>
    </row>
    <row r="11">
      <c r="A11" s="21"/>
      <c r="B11" s="21"/>
      <c r="C11" s="25"/>
      <c r="D11" s="25"/>
      <c r="E11" s="26"/>
      <c r="F11" s="27" t="str">
        <f t="shared" si="1"/>
        <v/>
      </c>
      <c r="G11" s="29" t="str">
        <f t="array" ref="G11">IF($A11="","",IFERROR(INDEX('2. Plot &amp; Core Log'!$M$6:$M$35,MATCH($A11,'2. Plot &amp; Core Log'!$B$6:$B$35,0)),""))</f>
        <v/>
      </c>
      <c r="H11" s="30" t="str">
        <f t="array" ref="H11">IF($A11="","",IFERROR(INDEX('2. Plot &amp; Core Log'!$J$6:$J$35,MATCH($A11,'2. Plot &amp; Core Log'!$B$6:$B$35,0)),""))</f>
        <v/>
      </c>
      <c r="I11" s="27" t="str">
        <f t="shared" si="2"/>
        <v/>
      </c>
      <c r="J11" s="27" t="str">
        <f t="shared" si="3"/>
        <v/>
      </c>
      <c r="K11" s="27" t="str">
        <f t="shared" si="4"/>
        <v/>
      </c>
      <c r="L11" s="32"/>
      <c r="M11" s="32"/>
      <c r="N11" s="34"/>
      <c r="O11" s="27" t="str">
        <f t="shared" si="10"/>
        <v/>
      </c>
      <c r="P11" s="28" t="str">
        <f t="shared" si="5"/>
        <v/>
      </c>
      <c r="Q11" s="27" t="str">
        <f t="shared" si="6"/>
        <v/>
      </c>
      <c r="R11" s="35" t="str">
        <f t="shared" si="7"/>
        <v/>
      </c>
      <c r="S11" s="31" t="str">
        <f t="shared" si="8"/>
        <v/>
      </c>
      <c r="T11" s="28" t="str">
        <f t="shared" si="9"/>
        <v/>
      </c>
    </row>
    <row r="12">
      <c r="A12" s="24"/>
      <c r="B12" s="24"/>
      <c r="C12" s="24"/>
      <c r="D12" s="24"/>
      <c r="E12" s="26"/>
      <c r="F12" s="27" t="str">
        <f t="shared" si="1"/>
        <v/>
      </c>
      <c r="G12" s="29" t="str">
        <f t="array" ref="G12">IF($A12="","",IFERROR(INDEX('2. Plot &amp; Core Log'!$M$6:$M$35,MATCH($A12,'2. Plot &amp; Core Log'!$B$6:$B$35,0)),""))</f>
        <v/>
      </c>
      <c r="H12" s="30" t="str">
        <f t="array" ref="H12">IF($A12="","",IFERROR(INDEX('2. Plot &amp; Core Log'!$J$6:$J$35,MATCH($A12,'2. Plot &amp; Core Log'!$B$6:$B$35,0)),""))</f>
        <v/>
      </c>
      <c r="I12" s="27" t="str">
        <f t="shared" si="2"/>
        <v/>
      </c>
      <c r="J12" s="27" t="str">
        <f t="shared" si="3"/>
        <v/>
      </c>
      <c r="K12" s="27" t="str">
        <f t="shared" si="4"/>
        <v/>
      </c>
      <c r="L12" s="32"/>
      <c r="M12" s="32"/>
      <c r="N12" s="34"/>
      <c r="O12" s="27" t="str">
        <f t="shared" si="10"/>
        <v/>
      </c>
      <c r="P12" s="28" t="str">
        <f t="shared" si="5"/>
        <v/>
      </c>
      <c r="Q12" s="27" t="str">
        <f t="shared" si="6"/>
        <v/>
      </c>
      <c r="R12" s="35" t="str">
        <f t="shared" si="7"/>
        <v/>
      </c>
      <c r="S12" s="31" t="str">
        <f t="shared" si="8"/>
        <v/>
      </c>
      <c r="T12" s="28" t="str">
        <f t="shared" si="9"/>
        <v/>
      </c>
    </row>
    <row r="13">
      <c r="A13" s="23"/>
      <c r="B13" s="23"/>
      <c r="C13" s="24"/>
      <c r="D13" s="24"/>
      <c r="E13" s="26"/>
      <c r="F13" s="27" t="str">
        <f t="shared" si="1"/>
        <v/>
      </c>
      <c r="G13" s="29" t="str">
        <f t="array" ref="G13">IF($A13="","",IFERROR(INDEX('2. Plot &amp; Core Log'!$M$6:$M$35,MATCH($A13,'2. Plot &amp; Core Log'!$B$6:$B$35,0)),""))</f>
        <v/>
      </c>
      <c r="H13" s="30" t="str">
        <f t="array" ref="H13">IF($A13="","",IFERROR(INDEX('2. Plot &amp; Core Log'!$J$6:$J$35,MATCH($A13,'2. Plot &amp; Core Log'!$B$6:$B$35,0)),""))</f>
        <v/>
      </c>
      <c r="I13" s="27" t="str">
        <f t="shared" si="2"/>
        <v/>
      </c>
      <c r="J13" s="27" t="str">
        <f t="shared" si="3"/>
        <v/>
      </c>
      <c r="K13" s="27" t="str">
        <f t="shared" si="4"/>
        <v/>
      </c>
      <c r="L13" s="32"/>
      <c r="M13" s="32"/>
      <c r="N13" s="34"/>
      <c r="O13" s="27" t="str">
        <f t="shared" si="10"/>
        <v/>
      </c>
      <c r="P13" s="28" t="str">
        <f t="shared" si="5"/>
        <v/>
      </c>
      <c r="Q13" s="27" t="str">
        <f t="shared" si="6"/>
        <v/>
      </c>
      <c r="R13" s="35" t="str">
        <f t="shared" si="7"/>
        <v/>
      </c>
      <c r="S13" s="31" t="str">
        <f t="shared" si="8"/>
        <v/>
      </c>
      <c r="T13" s="28" t="str">
        <f t="shared" si="9"/>
        <v/>
      </c>
    </row>
    <row r="14">
      <c r="A14" s="23"/>
      <c r="B14" s="23"/>
      <c r="C14" s="24"/>
      <c r="D14" s="24"/>
      <c r="E14" s="26"/>
      <c r="F14" s="27" t="str">
        <f t="shared" si="1"/>
        <v/>
      </c>
      <c r="G14" s="29" t="str">
        <f t="array" ref="G14">IF($A14="","",IFERROR(INDEX('2. Plot &amp; Core Log'!$M$6:$M$35,MATCH($A14,'2. Plot &amp; Core Log'!$B$6:$B$35,0)),""))</f>
        <v/>
      </c>
      <c r="H14" s="30" t="str">
        <f t="array" ref="H14">IF($A14="","",IFERROR(INDEX('2. Plot &amp; Core Log'!$J$6:$J$35,MATCH($A14,'2. Plot &amp; Core Log'!$B$6:$B$35,0)),""))</f>
        <v/>
      </c>
      <c r="I14" s="27" t="str">
        <f t="shared" si="2"/>
        <v/>
      </c>
      <c r="J14" s="27" t="str">
        <f t="shared" si="3"/>
        <v/>
      </c>
      <c r="K14" s="27" t="str">
        <f t="shared" si="4"/>
        <v/>
      </c>
      <c r="L14" s="32"/>
      <c r="M14" s="32"/>
      <c r="N14" s="34"/>
      <c r="O14" s="27" t="str">
        <f t="shared" si="10"/>
        <v/>
      </c>
      <c r="P14" s="28" t="str">
        <f t="shared" si="5"/>
        <v/>
      </c>
      <c r="Q14" s="27" t="str">
        <f t="shared" si="6"/>
        <v/>
      </c>
      <c r="R14" s="35" t="str">
        <f t="shared" si="7"/>
        <v/>
      </c>
      <c r="S14" s="31" t="str">
        <f t="shared" si="8"/>
        <v/>
      </c>
      <c r="T14" s="28" t="str">
        <f t="shared" si="9"/>
        <v/>
      </c>
    </row>
    <row r="15">
      <c r="A15" s="23"/>
      <c r="B15" s="23"/>
      <c r="C15" s="24"/>
      <c r="D15" s="24"/>
      <c r="E15" s="26"/>
      <c r="F15" s="27" t="str">
        <f t="shared" si="1"/>
        <v/>
      </c>
      <c r="G15" s="29" t="str">
        <f t="array" ref="G15">IF($A15="","",IFERROR(INDEX('2. Plot &amp; Core Log'!$M$6:$M$35,MATCH($A15,'2. Plot &amp; Core Log'!$B$6:$B$35,0)),""))</f>
        <v/>
      </c>
      <c r="H15" s="30" t="str">
        <f t="array" ref="H15">IF($A15="","",IFERROR(INDEX('2. Plot &amp; Core Log'!$J$6:$J$35,MATCH($A15,'2. Plot &amp; Core Log'!$B$6:$B$35,0)),""))</f>
        <v/>
      </c>
      <c r="I15" s="27" t="str">
        <f t="shared" si="2"/>
        <v/>
      </c>
      <c r="J15" s="27" t="str">
        <f t="shared" si="3"/>
        <v/>
      </c>
      <c r="K15" s="27" t="str">
        <f t="shared" si="4"/>
        <v/>
      </c>
      <c r="L15" s="32"/>
      <c r="M15" s="32"/>
      <c r="N15" s="34"/>
      <c r="O15" s="27" t="str">
        <f t="shared" si="10"/>
        <v/>
      </c>
      <c r="P15" s="28" t="str">
        <f t="shared" si="5"/>
        <v/>
      </c>
      <c r="Q15" s="27" t="str">
        <f t="shared" si="6"/>
        <v/>
      </c>
      <c r="R15" s="35" t="str">
        <f t="shared" si="7"/>
        <v/>
      </c>
      <c r="S15" s="31" t="str">
        <f t="shared" si="8"/>
        <v/>
      </c>
      <c r="T15" s="28" t="str">
        <f t="shared" si="9"/>
        <v/>
      </c>
    </row>
    <row r="16">
      <c r="A16" s="23"/>
      <c r="B16" s="23"/>
      <c r="C16" s="24"/>
      <c r="D16" s="24"/>
      <c r="E16" s="26"/>
      <c r="F16" s="27" t="str">
        <f t="shared" si="1"/>
        <v/>
      </c>
      <c r="G16" s="29" t="str">
        <f t="array" ref="G16">IF($A16="","",IFERROR(INDEX('2. Plot &amp; Core Log'!$M$6:$M$35,MATCH($A16,'2. Plot &amp; Core Log'!$B$6:$B$35,0)),""))</f>
        <v/>
      </c>
      <c r="H16" s="30" t="str">
        <f t="array" ref="H16">IF($A16="","",IFERROR(INDEX('2. Plot &amp; Core Log'!$J$6:$J$35,MATCH($A16,'2. Plot &amp; Core Log'!$B$6:$B$35,0)),""))</f>
        <v/>
      </c>
      <c r="I16" s="27" t="str">
        <f t="shared" si="2"/>
        <v/>
      </c>
      <c r="J16" s="27" t="str">
        <f t="shared" si="3"/>
        <v/>
      </c>
      <c r="K16" s="27" t="str">
        <f t="shared" si="4"/>
        <v/>
      </c>
      <c r="L16" s="32"/>
      <c r="M16" s="32"/>
      <c r="N16" s="34"/>
      <c r="O16" s="27" t="str">
        <f t="shared" si="10"/>
        <v/>
      </c>
      <c r="P16" s="28" t="str">
        <f t="shared" si="5"/>
        <v/>
      </c>
      <c r="Q16" s="27" t="str">
        <f t="shared" si="6"/>
        <v/>
      </c>
      <c r="R16" s="35" t="str">
        <f t="shared" si="7"/>
        <v/>
      </c>
      <c r="S16" s="31" t="str">
        <f t="shared" si="8"/>
        <v/>
      </c>
      <c r="T16" s="28" t="str">
        <f t="shared" si="9"/>
        <v/>
      </c>
    </row>
    <row r="17">
      <c r="A17" s="23"/>
      <c r="B17" s="23"/>
      <c r="C17" s="24"/>
      <c r="D17" s="24"/>
      <c r="E17" s="26"/>
      <c r="F17" s="27" t="str">
        <f t="shared" si="1"/>
        <v/>
      </c>
      <c r="G17" s="29" t="str">
        <f t="array" ref="G17">IF($A17="","",IFERROR(INDEX('2. Plot &amp; Core Log'!$M$6:$M$35,MATCH($A17,'2. Plot &amp; Core Log'!$B$6:$B$35,0)),""))</f>
        <v/>
      </c>
      <c r="H17" s="30" t="str">
        <f t="array" ref="H17">IF($A17="","",IFERROR(INDEX('2. Plot &amp; Core Log'!$J$6:$J$35,MATCH($A17,'2. Plot &amp; Core Log'!$B$6:$B$35,0)),""))</f>
        <v/>
      </c>
      <c r="I17" s="27" t="str">
        <f t="shared" si="2"/>
        <v/>
      </c>
      <c r="J17" s="27" t="str">
        <f t="shared" si="3"/>
        <v/>
      </c>
      <c r="K17" s="27" t="str">
        <f t="shared" si="4"/>
        <v/>
      </c>
      <c r="L17" s="32"/>
      <c r="M17" s="32"/>
      <c r="N17" s="34"/>
      <c r="O17" s="27" t="str">
        <f t="shared" si="10"/>
        <v/>
      </c>
      <c r="P17" s="28" t="str">
        <f t="shared" si="5"/>
        <v/>
      </c>
      <c r="Q17" s="27" t="str">
        <f t="shared" si="6"/>
        <v/>
      </c>
      <c r="R17" s="35" t="str">
        <f t="shared" si="7"/>
        <v/>
      </c>
      <c r="S17" s="31" t="str">
        <f t="shared" si="8"/>
        <v/>
      </c>
      <c r="T17" s="28" t="str">
        <f t="shared" si="9"/>
        <v/>
      </c>
    </row>
    <row r="18">
      <c r="A18" s="23"/>
      <c r="B18" s="23"/>
      <c r="C18" s="24"/>
      <c r="D18" s="24"/>
      <c r="E18" s="26"/>
      <c r="F18" s="27" t="str">
        <f t="shared" si="1"/>
        <v/>
      </c>
      <c r="G18" s="29" t="str">
        <f t="array" ref="G18">IF($A18="","",IFERROR(INDEX('2. Plot &amp; Core Log'!$M$6:$M$35,MATCH($A18,'2. Plot &amp; Core Log'!$B$6:$B$35,0)),""))</f>
        <v/>
      </c>
      <c r="H18" s="30" t="str">
        <f t="array" ref="H18">IF($A18="","",IFERROR(INDEX('2. Plot &amp; Core Log'!$J$6:$J$35,MATCH($A18,'2. Plot &amp; Core Log'!$B$6:$B$35,0)),""))</f>
        <v/>
      </c>
      <c r="I18" s="27" t="str">
        <f t="shared" si="2"/>
        <v/>
      </c>
      <c r="J18" s="27" t="str">
        <f t="shared" si="3"/>
        <v/>
      </c>
      <c r="K18" s="27" t="str">
        <f t="shared" si="4"/>
        <v/>
      </c>
      <c r="L18" s="32"/>
      <c r="M18" s="32"/>
      <c r="N18" s="34"/>
      <c r="O18" s="27" t="str">
        <f t="shared" si="10"/>
        <v/>
      </c>
      <c r="P18" s="28" t="str">
        <f t="shared" si="5"/>
        <v/>
      </c>
      <c r="Q18" s="27" t="str">
        <f t="shared" si="6"/>
        <v/>
      </c>
      <c r="R18" s="35" t="str">
        <f t="shared" si="7"/>
        <v/>
      </c>
      <c r="S18" s="31" t="str">
        <f t="shared" si="8"/>
        <v/>
      </c>
      <c r="T18" s="28" t="str">
        <f t="shared" si="9"/>
        <v/>
      </c>
    </row>
    <row r="19">
      <c r="A19" s="23"/>
      <c r="B19" s="23"/>
      <c r="C19" s="24"/>
      <c r="D19" s="24"/>
      <c r="E19" s="26"/>
      <c r="F19" s="27" t="str">
        <f t="shared" si="1"/>
        <v/>
      </c>
      <c r="G19" s="29" t="str">
        <f t="array" ref="G19">IF($A19="","",IFERROR(INDEX('2. Plot &amp; Core Log'!$M$6:$M$35,MATCH($A19,'2. Plot &amp; Core Log'!$B$6:$B$35,0)),""))</f>
        <v/>
      </c>
      <c r="H19" s="30" t="str">
        <f t="array" ref="H19">IF($A19="","",IFERROR(INDEX('2. Plot &amp; Core Log'!$J$6:$J$35,MATCH($A19,'2. Plot &amp; Core Log'!$B$6:$B$35,0)),""))</f>
        <v/>
      </c>
      <c r="I19" s="27" t="str">
        <f t="shared" si="2"/>
        <v/>
      </c>
      <c r="J19" s="27" t="str">
        <f t="shared" si="3"/>
        <v/>
      </c>
      <c r="K19" s="27" t="str">
        <f t="shared" si="4"/>
        <v/>
      </c>
      <c r="L19" s="32"/>
      <c r="M19" s="32"/>
      <c r="N19" s="34"/>
      <c r="O19" s="27" t="str">
        <f t="shared" si="10"/>
        <v/>
      </c>
      <c r="P19" s="28" t="str">
        <f t="shared" si="5"/>
        <v/>
      </c>
      <c r="Q19" s="27" t="str">
        <f t="shared" si="6"/>
        <v/>
      </c>
      <c r="R19" s="35" t="str">
        <f t="shared" si="7"/>
        <v/>
      </c>
      <c r="S19" s="31" t="str">
        <f t="shared" si="8"/>
        <v/>
      </c>
      <c r="T19" s="28" t="str">
        <f t="shared" si="9"/>
        <v/>
      </c>
    </row>
    <row r="20">
      <c r="A20" s="23"/>
      <c r="B20" s="23"/>
      <c r="C20" s="24"/>
      <c r="D20" s="24"/>
      <c r="E20" s="26"/>
      <c r="F20" s="27" t="str">
        <f t="shared" si="1"/>
        <v/>
      </c>
      <c r="G20" s="29" t="str">
        <f t="array" ref="G20">IF($A20="","",IFERROR(INDEX('2. Plot &amp; Core Log'!$M$6:$M$35,MATCH($A20,'2. Plot &amp; Core Log'!$B$6:$B$35,0)),""))</f>
        <v/>
      </c>
      <c r="H20" s="30" t="str">
        <f t="array" ref="H20">IF($A20="","",IFERROR(INDEX('2. Plot &amp; Core Log'!$J$6:$J$35,MATCH($A20,'2. Plot &amp; Core Log'!$B$6:$B$35,0)),""))</f>
        <v/>
      </c>
      <c r="I20" s="27" t="str">
        <f t="shared" si="2"/>
        <v/>
      </c>
      <c r="J20" s="27" t="str">
        <f t="shared" si="3"/>
        <v/>
      </c>
      <c r="K20" s="27" t="str">
        <f t="shared" si="4"/>
        <v/>
      </c>
      <c r="L20" s="32"/>
      <c r="M20" s="32"/>
      <c r="N20" s="34"/>
      <c r="O20" s="27" t="str">
        <f t="shared" si="10"/>
        <v/>
      </c>
      <c r="P20" s="28" t="str">
        <f t="shared" si="5"/>
        <v/>
      </c>
      <c r="Q20" s="27" t="str">
        <f t="shared" si="6"/>
        <v/>
      </c>
      <c r="R20" s="35" t="str">
        <f t="shared" si="7"/>
        <v/>
      </c>
      <c r="S20" s="31" t="str">
        <f t="shared" si="8"/>
        <v/>
      </c>
      <c r="T20" s="28" t="str">
        <f t="shared" si="9"/>
        <v/>
      </c>
    </row>
    <row r="21" ht="15.75" customHeight="1">
      <c r="A21" s="23"/>
      <c r="B21" s="23"/>
      <c r="C21" s="24"/>
      <c r="D21" s="24"/>
      <c r="E21" s="26"/>
      <c r="F21" s="27" t="str">
        <f t="shared" si="1"/>
        <v/>
      </c>
      <c r="G21" s="29" t="str">
        <f t="array" ref="G21">IF($A21="","",IFERROR(INDEX('2. Plot &amp; Core Log'!$M$6:$M$35,MATCH($A21,'2. Plot &amp; Core Log'!$B$6:$B$35,0)),""))</f>
        <v/>
      </c>
      <c r="H21" s="30" t="str">
        <f t="array" ref="H21">IF($A21="","",IFERROR(INDEX('2. Plot &amp; Core Log'!$J$6:$J$35,MATCH($A21,'2. Plot &amp; Core Log'!$B$6:$B$35,0)),""))</f>
        <v/>
      </c>
      <c r="I21" s="27" t="str">
        <f t="shared" si="2"/>
        <v/>
      </c>
      <c r="J21" s="27" t="str">
        <f t="shared" si="3"/>
        <v/>
      </c>
      <c r="K21" s="27" t="str">
        <f t="shared" si="4"/>
        <v/>
      </c>
      <c r="L21" s="32"/>
      <c r="M21" s="32"/>
      <c r="N21" s="34"/>
      <c r="O21" s="27" t="str">
        <f t="shared" si="10"/>
        <v/>
      </c>
      <c r="P21" s="28" t="str">
        <f t="shared" si="5"/>
        <v/>
      </c>
      <c r="Q21" s="27" t="str">
        <f t="shared" si="6"/>
        <v/>
      </c>
      <c r="R21" s="35" t="str">
        <f t="shared" si="7"/>
        <v/>
      </c>
      <c r="S21" s="31" t="str">
        <f t="shared" si="8"/>
        <v/>
      </c>
      <c r="T21" s="28" t="str">
        <f t="shared" si="9"/>
        <v/>
      </c>
    </row>
    <row r="22" ht="15.75" customHeight="1">
      <c r="A22" s="23"/>
      <c r="B22" s="23"/>
      <c r="C22" s="24"/>
      <c r="D22" s="24"/>
      <c r="E22" s="26"/>
      <c r="F22" s="27" t="str">
        <f t="shared" si="1"/>
        <v/>
      </c>
      <c r="G22" s="29" t="str">
        <f t="array" ref="G22">IF($A22="","",IFERROR(INDEX('2. Plot &amp; Core Log'!$M$6:$M$35,MATCH($A22,'2. Plot &amp; Core Log'!$B$6:$B$35,0)),""))</f>
        <v/>
      </c>
      <c r="H22" s="30" t="str">
        <f t="array" ref="H22">IF($A22="","",IFERROR(INDEX('2. Plot &amp; Core Log'!$J$6:$J$35,MATCH($A22,'2. Plot &amp; Core Log'!$B$6:$B$35,0)),""))</f>
        <v/>
      </c>
      <c r="I22" s="27" t="str">
        <f t="shared" si="2"/>
        <v/>
      </c>
      <c r="J22" s="27" t="str">
        <f t="shared" si="3"/>
        <v/>
      </c>
      <c r="K22" s="27" t="str">
        <f t="shared" si="4"/>
        <v/>
      </c>
      <c r="L22" s="32"/>
      <c r="M22" s="32"/>
      <c r="N22" s="34"/>
      <c r="O22" s="27" t="str">
        <f t="shared" si="10"/>
        <v/>
      </c>
      <c r="P22" s="28" t="str">
        <f t="shared" si="5"/>
        <v/>
      </c>
      <c r="Q22" s="27" t="str">
        <f t="shared" si="6"/>
        <v/>
      </c>
      <c r="R22" s="35" t="str">
        <f t="shared" si="7"/>
        <v/>
      </c>
      <c r="S22" s="31" t="str">
        <f t="shared" si="8"/>
        <v/>
      </c>
      <c r="T22" s="28" t="str">
        <f t="shared" si="9"/>
        <v/>
      </c>
    </row>
    <row r="23" ht="15.75" customHeight="1">
      <c r="A23" s="23"/>
      <c r="B23" s="23"/>
      <c r="C23" s="24"/>
      <c r="D23" s="24"/>
      <c r="E23" s="26"/>
      <c r="F23" s="27" t="str">
        <f t="shared" si="1"/>
        <v/>
      </c>
      <c r="G23" s="29" t="str">
        <f t="array" ref="G23">IF($A23="","",IFERROR(INDEX('2. Plot &amp; Core Log'!$M$6:$M$35,MATCH($A23,'2. Plot &amp; Core Log'!$B$6:$B$35,0)),""))</f>
        <v/>
      </c>
      <c r="H23" s="30" t="str">
        <f t="array" ref="H23">IF($A23="","",IFERROR(INDEX('2. Plot &amp; Core Log'!$J$6:$J$35,MATCH($A23,'2. Plot &amp; Core Log'!$B$6:$B$35,0)),""))</f>
        <v/>
      </c>
      <c r="I23" s="27" t="str">
        <f t="shared" si="2"/>
        <v/>
      </c>
      <c r="J23" s="27" t="str">
        <f t="shared" si="3"/>
        <v/>
      </c>
      <c r="K23" s="27" t="str">
        <f t="shared" si="4"/>
        <v/>
      </c>
      <c r="L23" s="32"/>
      <c r="M23" s="32"/>
      <c r="N23" s="34"/>
      <c r="O23" s="27" t="str">
        <f t="shared" si="10"/>
        <v/>
      </c>
      <c r="P23" s="28" t="str">
        <f t="shared" si="5"/>
        <v/>
      </c>
      <c r="Q23" s="27" t="str">
        <f t="shared" si="6"/>
        <v/>
      </c>
      <c r="R23" s="35" t="str">
        <f t="shared" si="7"/>
        <v/>
      </c>
      <c r="S23" s="31" t="str">
        <f t="shared" si="8"/>
        <v/>
      </c>
      <c r="T23" s="28" t="str">
        <f t="shared" si="9"/>
        <v/>
      </c>
    </row>
    <row r="24" ht="15.75" customHeight="1">
      <c r="A24" s="23"/>
      <c r="B24" s="23"/>
      <c r="C24" s="24"/>
      <c r="D24" s="24"/>
      <c r="E24" s="26"/>
      <c r="F24" s="27" t="str">
        <f t="shared" si="1"/>
        <v/>
      </c>
      <c r="G24" s="29" t="str">
        <f t="array" ref="G24">IF($A24="","",IFERROR(INDEX('2. Plot &amp; Core Log'!$M$6:$M$35,MATCH($A24,'2. Plot &amp; Core Log'!$B$6:$B$35,0)),""))</f>
        <v/>
      </c>
      <c r="H24" s="30" t="str">
        <f t="array" ref="H24">IF($A24="","",IFERROR(INDEX('2. Plot &amp; Core Log'!$J$6:$J$35,MATCH($A24,'2. Plot &amp; Core Log'!$B$6:$B$35,0)),""))</f>
        <v/>
      </c>
      <c r="I24" s="27" t="str">
        <f t="shared" si="2"/>
        <v/>
      </c>
      <c r="J24" s="27" t="str">
        <f t="shared" si="3"/>
        <v/>
      </c>
      <c r="K24" s="27" t="str">
        <f t="shared" si="4"/>
        <v/>
      </c>
      <c r="L24" s="32"/>
      <c r="M24" s="32"/>
      <c r="N24" s="34"/>
      <c r="O24" s="27" t="str">
        <f t="shared" si="10"/>
        <v/>
      </c>
      <c r="P24" s="28" t="str">
        <f t="shared" si="5"/>
        <v/>
      </c>
      <c r="Q24" s="27" t="str">
        <f t="shared" si="6"/>
        <v/>
      </c>
      <c r="R24" s="35" t="str">
        <f t="shared" si="7"/>
        <v/>
      </c>
      <c r="S24" s="31" t="str">
        <f t="shared" si="8"/>
        <v/>
      </c>
      <c r="T24" s="28" t="str">
        <f t="shared" si="9"/>
        <v/>
      </c>
    </row>
    <row r="25" ht="15.75" customHeight="1">
      <c r="A25" s="23"/>
      <c r="B25" s="23"/>
      <c r="C25" s="24"/>
      <c r="D25" s="24"/>
      <c r="E25" s="26"/>
      <c r="F25" s="27" t="str">
        <f t="shared" si="1"/>
        <v/>
      </c>
      <c r="G25" s="29" t="str">
        <f t="array" ref="G25">IF($A25="","",IFERROR(INDEX('2. Plot &amp; Core Log'!$M$6:$M$35,MATCH($A25,'2. Plot &amp; Core Log'!$B$6:$B$35,0)),""))</f>
        <v/>
      </c>
      <c r="H25" s="30" t="str">
        <f t="array" ref="H25">IF($A25="","",IFERROR(INDEX('2. Plot &amp; Core Log'!$J$6:$J$35,MATCH($A25,'2. Plot &amp; Core Log'!$B$6:$B$35,0)),""))</f>
        <v/>
      </c>
      <c r="I25" s="27" t="str">
        <f t="shared" si="2"/>
        <v/>
      </c>
      <c r="J25" s="27" t="str">
        <f t="shared" si="3"/>
        <v/>
      </c>
      <c r="K25" s="27" t="str">
        <f t="shared" si="4"/>
        <v/>
      </c>
      <c r="L25" s="32"/>
      <c r="M25" s="32"/>
      <c r="N25" s="34"/>
      <c r="O25" s="27" t="str">
        <f t="shared" si="10"/>
        <v/>
      </c>
      <c r="P25" s="28" t="str">
        <f t="shared" si="5"/>
        <v/>
      </c>
      <c r="Q25" s="27" t="str">
        <f t="shared" si="6"/>
        <v/>
      </c>
      <c r="R25" s="35" t="str">
        <f t="shared" si="7"/>
        <v/>
      </c>
      <c r="S25" s="31" t="str">
        <f t="shared" si="8"/>
        <v/>
      </c>
      <c r="T25" s="28" t="str">
        <f t="shared" si="9"/>
        <v/>
      </c>
    </row>
    <row r="26" ht="15.75" customHeight="1">
      <c r="A26" s="23"/>
      <c r="B26" s="23"/>
      <c r="C26" s="24"/>
      <c r="D26" s="24"/>
      <c r="E26" s="26"/>
      <c r="F26" s="27" t="str">
        <f t="shared" si="1"/>
        <v/>
      </c>
      <c r="G26" s="29" t="str">
        <f t="array" ref="G26">IF($A26="","",IFERROR(INDEX('2. Plot &amp; Core Log'!$M$6:$M$35,MATCH($A26,'2. Plot &amp; Core Log'!$B$6:$B$35,0)),""))</f>
        <v/>
      </c>
      <c r="H26" s="30" t="str">
        <f t="array" ref="H26">IF($A26="","",IFERROR(INDEX('2. Plot &amp; Core Log'!$J$6:$J$35,MATCH($A26,'2. Plot &amp; Core Log'!$B$6:$B$35,0)),""))</f>
        <v/>
      </c>
      <c r="I26" s="27" t="str">
        <f t="shared" si="2"/>
        <v/>
      </c>
      <c r="J26" s="27" t="str">
        <f t="shared" si="3"/>
        <v/>
      </c>
      <c r="K26" s="27" t="str">
        <f t="shared" si="4"/>
        <v/>
      </c>
      <c r="L26" s="32"/>
      <c r="M26" s="32"/>
      <c r="N26" s="34"/>
      <c r="O26" s="27" t="str">
        <f t="shared" si="10"/>
        <v/>
      </c>
      <c r="P26" s="28" t="str">
        <f t="shared" si="5"/>
        <v/>
      </c>
      <c r="Q26" s="27" t="str">
        <f t="shared" si="6"/>
        <v/>
      </c>
      <c r="R26" s="35" t="str">
        <f t="shared" si="7"/>
        <v/>
      </c>
      <c r="S26" s="31" t="str">
        <f t="shared" si="8"/>
        <v/>
      </c>
      <c r="T26" s="28" t="str">
        <f t="shared" si="9"/>
        <v/>
      </c>
    </row>
    <row r="27" ht="15.75" customHeight="1">
      <c r="A27" s="23"/>
      <c r="B27" s="23"/>
      <c r="C27" s="24"/>
      <c r="D27" s="24"/>
      <c r="E27" s="26"/>
      <c r="F27" s="27" t="str">
        <f t="shared" si="1"/>
        <v/>
      </c>
      <c r="G27" s="29" t="str">
        <f t="array" ref="G27">IF($A27="","",IFERROR(INDEX('2. Plot &amp; Core Log'!$M$6:$M$35,MATCH($A27,'2. Plot &amp; Core Log'!$B$6:$B$35,0)),""))</f>
        <v/>
      </c>
      <c r="H27" s="30" t="str">
        <f t="array" ref="H27">IF($A27="","",IFERROR(INDEX('2. Plot &amp; Core Log'!$J$6:$J$35,MATCH($A27,'2. Plot &amp; Core Log'!$B$6:$B$35,0)),""))</f>
        <v/>
      </c>
      <c r="I27" s="27" t="str">
        <f t="shared" si="2"/>
        <v/>
      </c>
      <c r="J27" s="27" t="str">
        <f t="shared" si="3"/>
        <v/>
      </c>
      <c r="K27" s="27" t="str">
        <f t="shared" si="4"/>
        <v/>
      </c>
      <c r="L27" s="32"/>
      <c r="M27" s="32"/>
      <c r="N27" s="34"/>
      <c r="O27" s="27" t="str">
        <f t="shared" si="10"/>
        <v/>
      </c>
      <c r="P27" s="28" t="str">
        <f t="shared" si="5"/>
        <v/>
      </c>
      <c r="Q27" s="27" t="str">
        <f t="shared" si="6"/>
        <v/>
      </c>
      <c r="R27" s="35" t="str">
        <f t="shared" si="7"/>
        <v/>
      </c>
      <c r="S27" s="31" t="str">
        <f t="shared" si="8"/>
        <v/>
      </c>
      <c r="T27" s="28" t="str">
        <f t="shared" si="9"/>
        <v/>
      </c>
    </row>
    <row r="28" ht="15.75" customHeight="1">
      <c r="A28" s="23"/>
      <c r="B28" s="23"/>
      <c r="C28" s="24"/>
      <c r="D28" s="24"/>
      <c r="E28" s="26"/>
      <c r="F28" s="27" t="str">
        <f t="shared" si="1"/>
        <v/>
      </c>
      <c r="G28" s="29" t="str">
        <f t="array" ref="G28">IF($A28="","",IFERROR(INDEX('2. Plot &amp; Core Log'!$M$6:$M$35,MATCH($A28,'2. Plot &amp; Core Log'!$B$6:$B$35,0)),""))</f>
        <v/>
      </c>
      <c r="H28" s="30" t="str">
        <f t="array" ref="H28">IF($A28="","",IFERROR(INDEX('2. Plot &amp; Core Log'!$J$6:$J$35,MATCH($A28,'2. Plot &amp; Core Log'!$B$6:$B$35,0)),""))</f>
        <v/>
      </c>
      <c r="I28" s="27" t="str">
        <f t="shared" si="2"/>
        <v/>
      </c>
      <c r="J28" s="27" t="str">
        <f t="shared" si="3"/>
        <v/>
      </c>
      <c r="K28" s="27" t="str">
        <f t="shared" si="4"/>
        <v/>
      </c>
      <c r="L28" s="32"/>
      <c r="M28" s="32"/>
      <c r="N28" s="34"/>
      <c r="O28" s="27" t="str">
        <f t="shared" si="10"/>
        <v/>
      </c>
      <c r="P28" s="28" t="str">
        <f t="shared" si="5"/>
        <v/>
      </c>
      <c r="Q28" s="27" t="str">
        <f t="shared" si="6"/>
        <v/>
      </c>
      <c r="R28" s="35" t="str">
        <f t="shared" si="7"/>
        <v/>
      </c>
      <c r="S28" s="31" t="str">
        <f t="shared" si="8"/>
        <v/>
      </c>
      <c r="T28" s="28" t="str">
        <f t="shared" si="9"/>
        <v/>
      </c>
    </row>
    <row r="29" ht="15.75" customHeight="1">
      <c r="A29" s="23"/>
      <c r="B29" s="23"/>
      <c r="C29" s="24"/>
      <c r="D29" s="24"/>
      <c r="E29" s="26"/>
      <c r="F29" s="27" t="str">
        <f t="shared" si="1"/>
        <v/>
      </c>
      <c r="G29" s="29" t="str">
        <f t="array" ref="G29">IF($A29="","",IFERROR(INDEX('2. Plot &amp; Core Log'!$M$6:$M$35,MATCH($A29,'2. Plot &amp; Core Log'!$B$6:$B$35,0)),""))</f>
        <v/>
      </c>
      <c r="H29" s="30" t="str">
        <f t="array" ref="H29">IF($A29="","",IFERROR(INDEX('2. Plot &amp; Core Log'!$J$6:$J$35,MATCH($A29,'2. Plot &amp; Core Log'!$B$6:$B$35,0)),""))</f>
        <v/>
      </c>
      <c r="I29" s="27" t="str">
        <f t="shared" si="2"/>
        <v/>
      </c>
      <c r="J29" s="27" t="str">
        <f t="shared" si="3"/>
        <v/>
      </c>
      <c r="K29" s="27" t="str">
        <f t="shared" si="4"/>
        <v/>
      </c>
      <c r="L29" s="32"/>
      <c r="M29" s="32"/>
      <c r="N29" s="34"/>
      <c r="O29" s="27" t="str">
        <f t="shared" si="10"/>
        <v/>
      </c>
      <c r="P29" s="28" t="str">
        <f t="shared" si="5"/>
        <v/>
      </c>
      <c r="Q29" s="27" t="str">
        <f t="shared" si="6"/>
        <v/>
      </c>
      <c r="R29" s="35" t="str">
        <f t="shared" si="7"/>
        <v/>
      </c>
      <c r="S29" s="31" t="str">
        <f t="shared" si="8"/>
        <v/>
      </c>
      <c r="T29" s="28" t="str">
        <f t="shared" si="9"/>
        <v/>
      </c>
    </row>
    <row r="30" ht="15.75" customHeight="1">
      <c r="A30" s="23"/>
      <c r="B30" s="23"/>
      <c r="C30" s="24"/>
      <c r="D30" s="24"/>
      <c r="E30" s="26"/>
      <c r="F30" s="27" t="str">
        <f t="shared" si="1"/>
        <v/>
      </c>
      <c r="G30" s="29" t="str">
        <f t="array" ref="G30">IF($A30="","",IFERROR(INDEX('2. Plot &amp; Core Log'!$M$6:$M$35,MATCH($A30,'2. Plot &amp; Core Log'!$B$6:$B$35,0)),""))</f>
        <v/>
      </c>
      <c r="H30" s="30" t="str">
        <f t="array" ref="H30">IF($A30="","",IFERROR(INDEX('2. Plot &amp; Core Log'!$J$6:$J$35,MATCH($A30,'2. Plot &amp; Core Log'!$B$6:$B$35,0)),""))</f>
        <v/>
      </c>
      <c r="I30" s="27" t="str">
        <f t="shared" si="2"/>
        <v/>
      </c>
      <c r="J30" s="27" t="str">
        <f t="shared" si="3"/>
        <v/>
      </c>
      <c r="K30" s="27" t="str">
        <f t="shared" si="4"/>
        <v/>
      </c>
      <c r="L30" s="32"/>
      <c r="M30" s="32"/>
      <c r="N30" s="34"/>
      <c r="O30" s="27" t="str">
        <f t="shared" si="10"/>
        <v/>
      </c>
      <c r="P30" s="28" t="str">
        <f t="shared" si="5"/>
        <v/>
      </c>
      <c r="Q30" s="27" t="str">
        <f t="shared" si="6"/>
        <v/>
      </c>
      <c r="R30" s="35" t="str">
        <f t="shared" si="7"/>
        <v/>
      </c>
      <c r="S30" s="31" t="str">
        <f t="shared" si="8"/>
        <v/>
      </c>
      <c r="T30" s="28" t="str">
        <f t="shared" si="9"/>
        <v/>
      </c>
    </row>
    <row r="31" ht="15.75" customHeight="1">
      <c r="A31" s="23"/>
      <c r="B31" s="23"/>
      <c r="C31" s="24"/>
      <c r="D31" s="24"/>
      <c r="E31" s="26"/>
      <c r="F31" s="27" t="str">
        <f t="shared" si="1"/>
        <v/>
      </c>
      <c r="G31" s="29" t="str">
        <f t="array" ref="G31">IF($A31="","",IFERROR(INDEX('2. Plot &amp; Core Log'!$M$6:$M$35,MATCH($A31,'2. Plot &amp; Core Log'!$B$6:$B$35,0)),""))</f>
        <v/>
      </c>
      <c r="H31" s="30" t="str">
        <f t="array" ref="H31">IF($A31="","",IFERROR(INDEX('2. Plot &amp; Core Log'!$J$6:$J$35,MATCH($A31,'2. Plot &amp; Core Log'!$B$6:$B$35,0)),""))</f>
        <v/>
      </c>
      <c r="I31" s="27" t="str">
        <f t="shared" si="2"/>
        <v/>
      </c>
      <c r="J31" s="27" t="str">
        <f t="shared" si="3"/>
        <v/>
      </c>
      <c r="K31" s="27" t="str">
        <f t="shared" si="4"/>
        <v/>
      </c>
      <c r="L31" s="32"/>
      <c r="M31" s="32"/>
      <c r="N31" s="34"/>
      <c r="O31" s="27" t="str">
        <f t="shared" si="10"/>
        <v/>
      </c>
      <c r="P31" s="28" t="str">
        <f t="shared" si="5"/>
        <v/>
      </c>
      <c r="Q31" s="27" t="str">
        <f t="shared" si="6"/>
        <v/>
      </c>
      <c r="R31" s="35" t="str">
        <f t="shared" si="7"/>
        <v/>
      </c>
      <c r="S31" s="31" t="str">
        <f t="shared" si="8"/>
        <v/>
      </c>
      <c r="T31" s="28" t="str">
        <f t="shared" si="9"/>
        <v/>
      </c>
    </row>
    <row r="32" ht="15.75" customHeight="1">
      <c r="A32" s="23"/>
      <c r="B32" s="23"/>
      <c r="C32" s="24"/>
      <c r="D32" s="24"/>
      <c r="E32" s="26"/>
      <c r="F32" s="27" t="str">
        <f t="shared" si="1"/>
        <v/>
      </c>
      <c r="G32" s="29" t="str">
        <f t="array" ref="G32">IF($A32="","",IFERROR(INDEX('2. Plot &amp; Core Log'!$M$6:$M$35,MATCH($A32,'2. Plot &amp; Core Log'!$B$6:$B$35,0)),""))</f>
        <v/>
      </c>
      <c r="H32" s="30" t="str">
        <f t="array" ref="H32">IF($A32="","",IFERROR(INDEX('2. Plot &amp; Core Log'!$J$6:$J$35,MATCH($A32,'2. Plot &amp; Core Log'!$B$6:$B$35,0)),""))</f>
        <v/>
      </c>
      <c r="I32" s="27" t="str">
        <f t="shared" si="2"/>
        <v/>
      </c>
      <c r="J32" s="27" t="str">
        <f t="shared" si="3"/>
        <v/>
      </c>
      <c r="K32" s="27" t="str">
        <f t="shared" si="4"/>
        <v/>
      </c>
      <c r="L32" s="32"/>
      <c r="M32" s="32"/>
      <c r="N32" s="34"/>
      <c r="O32" s="27" t="str">
        <f t="shared" si="10"/>
        <v/>
      </c>
      <c r="P32" s="28" t="str">
        <f t="shared" si="5"/>
        <v/>
      </c>
      <c r="Q32" s="27" t="str">
        <f t="shared" si="6"/>
        <v/>
      </c>
      <c r="R32" s="35" t="str">
        <f t="shared" si="7"/>
        <v/>
      </c>
      <c r="S32" s="31" t="str">
        <f t="shared" si="8"/>
        <v/>
      </c>
      <c r="T32" s="28" t="str">
        <f t="shared" si="9"/>
        <v/>
      </c>
    </row>
    <row r="33" ht="15.75" customHeight="1">
      <c r="A33" s="23"/>
      <c r="B33" s="23"/>
      <c r="C33" s="24"/>
      <c r="D33" s="24"/>
      <c r="E33" s="26"/>
      <c r="F33" s="27" t="str">
        <f t="shared" si="1"/>
        <v/>
      </c>
      <c r="G33" s="29" t="str">
        <f t="array" ref="G33">IF($A33="","",IFERROR(INDEX('2. Plot &amp; Core Log'!$M$6:$M$35,MATCH($A33,'2. Plot &amp; Core Log'!$B$6:$B$35,0)),""))</f>
        <v/>
      </c>
      <c r="H33" s="30" t="str">
        <f t="array" ref="H33">IF($A33="","",IFERROR(INDEX('2. Plot &amp; Core Log'!$J$6:$J$35,MATCH($A33,'2. Plot &amp; Core Log'!$B$6:$B$35,0)),""))</f>
        <v/>
      </c>
      <c r="I33" s="27" t="str">
        <f t="shared" si="2"/>
        <v/>
      </c>
      <c r="J33" s="27" t="str">
        <f t="shared" si="3"/>
        <v/>
      </c>
      <c r="K33" s="27" t="str">
        <f t="shared" si="4"/>
        <v/>
      </c>
      <c r="L33" s="32"/>
      <c r="M33" s="32"/>
      <c r="N33" s="34"/>
      <c r="O33" s="27" t="str">
        <f t="shared" si="10"/>
        <v/>
      </c>
      <c r="P33" s="28" t="str">
        <f t="shared" si="5"/>
        <v/>
      </c>
      <c r="Q33" s="27" t="str">
        <f t="shared" si="6"/>
        <v/>
      </c>
      <c r="R33" s="35" t="str">
        <f t="shared" si="7"/>
        <v/>
      </c>
      <c r="S33" s="31" t="str">
        <f t="shared" si="8"/>
        <v/>
      </c>
      <c r="T33" s="28" t="str">
        <f t="shared" si="9"/>
        <v/>
      </c>
    </row>
    <row r="34" ht="15.75" customHeight="1">
      <c r="A34" s="23"/>
      <c r="B34" s="23"/>
      <c r="C34" s="24"/>
      <c r="D34" s="24"/>
      <c r="E34" s="26"/>
      <c r="F34" s="27" t="str">
        <f t="shared" si="1"/>
        <v/>
      </c>
      <c r="G34" s="29" t="str">
        <f t="array" ref="G34">IF($A34="","",IFERROR(INDEX('2. Plot &amp; Core Log'!$M$6:$M$35,MATCH($A34,'2. Plot &amp; Core Log'!$B$6:$B$35,0)),""))</f>
        <v/>
      </c>
      <c r="H34" s="30" t="str">
        <f t="array" ref="H34">IF($A34="","",IFERROR(INDEX('2. Plot &amp; Core Log'!$J$6:$J$35,MATCH($A34,'2. Plot &amp; Core Log'!$B$6:$B$35,0)),""))</f>
        <v/>
      </c>
      <c r="I34" s="27" t="str">
        <f t="shared" si="2"/>
        <v/>
      </c>
      <c r="J34" s="27" t="str">
        <f t="shared" si="3"/>
        <v/>
      </c>
      <c r="K34" s="27" t="str">
        <f t="shared" si="4"/>
        <v/>
      </c>
      <c r="L34" s="32"/>
      <c r="M34" s="32"/>
      <c r="N34" s="34"/>
      <c r="O34" s="27" t="str">
        <f t="shared" si="10"/>
        <v/>
      </c>
      <c r="P34" s="28" t="str">
        <f t="shared" si="5"/>
        <v/>
      </c>
      <c r="Q34" s="27" t="str">
        <f t="shared" si="6"/>
        <v/>
      </c>
      <c r="R34" s="35" t="str">
        <f t="shared" si="7"/>
        <v/>
      </c>
      <c r="S34" s="31" t="str">
        <f t="shared" si="8"/>
        <v/>
      </c>
      <c r="T34" s="28" t="str">
        <f t="shared" si="9"/>
        <v/>
      </c>
    </row>
    <row r="35" ht="15.75" customHeight="1">
      <c r="A35" s="23"/>
      <c r="B35" s="23"/>
      <c r="C35" s="24"/>
      <c r="D35" s="24"/>
      <c r="E35" s="26"/>
      <c r="F35" s="27" t="str">
        <f t="shared" si="1"/>
        <v/>
      </c>
      <c r="G35" s="29" t="str">
        <f t="array" ref="G35">IF($A35="","",IFERROR(INDEX('2. Plot &amp; Core Log'!$M$6:$M$35,MATCH($A35,'2. Plot &amp; Core Log'!$B$6:$B$35,0)),""))</f>
        <v/>
      </c>
      <c r="H35" s="30" t="str">
        <f t="array" ref="H35">IF($A35="","",IFERROR(INDEX('2. Plot &amp; Core Log'!$J$6:$J$35,MATCH($A35,'2. Plot &amp; Core Log'!$B$6:$B$35,0)),""))</f>
        <v/>
      </c>
      <c r="I35" s="27" t="str">
        <f t="shared" si="2"/>
        <v/>
      </c>
      <c r="J35" s="27" t="str">
        <f t="shared" si="3"/>
        <v/>
      </c>
      <c r="K35" s="27" t="str">
        <f t="shared" si="4"/>
        <v/>
      </c>
      <c r="L35" s="32"/>
      <c r="M35" s="32"/>
      <c r="N35" s="34"/>
      <c r="O35" s="27" t="str">
        <f t="shared" si="10"/>
        <v/>
      </c>
      <c r="P35" s="28" t="str">
        <f t="shared" si="5"/>
        <v/>
      </c>
      <c r="Q35" s="27" t="str">
        <f t="shared" si="6"/>
        <v/>
      </c>
      <c r="R35" s="35" t="str">
        <f t="shared" si="7"/>
        <v/>
      </c>
      <c r="S35" s="31" t="str">
        <f t="shared" si="8"/>
        <v/>
      </c>
      <c r="T35" s="28" t="str">
        <f t="shared" si="9"/>
        <v/>
      </c>
    </row>
    <row r="36" ht="15.75" customHeight="1">
      <c r="A36" s="23"/>
      <c r="B36" s="23"/>
      <c r="C36" s="24"/>
      <c r="D36" s="24"/>
      <c r="E36" s="26"/>
      <c r="F36" s="27" t="str">
        <f t="shared" si="1"/>
        <v/>
      </c>
      <c r="G36" s="29" t="str">
        <f t="array" ref="G36">IF($A36="","",IFERROR(INDEX('2. Plot &amp; Core Log'!$M$6:$M$35,MATCH($A36,'2. Plot &amp; Core Log'!$B$6:$B$35,0)),""))</f>
        <v/>
      </c>
      <c r="H36" s="30" t="str">
        <f t="array" ref="H36">IF($A36="","",IFERROR(INDEX('2. Plot &amp; Core Log'!$J$6:$J$35,MATCH($A36,'2. Plot &amp; Core Log'!$B$6:$B$35,0)),""))</f>
        <v/>
      </c>
      <c r="I36" s="27" t="str">
        <f t="shared" si="2"/>
        <v/>
      </c>
      <c r="J36" s="27" t="str">
        <f t="shared" si="3"/>
        <v/>
      </c>
      <c r="K36" s="27" t="str">
        <f t="shared" si="4"/>
        <v/>
      </c>
      <c r="L36" s="32"/>
      <c r="M36" s="32"/>
      <c r="N36" s="34"/>
      <c r="O36" s="27" t="str">
        <f t="shared" si="10"/>
        <v/>
      </c>
      <c r="P36" s="28" t="str">
        <f t="shared" si="5"/>
        <v/>
      </c>
      <c r="Q36" s="27" t="str">
        <f t="shared" si="6"/>
        <v/>
      </c>
      <c r="R36" s="35" t="str">
        <f t="shared" si="7"/>
        <v/>
      </c>
      <c r="S36" s="31" t="str">
        <f t="shared" si="8"/>
        <v/>
      </c>
      <c r="T36" s="28" t="str">
        <f t="shared" si="9"/>
        <v/>
      </c>
    </row>
    <row r="37" ht="15.75" customHeight="1">
      <c r="A37" s="23"/>
      <c r="B37" s="23"/>
      <c r="C37" s="24"/>
      <c r="D37" s="24"/>
      <c r="E37" s="26"/>
      <c r="F37" s="27" t="str">
        <f t="shared" si="1"/>
        <v/>
      </c>
      <c r="G37" s="29" t="str">
        <f t="array" ref="G37">IF($A37="","",IFERROR(INDEX('2. Plot &amp; Core Log'!$M$6:$M$35,MATCH($A37,'2. Plot &amp; Core Log'!$B$6:$B$35,0)),""))</f>
        <v/>
      </c>
      <c r="H37" s="30" t="str">
        <f t="array" ref="H37">IF($A37="","",IFERROR(INDEX('2. Plot &amp; Core Log'!$J$6:$J$35,MATCH($A37,'2. Plot &amp; Core Log'!$B$6:$B$35,0)),""))</f>
        <v/>
      </c>
      <c r="I37" s="27" t="str">
        <f t="shared" si="2"/>
        <v/>
      </c>
      <c r="J37" s="27" t="str">
        <f t="shared" si="3"/>
        <v/>
      </c>
      <c r="K37" s="27" t="str">
        <f t="shared" si="4"/>
        <v/>
      </c>
      <c r="L37" s="32"/>
      <c r="M37" s="32"/>
      <c r="N37" s="34"/>
      <c r="O37" s="27" t="str">
        <f t="shared" si="10"/>
        <v/>
      </c>
      <c r="P37" s="28" t="str">
        <f t="shared" si="5"/>
        <v/>
      </c>
      <c r="Q37" s="27" t="str">
        <f t="shared" si="6"/>
        <v/>
      </c>
      <c r="R37" s="35" t="str">
        <f t="shared" si="7"/>
        <v/>
      </c>
      <c r="S37" s="31" t="str">
        <f t="shared" si="8"/>
        <v/>
      </c>
      <c r="T37" s="28" t="str">
        <f t="shared" si="9"/>
        <v/>
      </c>
    </row>
    <row r="38" ht="15.75" customHeight="1">
      <c r="A38" s="23"/>
      <c r="B38" s="23"/>
      <c r="C38" s="24"/>
      <c r="D38" s="24"/>
      <c r="E38" s="26"/>
      <c r="F38" s="27" t="str">
        <f t="shared" si="1"/>
        <v/>
      </c>
      <c r="G38" s="29" t="str">
        <f t="array" ref="G38">IF($A38="","",IFERROR(INDEX('2. Plot &amp; Core Log'!$M$6:$M$35,MATCH($A38,'2. Plot &amp; Core Log'!$B$6:$B$35,0)),""))</f>
        <v/>
      </c>
      <c r="H38" s="30" t="str">
        <f t="array" ref="H38">IF($A38="","",IFERROR(INDEX('2. Plot &amp; Core Log'!$J$6:$J$35,MATCH($A38,'2. Plot &amp; Core Log'!$B$6:$B$35,0)),""))</f>
        <v/>
      </c>
      <c r="I38" s="27" t="str">
        <f t="shared" si="2"/>
        <v/>
      </c>
      <c r="J38" s="27" t="str">
        <f t="shared" si="3"/>
        <v/>
      </c>
      <c r="K38" s="27" t="str">
        <f t="shared" si="4"/>
        <v/>
      </c>
      <c r="L38" s="32"/>
      <c r="M38" s="32"/>
      <c r="N38" s="34"/>
      <c r="O38" s="27" t="str">
        <f t="shared" si="10"/>
        <v/>
      </c>
      <c r="P38" s="28" t="str">
        <f t="shared" si="5"/>
        <v/>
      </c>
      <c r="Q38" s="27" t="str">
        <f t="shared" si="6"/>
        <v/>
      </c>
      <c r="R38" s="35" t="str">
        <f t="shared" si="7"/>
        <v/>
      </c>
      <c r="S38" s="31" t="str">
        <f t="shared" si="8"/>
        <v/>
      </c>
      <c r="T38" s="28" t="str">
        <f t="shared" si="9"/>
        <v/>
      </c>
    </row>
    <row r="39" ht="15.75" customHeight="1">
      <c r="A39" s="23"/>
      <c r="B39" s="23"/>
      <c r="C39" s="24"/>
      <c r="D39" s="24"/>
      <c r="E39" s="26"/>
      <c r="F39" s="27" t="str">
        <f t="shared" si="1"/>
        <v/>
      </c>
      <c r="G39" s="29" t="str">
        <f t="array" ref="G39">IF($A39="","",IFERROR(INDEX('2. Plot &amp; Core Log'!$M$6:$M$35,MATCH($A39,'2. Plot &amp; Core Log'!$B$6:$B$35,0)),""))</f>
        <v/>
      </c>
      <c r="H39" s="30" t="str">
        <f t="array" ref="H39">IF($A39="","",IFERROR(INDEX('2. Plot &amp; Core Log'!$J$6:$J$35,MATCH($A39,'2. Plot &amp; Core Log'!$B$6:$B$35,0)),""))</f>
        <v/>
      </c>
      <c r="I39" s="27" t="str">
        <f t="shared" si="2"/>
        <v/>
      </c>
      <c r="J39" s="27" t="str">
        <f t="shared" si="3"/>
        <v/>
      </c>
      <c r="K39" s="27" t="str">
        <f t="shared" si="4"/>
        <v/>
      </c>
      <c r="L39" s="32"/>
      <c r="M39" s="32"/>
      <c r="N39" s="34"/>
      <c r="O39" s="27" t="str">
        <f t="shared" si="10"/>
        <v/>
      </c>
      <c r="P39" s="28" t="str">
        <f t="shared" si="5"/>
        <v/>
      </c>
      <c r="Q39" s="27" t="str">
        <f t="shared" si="6"/>
        <v/>
      </c>
      <c r="R39" s="35" t="str">
        <f t="shared" si="7"/>
        <v/>
      </c>
      <c r="S39" s="31" t="str">
        <f t="shared" si="8"/>
        <v/>
      </c>
      <c r="T39" s="28" t="str">
        <f t="shared" si="9"/>
        <v/>
      </c>
    </row>
    <row r="40" ht="15.75" customHeight="1">
      <c r="A40" s="23"/>
      <c r="B40" s="23"/>
      <c r="C40" s="24"/>
      <c r="D40" s="24"/>
      <c r="E40" s="26"/>
      <c r="F40" s="27" t="str">
        <f t="shared" si="1"/>
        <v/>
      </c>
      <c r="G40" s="29" t="str">
        <f t="array" ref="G40">IF($A40="","",IFERROR(INDEX('2. Plot &amp; Core Log'!$M$6:$M$35,MATCH($A40,'2. Plot &amp; Core Log'!$B$6:$B$35,0)),""))</f>
        <v/>
      </c>
      <c r="H40" s="30" t="str">
        <f t="array" ref="H40">IF($A40="","",IFERROR(INDEX('2. Plot &amp; Core Log'!$J$6:$J$35,MATCH($A40,'2. Plot &amp; Core Log'!$B$6:$B$35,0)),""))</f>
        <v/>
      </c>
      <c r="I40" s="27" t="str">
        <f t="shared" si="2"/>
        <v/>
      </c>
      <c r="J40" s="27" t="str">
        <f t="shared" si="3"/>
        <v/>
      </c>
      <c r="K40" s="27" t="str">
        <f t="shared" si="4"/>
        <v/>
      </c>
      <c r="L40" s="32"/>
      <c r="M40" s="32"/>
      <c r="N40" s="34"/>
      <c r="O40" s="27" t="str">
        <f t="shared" si="10"/>
        <v/>
      </c>
      <c r="P40" s="28" t="str">
        <f t="shared" si="5"/>
        <v/>
      </c>
      <c r="Q40" s="27" t="str">
        <f t="shared" si="6"/>
        <v/>
      </c>
      <c r="R40" s="35" t="str">
        <f t="shared" si="7"/>
        <v/>
      </c>
      <c r="S40" s="31" t="str">
        <f t="shared" si="8"/>
        <v/>
      </c>
      <c r="T40" s="28" t="str">
        <f t="shared" si="9"/>
        <v/>
      </c>
    </row>
    <row r="41" ht="15.75" customHeight="1">
      <c r="A41" s="23"/>
      <c r="B41" s="23"/>
      <c r="C41" s="24"/>
      <c r="D41" s="24"/>
      <c r="E41" s="26"/>
      <c r="F41" s="27" t="str">
        <f t="shared" si="1"/>
        <v/>
      </c>
      <c r="G41" s="29" t="str">
        <f t="array" ref="G41">IF($A41="","",IFERROR(INDEX('2. Plot &amp; Core Log'!$M$6:$M$35,MATCH($A41,'2. Plot &amp; Core Log'!$B$6:$B$35,0)),""))</f>
        <v/>
      </c>
      <c r="H41" s="30" t="str">
        <f t="array" ref="H41">IF($A41="","",IFERROR(INDEX('2. Plot &amp; Core Log'!$J$6:$J$35,MATCH($A41,'2. Plot &amp; Core Log'!$B$6:$B$35,0)),""))</f>
        <v/>
      </c>
      <c r="I41" s="27" t="str">
        <f t="shared" si="2"/>
        <v/>
      </c>
      <c r="J41" s="27" t="str">
        <f t="shared" si="3"/>
        <v/>
      </c>
      <c r="K41" s="27" t="str">
        <f t="shared" si="4"/>
        <v/>
      </c>
      <c r="L41" s="32"/>
      <c r="M41" s="32"/>
      <c r="N41" s="34"/>
      <c r="O41" s="27" t="str">
        <f t="shared" si="10"/>
        <v/>
      </c>
      <c r="P41" s="28" t="str">
        <f t="shared" si="5"/>
        <v/>
      </c>
      <c r="Q41" s="27" t="str">
        <f t="shared" si="6"/>
        <v/>
      </c>
      <c r="R41" s="35" t="str">
        <f t="shared" si="7"/>
        <v/>
      </c>
      <c r="S41" s="31" t="str">
        <f t="shared" si="8"/>
        <v/>
      </c>
      <c r="T41" s="28" t="str">
        <f t="shared" si="9"/>
        <v/>
      </c>
    </row>
    <row r="42" ht="15.75" customHeight="1">
      <c r="A42" s="23"/>
      <c r="B42" s="23"/>
      <c r="C42" s="24"/>
      <c r="D42" s="24"/>
      <c r="E42" s="26"/>
      <c r="F42" s="27" t="str">
        <f t="shared" si="1"/>
        <v/>
      </c>
      <c r="G42" s="29" t="str">
        <f t="array" ref="G42">IF($A42="","",IFERROR(INDEX('2. Plot &amp; Core Log'!$M$6:$M$35,MATCH($A42,'2. Plot &amp; Core Log'!$B$6:$B$35,0)),""))</f>
        <v/>
      </c>
      <c r="H42" s="30" t="str">
        <f t="array" ref="H42">IF($A42="","",IFERROR(INDEX('2. Plot &amp; Core Log'!$J$6:$J$35,MATCH($A42,'2. Plot &amp; Core Log'!$B$6:$B$35,0)),""))</f>
        <v/>
      </c>
      <c r="I42" s="27" t="str">
        <f t="shared" si="2"/>
        <v/>
      </c>
      <c r="J42" s="27" t="str">
        <f t="shared" si="3"/>
        <v/>
      </c>
      <c r="K42" s="27" t="str">
        <f t="shared" si="4"/>
        <v/>
      </c>
      <c r="L42" s="32"/>
      <c r="M42" s="32"/>
      <c r="N42" s="34"/>
      <c r="O42" s="27" t="str">
        <f t="shared" si="10"/>
        <v/>
      </c>
      <c r="P42" s="28" t="str">
        <f t="shared" si="5"/>
        <v/>
      </c>
      <c r="Q42" s="27" t="str">
        <f t="shared" si="6"/>
        <v/>
      </c>
      <c r="R42" s="35" t="str">
        <f t="shared" si="7"/>
        <v/>
      </c>
      <c r="S42" s="31" t="str">
        <f t="shared" si="8"/>
        <v/>
      </c>
      <c r="T42" s="28" t="str">
        <f t="shared" si="9"/>
        <v/>
      </c>
    </row>
    <row r="43" ht="15.75" customHeight="1">
      <c r="A43" s="23"/>
      <c r="B43" s="23"/>
      <c r="C43" s="24"/>
      <c r="D43" s="24"/>
      <c r="E43" s="26"/>
      <c r="F43" s="27" t="str">
        <f t="shared" si="1"/>
        <v/>
      </c>
      <c r="G43" s="29" t="str">
        <f t="array" ref="G43">IF($A43="","",IFERROR(INDEX('2. Plot &amp; Core Log'!$M$6:$M$35,MATCH($A43,'2. Plot &amp; Core Log'!$B$6:$B$35,0)),""))</f>
        <v/>
      </c>
      <c r="H43" s="30" t="str">
        <f t="array" ref="H43">IF($A43="","",IFERROR(INDEX('2. Plot &amp; Core Log'!$J$6:$J$35,MATCH($A43,'2. Plot &amp; Core Log'!$B$6:$B$35,0)),""))</f>
        <v/>
      </c>
      <c r="I43" s="27" t="str">
        <f t="shared" si="2"/>
        <v/>
      </c>
      <c r="J43" s="27" t="str">
        <f t="shared" si="3"/>
        <v/>
      </c>
      <c r="K43" s="27" t="str">
        <f t="shared" si="4"/>
        <v/>
      </c>
      <c r="L43" s="32"/>
      <c r="M43" s="32"/>
      <c r="N43" s="34"/>
      <c r="O43" s="27" t="str">
        <f t="shared" si="10"/>
        <v/>
      </c>
      <c r="P43" s="28" t="str">
        <f t="shared" si="5"/>
        <v/>
      </c>
      <c r="Q43" s="27" t="str">
        <f t="shared" si="6"/>
        <v/>
      </c>
      <c r="R43" s="35" t="str">
        <f t="shared" si="7"/>
        <v/>
      </c>
      <c r="S43" s="31" t="str">
        <f t="shared" si="8"/>
        <v/>
      </c>
      <c r="T43" s="28" t="str">
        <f t="shared" si="9"/>
        <v/>
      </c>
    </row>
    <row r="44" ht="15.75" customHeight="1">
      <c r="A44" s="23"/>
      <c r="B44" s="23"/>
      <c r="C44" s="24"/>
      <c r="D44" s="24"/>
      <c r="E44" s="26"/>
      <c r="F44" s="27" t="str">
        <f t="shared" si="1"/>
        <v/>
      </c>
      <c r="G44" s="29" t="str">
        <f t="array" ref="G44">IF($A44="","",IFERROR(INDEX('2. Plot &amp; Core Log'!$M$6:$M$35,MATCH($A44,'2. Plot &amp; Core Log'!$B$6:$B$35,0)),""))</f>
        <v/>
      </c>
      <c r="H44" s="30" t="str">
        <f t="array" ref="H44">IF($A44="","",IFERROR(INDEX('2. Plot &amp; Core Log'!$J$6:$J$35,MATCH($A44,'2. Plot &amp; Core Log'!$B$6:$B$35,0)),""))</f>
        <v/>
      </c>
      <c r="I44" s="27" t="str">
        <f t="shared" si="2"/>
        <v/>
      </c>
      <c r="J44" s="27" t="str">
        <f t="shared" si="3"/>
        <v/>
      </c>
      <c r="K44" s="27" t="str">
        <f t="shared" si="4"/>
        <v/>
      </c>
      <c r="L44" s="32"/>
      <c r="M44" s="32"/>
      <c r="N44" s="34"/>
      <c r="O44" s="27" t="str">
        <f t="shared" si="10"/>
        <v/>
      </c>
      <c r="P44" s="28" t="str">
        <f t="shared" si="5"/>
        <v/>
      </c>
      <c r="Q44" s="27" t="str">
        <f t="shared" si="6"/>
        <v/>
      </c>
      <c r="R44" s="35" t="str">
        <f t="shared" si="7"/>
        <v/>
      </c>
      <c r="S44" s="31" t="str">
        <f t="shared" si="8"/>
        <v/>
      </c>
      <c r="T44" s="28" t="str">
        <f t="shared" si="9"/>
        <v/>
      </c>
    </row>
    <row r="45" ht="15.75" customHeight="1">
      <c r="A45" s="23"/>
      <c r="B45" s="23"/>
      <c r="C45" s="24"/>
      <c r="D45" s="24"/>
      <c r="E45" s="26"/>
      <c r="F45" s="27" t="str">
        <f t="shared" si="1"/>
        <v/>
      </c>
      <c r="G45" s="29" t="str">
        <f t="array" ref="G45">IF($A45="","",IFERROR(INDEX('2. Plot &amp; Core Log'!$M$6:$M$35,MATCH($A45,'2. Plot &amp; Core Log'!$B$6:$B$35,0)),""))</f>
        <v/>
      </c>
      <c r="H45" s="30" t="str">
        <f t="array" ref="H45">IF($A45="","",IFERROR(INDEX('2. Plot &amp; Core Log'!$J$6:$J$35,MATCH($A45,'2. Plot &amp; Core Log'!$B$6:$B$35,0)),""))</f>
        <v/>
      </c>
      <c r="I45" s="27" t="str">
        <f t="shared" si="2"/>
        <v/>
      </c>
      <c r="J45" s="27" t="str">
        <f t="shared" si="3"/>
        <v/>
      </c>
      <c r="K45" s="27" t="str">
        <f t="shared" si="4"/>
        <v/>
      </c>
      <c r="L45" s="32"/>
      <c r="M45" s="32"/>
      <c r="N45" s="34"/>
      <c r="O45" s="27" t="str">
        <f t="shared" si="10"/>
        <v/>
      </c>
      <c r="P45" s="28" t="str">
        <f t="shared" si="5"/>
        <v/>
      </c>
      <c r="Q45" s="27" t="str">
        <f t="shared" si="6"/>
        <v/>
      </c>
      <c r="R45" s="35" t="str">
        <f t="shared" si="7"/>
        <v/>
      </c>
      <c r="S45" s="31" t="str">
        <f t="shared" si="8"/>
        <v/>
      </c>
      <c r="T45" s="28" t="str">
        <f t="shared" si="9"/>
        <v/>
      </c>
    </row>
    <row r="46" ht="15.75" customHeight="1">
      <c r="A46" s="23"/>
      <c r="B46" s="23"/>
      <c r="C46" s="24"/>
      <c r="D46" s="24"/>
      <c r="E46" s="26"/>
      <c r="F46" s="27" t="str">
        <f t="shared" si="1"/>
        <v/>
      </c>
      <c r="G46" s="29" t="str">
        <f t="array" ref="G46">IF($A46="","",IFERROR(INDEX('2. Plot &amp; Core Log'!$M$6:$M$35,MATCH($A46,'2. Plot &amp; Core Log'!$B$6:$B$35,0)),""))</f>
        <v/>
      </c>
      <c r="H46" s="30" t="str">
        <f t="array" ref="H46">IF($A46="","",IFERROR(INDEX('2. Plot &amp; Core Log'!$J$6:$J$35,MATCH($A46,'2. Plot &amp; Core Log'!$B$6:$B$35,0)),""))</f>
        <v/>
      </c>
      <c r="I46" s="27" t="str">
        <f t="shared" si="2"/>
        <v/>
      </c>
      <c r="J46" s="27" t="str">
        <f t="shared" si="3"/>
        <v/>
      </c>
      <c r="K46" s="27" t="str">
        <f t="shared" si="4"/>
        <v/>
      </c>
      <c r="L46" s="32"/>
      <c r="M46" s="32"/>
      <c r="N46" s="34"/>
      <c r="O46" s="27" t="str">
        <f t="shared" si="10"/>
        <v/>
      </c>
      <c r="P46" s="28" t="str">
        <f t="shared" si="5"/>
        <v/>
      </c>
      <c r="Q46" s="27" t="str">
        <f t="shared" si="6"/>
        <v/>
      </c>
      <c r="R46" s="35" t="str">
        <f t="shared" si="7"/>
        <v/>
      </c>
      <c r="S46" s="31" t="str">
        <f t="shared" si="8"/>
        <v/>
      </c>
      <c r="T46" s="28" t="str">
        <f t="shared" si="9"/>
        <v/>
      </c>
    </row>
    <row r="47" ht="15.75" customHeight="1">
      <c r="A47" s="23"/>
      <c r="B47" s="23"/>
      <c r="C47" s="24"/>
      <c r="D47" s="24"/>
      <c r="E47" s="26"/>
      <c r="F47" s="27" t="str">
        <f t="shared" si="1"/>
        <v/>
      </c>
      <c r="G47" s="29" t="str">
        <f t="array" ref="G47">IF($A47="","",IFERROR(INDEX('2. Plot &amp; Core Log'!$M$6:$M$35,MATCH($A47,'2. Plot &amp; Core Log'!$B$6:$B$35,0)),""))</f>
        <v/>
      </c>
      <c r="H47" s="30" t="str">
        <f t="array" ref="H47">IF($A47="","",IFERROR(INDEX('2. Plot &amp; Core Log'!$J$6:$J$35,MATCH($A47,'2. Plot &amp; Core Log'!$B$6:$B$35,0)),""))</f>
        <v/>
      </c>
      <c r="I47" s="27" t="str">
        <f t="shared" si="2"/>
        <v/>
      </c>
      <c r="J47" s="27" t="str">
        <f t="shared" si="3"/>
        <v/>
      </c>
      <c r="K47" s="27" t="str">
        <f t="shared" si="4"/>
        <v/>
      </c>
      <c r="L47" s="32"/>
      <c r="M47" s="32"/>
      <c r="N47" s="34"/>
      <c r="O47" s="27" t="str">
        <f t="shared" si="10"/>
        <v/>
      </c>
      <c r="P47" s="28" t="str">
        <f t="shared" si="5"/>
        <v/>
      </c>
      <c r="Q47" s="27" t="str">
        <f t="shared" si="6"/>
        <v/>
      </c>
      <c r="R47" s="35" t="str">
        <f t="shared" si="7"/>
        <v/>
      </c>
      <c r="S47" s="31" t="str">
        <f t="shared" si="8"/>
        <v/>
      </c>
      <c r="T47" s="28" t="str">
        <f t="shared" si="9"/>
        <v/>
      </c>
    </row>
    <row r="48" ht="15.75" customHeight="1">
      <c r="A48" s="23"/>
      <c r="B48" s="23"/>
      <c r="C48" s="24"/>
      <c r="D48" s="24"/>
      <c r="E48" s="26"/>
      <c r="F48" s="27" t="str">
        <f t="shared" si="1"/>
        <v/>
      </c>
      <c r="G48" s="29" t="str">
        <f t="array" ref="G48">IF($A48="","",IFERROR(INDEX('2. Plot &amp; Core Log'!$M$6:$M$35,MATCH($A48,'2. Plot &amp; Core Log'!$B$6:$B$35,0)),""))</f>
        <v/>
      </c>
      <c r="H48" s="30" t="str">
        <f t="array" ref="H48">IF($A48="","",IFERROR(INDEX('2. Plot &amp; Core Log'!$J$6:$J$35,MATCH($A48,'2. Plot &amp; Core Log'!$B$6:$B$35,0)),""))</f>
        <v/>
      </c>
      <c r="I48" s="27" t="str">
        <f t="shared" si="2"/>
        <v/>
      </c>
      <c r="J48" s="27" t="str">
        <f t="shared" si="3"/>
        <v/>
      </c>
      <c r="K48" s="27" t="str">
        <f t="shared" si="4"/>
        <v/>
      </c>
      <c r="L48" s="32"/>
      <c r="M48" s="32"/>
      <c r="N48" s="34"/>
      <c r="O48" s="27" t="str">
        <f t="shared" si="10"/>
        <v/>
      </c>
      <c r="P48" s="28" t="str">
        <f t="shared" si="5"/>
        <v/>
      </c>
      <c r="Q48" s="27" t="str">
        <f t="shared" si="6"/>
        <v/>
      </c>
      <c r="R48" s="35" t="str">
        <f t="shared" si="7"/>
        <v/>
      </c>
      <c r="S48" s="31" t="str">
        <f t="shared" si="8"/>
        <v/>
      </c>
      <c r="T48" s="28" t="str">
        <f t="shared" si="9"/>
        <v/>
      </c>
    </row>
    <row r="49" ht="15.75" customHeight="1">
      <c r="A49" s="23"/>
      <c r="B49" s="23"/>
      <c r="C49" s="24"/>
      <c r="D49" s="24"/>
      <c r="E49" s="26"/>
      <c r="F49" s="27" t="str">
        <f t="shared" si="1"/>
        <v/>
      </c>
      <c r="G49" s="29" t="str">
        <f t="array" ref="G49">IF($A49="","",IFERROR(INDEX('2. Plot &amp; Core Log'!$M$6:$M$35,MATCH($A49,'2. Plot &amp; Core Log'!$B$6:$B$35,0)),""))</f>
        <v/>
      </c>
      <c r="H49" s="30" t="str">
        <f t="array" ref="H49">IF($A49="","",IFERROR(INDEX('2. Plot &amp; Core Log'!$J$6:$J$35,MATCH($A49,'2. Plot &amp; Core Log'!$B$6:$B$35,0)),""))</f>
        <v/>
      </c>
      <c r="I49" s="27" t="str">
        <f t="shared" si="2"/>
        <v/>
      </c>
      <c r="J49" s="27" t="str">
        <f t="shared" si="3"/>
        <v/>
      </c>
      <c r="K49" s="27" t="str">
        <f t="shared" si="4"/>
        <v/>
      </c>
      <c r="L49" s="32"/>
      <c r="M49" s="32"/>
      <c r="N49" s="34"/>
      <c r="O49" s="27" t="str">
        <f t="shared" si="10"/>
        <v/>
      </c>
      <c r="P49" s="28" t="str">
        <f t="shared" si="5"/>
        <v/>
      </c>
      <c r="Q49" s="27" t="str">
        <f t="shared" si="6"/>
        <v/>
      </c>
      <c r="R49" s="35" t="str">
        <f t="shared" si="7"/>
        <v/>
      </c>
      <c r="S49" s="31" t="str">
        <f t="shared" si="8"/>
        <v/>
      </c>
      <c r="T49" s="28" t="str">
        <f t="shared" si="9"/>
        <v/>
      </c>
    </row>
    <row r="50" ht="15.75" customHeight="1">
      <c r="A50" s="23"/>
      <c r="B50" s="23"/>
      <c r="C50" s="24"/>
      <c r="D50" s="24"/>
      <c r="E50" s="26"/>
      <c r="F50" s="27" t="str">
        <f t="shared" si="1"/>
        <v/>
      </c>
      <c r="G50" s="29" t="str">
        <f t="array" ref="G50">IF($A50="","",IFERROR(INDEX('2. Plot &amp; Core Log'!$M$6:$M$35,MATCH($A50,'2. Plot &amp; Core Log'!$B$6:$B$35,0)),""))</f>
        <v/>
      </c>
      <c r="H50" s="30" t="str">
        <f t="array" ref="H50">IF($A50="","",IFERROR(INDEX('2. Plot &amp; Core Log'!$J$6:$J$35,MATCH($A50,'2. Plot &amp; Core Log'!$B$6:$B$35,0)),""))</f>
        <v/>
      </c>
      <c r="I50" s="27" t="str">
        <f t="shared" si="2"/>
        <v/>
      </c>
      <c r="J50" s="27" t="str">
        <f t="shared" si="3"/>
        <v/>
      </c>
      <c r="K50" s="27" t="str">
        <f t="shared" si="4"/>
        <v/>
      </c>
      <c r="L50" s="32"/>
      <c r="M50" s="32"/>
      <c r="N50" s="34"/>
      <c r="O50" s="27" t="str">
        <f t="shared" si="10"/>
        <v/>
      </c>
      <c r="P50" s="28" t="str">
        <f t="shared" si="5"/>
        <v/>
      </c>
      <c r="Q50" s="27" t="str">
        <f t="shared" si="6"/>
        <v/>
      </c>
      <c r="R50" s="35" t="str">
        <f t="shared" si="7"/>
        <v/>
      </c>
      <c r="S50" s="31" t="str">
        <f t="shared" si="8"/>
        <v/>
      </c>
      <c r="T50" s="28" t="str">
        <f t="shared" si="9"/>
        <v/>
      </c>
    </row>
    <row r="51" ht="15.75" customHeight="1">
      <c r="A51" s="23"/>
      <c r="B51" s="23"/>
      <c r="C51" s="24"/>
      <c r="D51" s="24"/>
      <c r="E51" s="26"/>
      <c r="F51" s="27" t="str">
        <f t="shared" si="1"/>
        <v/>
      </c>
      <c r="G51" s="29" t="str">
        <f t="array" ref="G51">IF($A51="","",IFERROR(INDEX('2. Plot &amp; Core Log'!$M$6:$M$35,MATCH($A51,'2. Plot &amp; Core Log'!$B$6:$B$35,0)),""))</f>
        <v/>
      </c>
      <c r="H51" s="30" t="str">
        <f t="array" ref="H51">IF($A51="","",IFERROR(INDEX('2. Plot &amp; Core Log'!$J$6:$J$35,MATCH($A51,'2. Plot &amp; Core Log'!$B$6:$B$35,0)),""))</f>
        <v/>
      </c>
      <c r="I51" s="27" t="str">
        <f t="shared" si="2"/>
        <v/>
      </c>
      <c r="J51" s="27" t="str">
        <f t="shared" si="3"/>
        <v/>
      </c>
      <c r="K51" s="27" t="str">
        <f t="shared" si="4"/>
        <v/>
      </c>
      <c r="L51" s="32"/>
      <c r="M51" s="32"/>
      <c r="N51" s="34"/>
      <c r="O51" s="27" t="str">
        <f t="shared" si="10"/>
        <v/>
      </c>
      <c r="P51" s="28" t="str">
        <f t="shared" si="5"/>
        <v/>
      </c>
      <c r="Q51" s="27" t="str">
        <f t="shared" si="6"/>
        <v/>
      </c>
      <c r="R51" s="35" t="str">
        <f t="shared" si="7"/>
        <v/>
      </c>
      <c r="S51" s="31" t="str">
        <f t="shared" si="8"/>
        <v/>
      </c>
      <c r="T51" s="28" t="str">
        <f t="shared" si="9"/>
        <v/>
      </c>
    </row>
    <row r="52" ht="15.75" customHeight="1">
      <c r="A52" s="23"/>
      <c r="B52" s="23"/>
      <c r="C52" s="24"/>
      <c r="D52" s="24"/>
      <c r="E52" s="26"/>
      <c r="F52" s="27" t="str">
        <f t="shared" si="1"/>
        <v/>
      </c>
      <c r="G52" s="29" t="str">
        <f t="array" ref="G52">IF($A52="","",IFERROR(INDEX('2. Plot &amp; Core Log'!$M$6:$M$35,MATCH($A52,'2. Plot &amp; Core Log'!$B$6:$B$35,0)),""))</f>
        <v/>
      </c>
      <c r="H52" s="30" t="str">
        <f t="array" ref="H52">IF($A52="","",IFERROR(INDEX('2. Plot &amp; Core Log'!$J$6:$J$35,MATCH($A52,'2. Plot &amp; Core Log'!$B$6:$B$35,0)),""))</f>
        <v/>
      </c>
      <c r="I52" s="27" t="str">
        <f t="shared" si="2"/>
        <v/>
      </c>
      <c r="J52" s="27" t="str">
        <f t="shared" si="3"/>
        <v/>
      </c>
      <c r="K52" s="27" t="str">
        <f t="shared" si="4"/>
        <v/>
      </c>
      <c r="L52" s="32"/>
      <c r="M52" s="32"/>
      <c r="N52" s="34"/>
      <c r="O52" s="27" t="str">
        <f t="shared" si="10"/>
        <v/>
      </c>
      <c r="P52" s="28" t="str">
        <f t="shared" si="5"/>
        <v/>
      </c>
      <c r="Q52" s="27" t="str">
        <f t="shared" si="6"/>
        <v/>
      </c>
      <c r="R52" s="35" t="str">
        <f t="shared" si="7"/>
        <v/>
      </c>
      <c r="S52" s="31" t="str">
        <f t="shared" si="8"/>
        <v/>
      </c>
      <c r="T52" s="28" t="str">
        <f t="shared" si="9"/>
        <v/>
      </c>
    </row>
    <row r="53" ht="15.75" customHeight="1">
      <c r="A53" s="23"/>
      <c r="B53" s="23"/>
      <c r="C53" s="24"/>
      <c r="D53" s="24"/>
      <c r="E53" s="26"/>
      <c r="F53" s="27" t="str">
        <f t="shared" si="1"/>
        <v/>
      </c>
      <c r="G53" s="29" t="str">
        <f t="array" ref="G53">IF($A53="","",IFERROR(INDEX('2. Plot &amp; Core Log'!$M$6:$M$35,MATCH($A53,'2. Plot &amp; Core Log'!$B$6:$B$35,0)),""))</f>
        <v/>
      </c>
      <c r="H53" s="30" t="str">
        <f t="array" ref="H53">IF($A53="","",IFERROR(INDEX('2. Plot &amp; Core Log'!$J$6:$J$35,MATCH($A53,'2. Plot &amp; Core Log'!$B$6:$B$35,0)),""))</f>
        <v/>
      </c>
      <c r="I53" s="27" t="str">
        <f t="shared" si="2"/>
        <v/>
      </c>
      <c r="J53" s="27" t="str">
        <f t="shared" si="3"/>
        <v/>
      </c>
      <c r="K53" s="27" t="str">
        <f t="shared" si="4"/>
        <v/>
      </c>
      <c r="L53" s="32"/>
      <c r="M53" s="32"/>
      <c r="N53" s="34"/>
      <c r="O53" s="27" t="str">
        <f t="shared" si="10"/>
        <v/>
      </c>
      <c r="P53" s="28" t="str">
        <f t="shared" si="5"/>
        <v/>
      </c>
      <c r="Q53" s="27" t="str">
        <f t="shared" si="6"/>
        <v/>
      </c>
      <c r="R53" s="35" t="str">
        <f t="shared" si="7"/>
        <v/>
      </c>
      <c r="S53" s="31" t="str">
        <f t="shared" si="8"/>
        <v/>
      </c>
      <c r="T53" s="28" t="str">
        <f t="shared" si="9"/>
        <v/>
      </c>
    </row>
    <row r="54" ht="15.75" customHeight="1">
      <c r="A54" s="23"/>
      <c r="B54" s="23"/>
      <c r="C54" s="24"/>
      <c r="D54" s="24"/>
      <c r="E54" s="26"/>
      <c r="F54" s="27" t="str">
        <f t="shared" si="1"/>
        <v/>
      </c>
      <c r="G54" s="29" t="str">
        <f t="array" ref="G54">IF($A54="","",IFERROR(INDEX('2. Plot &amp; Core Log'!$M$6:$M$35,MATCH($A54,'2. Plot &amp; Core Log'!$B$6:$B$35,0)),""))</f>
        <v/>
      </c>
      <c r="H54" s="30" t="str">
        <f t="array" ref="H54">IF($A54="","",IFERROR(INDEX('2. Plot &amp; Core Log'!$J$6:$J$35,MATCH($A54,'2. Plot &amp; Core Log'!$B$6:$B$35,0)),""))</f>
        <v/>
      </c>
      <c r="I54" s="27" t="str">
        <f t="shared" si="2"/>
        <v/>
      </c>
      <c r="J54" s="27" t="str">
        <f t="shared" si="3"/>
        <v/>
      </c>
      <c r="K54" s="27" t="str">
        <f t="shared" si="4"/>
        <v/>
      </c>
      <c r="L54" s="32"/>
      <c r="M54" s="32"/>
      <c r="N54" s="34"/>
      <c r="O54" s="27" t="str">
        <f t="shared" si="10"/>
        <v/>
      </c>
      <c r="P54" s="28" t="str">
        <f t="shared" si="5"/>
        <v/>
      </c>
      <c r="Q54" s="27" t="str">
        <f t="shared" si="6"/>
        <v/>
      </c>
      <c r="R54" s="35" t="str">
        <f t="shared" si="7"/>
        <v/>
      </c>
      <c r="S54" s="31" t="str">
        <f t="shared" si="8"/>
        <v/>
      </c>
      <c r="T54" s="28" t="str">
        <f t="shared" si="9"/>
        <v/>
      </c>
    </row>
    <row r="55" ht="15.75" customHeight="1">
      <c r="A55" s="23"/>
      <c r="B55" s="23"/>
      <c r="C55" s="24"/>
      <c r="D55" s="24"/>
      <c r="E55" s="26"/>
      <c r="F55" s="27" t="str">
        <f t="shared" si="1"/>
        <v/>
      </c>
      <c r="G55" s="29" t="str">
        <f t="array" ref="G55">IF($A55="","",IFERROR(INDEX('2. Plot &amp; Core Log'!$M$6:$M$35,MATCH($A55,'2. Plot &amp; Core Log'!$B$6:$B$35,0)),""))</f>
        <v/>
      </c>
      <c r="H55" s="30" t="str">
        <f t="array" ref="H55">IF($A55="","",IFERROR(INDEX('2. Plot &amp; Core Log'!$J$6:$J$35,MATCH($A55,'2. Plot &amp; Core Log'!$B$6:$B$35,0)),""))</f>
        <v/>
      </c>
      <c r="I55" s="27" t="str">
        <f t="shared" si="2"/>
        <v/>
      </c>
      <c r="J55" s="27" t="str">
        <f t="shared" si="3"/>
        <v/>
      </c>
      <c r="K55" s="27" t="str">
        <f t="shared" si="4"/>
        <v/>
      </c>
      <c r="L55" s="32"/>
      <c r="M55" s="32"/>
      <c r="N55" s="34"/>
      <c r="O55" s="27" t="str">
        <f t="shared" si="10"/>
        <v/>
      </c>
      <c r="P55" s="28" t="str">
        <f t="shared" si="5"/>
        <v/>
      </c>
      <c r="Q55" s="27" t="str">
        <f t="shared" si="6"/>
        <v/>
      </c>
      <c r="R55" s="35" t="str">
        <f t="shared" si="7"/>
        <v/>
      </c>
      <c r="S55" s="31" t="str">
        <f t="shared" si="8"/>
        <v/>
      </c>
      <c r="T55" s="28" t="str">
        <f t="shared" si="9"/>
        <v/>
      </c>
    </row>
    <row r="56" ht="15.75" customHeight="1">
      <c r="A56" s="23"/>
      <c r="B56" s="23"/>
      <c r="C56" s="24"/>
      <c r="D56" s="24"/>
      <c r="E56" s="26"/>
      <c r="F56" s="27" t="str">
        <f t="shared" si="1"/>
        <v/>
      </c>
      <c r="G56" s="29" t="str">
        <f t="array" ref="G56">IF($A56="","",IFERROR(INDEX('2. Plot &amp; Core Log'!$M$6:$M$35,MATCH($A56,'2. Plot &amp; Core Log'!$B$6:$B$35,0)),""))</f>
        <v/>
      </c>
      <c r="H56" s="30" t="str">
        <f t="array" ref="H56">IF($A56="","",IFERROR(INDEX('2. Plot &amp; Core Log'!$J$6:$J$35,MATCH($A56,'2. Plot &amp; Core Log'!$B$6:$B$35,0)),""))</f>
        <v/>
      </c>
      <c r="I56" s="27" t="str">
        <f t="shared" si="2"/>
        <v/>
      </c>
      <c r="J56" s="27" t="str">
        <f t="shared" si="3"/>
        <v/>
      </c>
      <c r="K56" s="27" t="str">
        <f t="shared" si="4"/>
        <v/>
      </c>
      <c r="L56" s="32"/>
      <c r="M56" s="32"/>
      <c r="N56" s="34"/>
      <c r="O56" s="27" t="str">
        <f t="shared" si="10"/>
        <v/>
      </c>
      <c r="P56" s="28" t="str">
        <f t="shared" si="5"/>
        <v/>
      </c>
      <c r="Q56" s="27" t="str">
        <f t="shared" si="6"/>
        <v/>
      </c>
      <c r="R56" s="35" t="str">
        <f t="shared" si="7"/>
        <v/>
      </c>
      <c r="S56" s="31" t="str">
        <f t="shared" si="8"/>
        <v/>
      </c>
      <c r="T56" s="28" t="str">
        <f t="shared" si="9"/>
        <v/>
      </c>
    </row>
    <row r="57" ht="15.75" customHeight="1">
      <c r="A57" s="23"/>
      <c r="B57" s="23"/>
      <c r="C57" s="24"/>
      <c r="D57" s="24"/>
      <c r="E57" s="26"/>
      <c r="F57" s="27" t="str">
        <f t="shared" si="1"/>
        <v/>
      </c>
      <c r="G57" s="29" t="str">
        <f t="array" ref="G57">IF($A57="","",IFERROR(INDEX('2. Plot &amp; Core Log'!$M$6:$M$35,MATCH($A57,'2. Plot &amp; Core Log'!$B$6:$B$35,0)),""))</f>
        <v/>
      </c>
      <c r="H57" s="30" t="str">
        <f t="array" ref="H57">IF($A57="","",IFERROR(INDEX('2. Plot &amp; Core Log'!$J$6:$J$35,MATCH($A57,'2. Plot &amp; Core Log'!$B$6:$B$35,0)),""))</f>
        <v/>
      </c>
      <c r="I57" s="27" t="str">
        <f t="shared" si="2"/>
        <v/>
      </c>
      <c r="J57" s="27" t="str">
        <f t="shared" si="3"/>
        <v/>
      </c>
      <c r="K57" s="27" t="str">
        <f t="shared" si="4"/>
        <v/>
      </c>
      <c r="L57" s="32"/>
      <c r="M57" s="32"/>
      <c r="N57" s="34"/>
      <c r="O57" s="27" t="str">
        <f t="shared" si="10"/>
        <v/>
      </c>
      <c r="P57" s="28" t="str">
        <f t="shared" si="5"/>
        <v/>
      </c>
      <c r="Q57" s="27" t="str">
        <f t="shared" si="6"/>
        <v/>
      </c>
      <c r="R57" s="35" t="str">
        <f t="shared" si="7"/>
        <v/>
      </c>
      <c r="S57" s="31" t="str">
        <f t="shared" si="8"/>
        <v/>
      </c>
      <c r="T57" s="28" t="str">
        <f t="shared" si="9"/>
        <v/>
      </c>
    </row>
    <row r="58" ht="15.75" customHeight="1">
      <c r="A58" s="23"/>
      <c r="B58" s="23"/>
      <c r="C58" s="24"/>
      <c r="D58" s="24"/>
      <c r="E58" s="26"/>
      <c r="F58" s="27" t="str">
        <f t="shared" si="1"/>
        <v/>
      </c>
      <c r="G58" s="29" t="str">
        <f t="array" ref="G58">IF($A58="","",IFERROR(INDEX('2. Plot &amp; Core Log'!$M$6:$M$35,MATCH($A58,'2. Plot &amp; Core Log'!$B$6:$B$35,0)),""))</f>
        <v/>
      </c>
      <c r="H58" s="30" t="str">
        <f t="array" ref="H58">IF($A58="","",IFERROR(INDEX('2. Plot &amp; Core Log'!$J$6:$J$35,MATCH($A58,'2. Plot &amp; Core Log'!$B$6:$B$35,0)),""))</f>
        <v/>
      </c>
      <c r="I58" s="27" t="str">
        <f t="shared" si="2"/>
        <v/>
      </c>
      <c r="J58" s="27" t="str">
        <f t="shared" si="3"/>
        <v/>
      </c>
      <c r="K58" s="27" t="str">
        <f t="shared" si="4"/>
        <v/>
      </c>
      <c r="L58" s="32"/>
      <c r="M58" s="32"/>
      <c r="N58" s="34"/>
      <c r="O58" s="27" t="str">
        <f t="shared" si="10"/>
        <v/>
      </c>
      <c r="P58" s="28" t="str">
        <f t="shared" si="5"/>
        <v/>
      </c>
      <c r="Q58" s="27" t="str">
        <f t="shared" si="6"/>
        <v/>
      </c>
      <c r="R58" s="35" t="str">
        <f t="shared" si="7"/>
        <v/>
      </c>
      <c r="S58" s="31" t="str">
        <f t="shared" si="8"/>
        <v/>
      </c>
      <c r="T58" s="28" t="str">
        <f t="shared" si="9"/>
        <v/>
      </c>
    </row>
    <row r="59" ht="15.75" customHeight="1">
      <c r="A59" s="23"/>
      <c r="B59" s="23"/>
      <c r="C59" s="24"/>
      <c r="D59" s="24"/>
      <c r="E59" s="26"/>
      <c r="F59" s="27" t="str">
        <f t="shared" si="1"/>
        <v/>
      </c>
      <c r="G59" s="29" t="str">
        <f t="array" ref="G59">IF($A59="","",IFERROR(INDEX('2. Plot &amp; Core Log'!$M$6:$M$35,MATCH($A59,'2. Plot &amp; Core Log'!$B$6:$B$35,0)),""))</f>
        <v/>
      </c>
      <c r="H59" s="30" t="str">
        <f t="array" ref="H59">IF($A59="","",IFERROR(INDEX('2. Plot &amp; Core Log'!$J$6:$J$35,MATCH($A59,'2. Plot &amp; Core Log'!$B$6:$B$35,0)),""))</f>
        <v/>
      </c>
      <c r="I59" s="27" t="str">
        <f t="shared" si="2"/>
        <v/>
      </c>
      <c r="J59" s="27" t="str">
        <f t="shared" si="3"/>
        <v/>
      </c>
      <c r="K59" s="27" t="str">
        <f t="shared" si="4"/>
        <v/>
      </c>
      <c r="L59" s="32"/>
      <c r="M59" s="32"/>
      <c r="N59" s="34"/>
      <c r="O59" s="27" t="str">
        <f t="shared" si="10"/>
        <v/>
      </c>
      <c r="P59" s="28" t="str">
        <f t="shared" si="5"/>
        <v/>
      </c>
      <c r="Q59" s="27" t="str">
        <f t="shared" si="6"/>
        <v/>
      </c>
      <c r="R59" s="35" t="str">
        <f t="shared" si="7"/>
        <v/>
      </c>
      <c r="S59" s="31" t="str">
        <f t="shared" si="8"/>
        <v/>
      </c>
      <c r="T59" s="28" t="str">
        <f t="shared" si="9"/>
        <v/>
      </c>
    </row>
    <row r="60" ht="15.75" customHeight="1">
      <c r="A60" s="23"/>
      <c r="B60" s="23"/>
      <c r="C60" s="24"/>
      <c r="D60" s="24"/>
      <c r="E60" s="26"/>
      <c r="F60" s="27" t="str">
        <f t="shared" si="1"/>
        <v/>
      </c>
      <c r="G60" s="29" t="str">
        <f t="array" ref="G60">IF($A60="","",IFERROR(INDEX('2. Plot &amp; Core Log'!$M$6:$M$35,MATCH($A60,'2. Plot &amp; Core Log'!$B$6:$B$35,0)),""))</f>
        <v/>
      </c>
      <c r="H60" s="30" t="str">
        <f t="array" ref="H60">IF($A60="","",IFERROR(INDEX('2. Plot &amp; Core Log'!$J$6:$J$35,MATCH($A60,'2. Plot &amp; Core Log'!$B$6:$B$35,0)),""))</f>
        <v/>
      </c>
      <c r="I60" s="27" t="str">
        <f t="shared" si="2"/>
        <v/>
      </c>
      <c r="J60" s="27" t="str">
        <f t="shared" si="3"/>
        <v/>
      </c>
      <c r="K60" s="27" t="str">
        <f t="shared" si="4"/>
        <v/>
      </c>
      <c r="L60" s="32"/>
      <c r="M60" s="32"/>
      <c r="N60" s="34"/>
      <c r="O60" s="27" t="str">
        <f t="shared" si="10"/>
        <v/>
      </c>
      <c r="P60" s="28" t="str">
        <f t="shared" si="5"/>
        <v/>
      </c>
      <c r="Q60" s="27" t="str">
        <f t="shared" si="6"/>
        <v/>
      </c>
      <c r="R60" s="35" t="str">
        <f t="shared" si="7"/>
        <v/>
      </c>
      <c r="S60" s="31" t="str">
        <f t="shared" si="8"/>
        <v/>
      </c>
      <c r="T60" s="28" t="str">
        <f t="shared" si="9"/>
        <v/>
      </c>
    </row>
    <row r="61" ht="15.75" customHeight="1">
      <c r="A61" s="23"/>
      <c r="B61" s="23"/>
      <c r="C61" s="24"/>
      <c r="D61" s="24"/>
      <c r="E61" s="26"/>
      <c r="F61" s="27" t="str">
        <f t="shared" si="1"/>
        <v/>
      </c>
      <c r="G61" s="29" t="str">
        <f t="array" ref="G61">IF($A61="","",IFERROR(INDEX('2. Plot &amp; Core Log'!$M$6:$M$35,MATCH($A61,'2. Plot &amp; Core Log'!$B$6:$B$35,0)),""))</f>
        <v/>
      </c>
      <c r="H61" s="30" t="str">
        <f t="array" ref="H61">IF($A61="","",IFERROR(INDEX('2. Plot &amp; Core Log'!$J$6:$J$35,MATCH($A61,'2. Plot &amp; Core Log'!$B$6:$B$35,0)),""))</f>
        <v/>
      </c>
      <c r="I61" s="27" t="str">
        <f t="shared" si="2"/>
        <v/>
      </c>
      <c r="J61" s="27" t="str">
        <f t="shared" si="3"/>
        <v/>
      </c>
      <c r="K61" s="27" t="str">
        <f t="shared" si="4"/>
        <v/>
      </c>
      <c r="L61" s="32"/>
      <c r="M61" s="32"/>
      <c r="N61" s="34"/>
      <c r="O61" s="27" t="str">
        <f t="shared" si="10"/>
        <v/>
      </c>
      <c r="P61" s="28" t="str">
        <f t="shared" si="5"/>
        <v/>
      </c>
      <c r="Q61" s="27" t="str">
        <f t="shared" si="6"/>
        <v/>
      </c>
      <c r="R61" s="35" t="str">
        <f t="shared" si="7"/>
        <v/>
      </c>
      <c r="S61" s="31" t="str">
        <f t="shared" si="8"/>
        <v/>
      </c>
      <c r="T61" s="28" t="str">
        <f t="shared" si="9"/>
        <v/>
      </c>
    </row>
    <row r="62" ht="15.75" customHeight="1">
      <c r="A62" s="23"/>
      <c r="B62" s="23"/>
      <c r="C62" s="24"/>
      <c r="D62" s="24"/>
      <c r="E62" s="26"/>
      <c r="F62" s="27" t="str">
        <f t="shared" si="1"/>
        <v/>
      </c>
      <c r="G62" s="29" t="str">
        <f t="array" ref="G62">IF($A62="","",IFERROR(INDEX('2. Plot &amp; Core Log'!$M$6:$M$35,MATCH($A62,'2. Plot &amp; Core Log'!$B$6:$B$35,0)),""))</f>
        <v/>
      </c>
      <c r="H62" s="30" t="str">
        <f t="array" ref="H62">IF($A62="","",IFERROR(INDEX('2. Plot &amp; Core Log'!$J$6:$J$35,MATCH($A62,'2. Plot &amp; Core Log'!$B$6:$B$35,0)),""))</f>
        <v/>
      </c>
      <c r="I62" s="27" t="str">
        <f t="shared" si="2"/>
        <v/>
      </c>
      <c r="J62" s="27" t="str">
        <f t="shared" si="3"/>
        <v/>
      </c>
      <c r="K62" s="27" t="str">
        <f t="shared" si="4"/>
        <v/>
      </c>
      <c r="L62" s="32"/>
      <c r="M62" s="32"/>
      <c r="N62" s="34"/>
      <c r="O62" s="27" t="str">
        <f t="shared" si="10"/>
        <v/>
      </c>
      <c r="P62" s="28" t="str">
        <f t="shared" si="5"/>
        <v/>
      </c>
      <c r="Q62" s="27" t="str">
        <f t="shared" si="6"/>
        <v/>
      </c>
      <c r="R62" s="35" t="str">
        <f t="shared" si="7"/>
        <v/>
      </c>
      <c r="S62" s="31" t="str">
        <f t="shared" si="8"/>
        <v/>
      </c>
      <c r="T62" s="28" t="str">
        <f t="shared" si="9"/>
        <v/>
      </c>
    </row>
    <row r="63" ht="15.75" customHeight="1">
      <c r="A63" s="23"/>
      <c r="B63" s="23"/>
      <c r="C63" s="24"/>
      <c r="D63" s="24"/>
      <c r="E63" s="26"/>
      <c r="F63" s="27" t="str">
        <f t="shared" si="1"/>
        <v/>
      </c>
      <c r="G63" s="29" t="str">
        <f t="array" ref="G63">IF($A63="","",IFERROR(INDEX('2. Plot &amp; Core Log'!$M$6:$M$35,MATCH($A63,'2. Plot &amp; Core Log'!$B$6:$B$35,0)),""))</f>
        <v/>
      </c>
      <c r="H63" s="30" t="str">
        <f t="array" ref="H63">IF($A63="","",IFERROR(INDEX('2. Plot &amp; Core Log'!$J$6:$J$35,MATCH($A63,'2. Plot &amp; Core Log'!$B$6:$B$35,0)),""))</f>
        <v/>
      </c>
      <c r="I63" s="27" t="str">
        <f t="shared" si="2"/>
        <v/>
      </c>
      <c r="J63" s="27" t="str">
        <f t="shared" si="3"/>
        <v/>
      </c>
      <c r="K63" s="27" t="str">
        <f t="shared" si="4"/>
        <v/>
      </c>
      <c r="L63" s="32"/>
      <c r="M63" s="32"/>
      <c r="N63" s="34"/>
      <c r="O63" s="27" t="str">
        <f t="shared" si="10"/>
        <v/>
      </c>
      <c r="P63" s="28" t="str">
        <f t="shared" si="5"/>
        <v/>
      </c>
      <c r="Q63" s="27" t="str">
        <f t="shared" si="6"/>
        <v/>
      </c>
      <c r="R63" s="35" t="str">
        <f t="shared" si="7"/>
        <v/>
      </c>
      <c r="S63" s="31" t="str">
        <f t="shared" si="8"/>
        <v/>
      </c>
      <c r="T63" s="28" t="str">
        <f t="shared" si="9"/>
        <v/>
      </c>
    </row>
    <row r="64" ht="15.75" customHeight="1">
      <c r="A64" s="23"/>
      <c r="B64" s="23"/>
      <c r="C64" s="24"/>
      <c r="D64" s="24"/>
      <c r="E64" s="26"/>
      <c r="F64" s="27" t="str">
        <f t="shared" si="1"/>
        <v/>
      </c>
      <c r="G64" s="29" t="str">
        <f t="array" ref="G64">IF($A64="","",IFERROR(INDEX('2. Plot &amp; Core Log'!$M$6:$M$35,MATCH($A64,'2. Plot &amp; Core Log'!$B$6:$B$35,0)),""))</f>
        <v/>
      </c>
      <c r="H64" s="30" t="str">
        <f t="array" ref="H64">IF($A64="","",IFERROR(INDEX('2. Plot &amp; Core Log'!$J$6:$J$35,MATCH($A64,'2. Plot &amp; Core Log'!$B$6:$B$35,0)),""))</f>
        <v/>
      </c>
      <c r="I64" s="27" t="str">
        <f t="shared" si="2"/>
        <v/>
      </c>
      <c r="J64" s="27" t="str">
        <f t="shared" si="3"/>
        <v/>
      </c>
      <c r="K64" s="27" t="str">
        <f t="shared" si="4"/>
        <v/>
      </c>
      <c r="L64" s="32"/>
      <c r="M64" s="32"/>
      <c r="N64" s="34"/>
      <c r="O64" s="27" t="str">
        <f t="shared" si="10"/>
        <v/>
      </c>
      <c r="P64" s="28" t="str">
        <f t="shared" si="5"/>
        <v/>
      </c>
      <c r="Q64" s="27" t="str">
        <f t="shared" si="6"/>
        <v/>
      </c>
      <c r="R64" s="35" t="str">
        <f t="shared" si="7"/>
        <v/>
      </c>
      <c r="S64" s="31" t="str">
        <f t="shared" si="8"/>
        <v/>
      </c>
      <c r="T64" s="28" t="str">
        <f t="shared" si="9"/>
        <v/>
      </c>
    </row>
    <row r="65" ht="15.75" customHeight="1">
      <c r="A65" s="23"/>
      <c r="B65" s="23"/>
      <c r="C65" s="24"/>
      <c r="D65" s="24"/>
      <c r="E65" s="26"/>
      <c r="F65" s="27" t="str">
        <f t="shared" si="1"/>
        <v/>
      </c>
      <c r="G65" s="29" t="str">
        <f t="array" ref="G65">IF($A65="","",IFERROR(INDEX('2. Plot &amp; Core Log'!$M$6:$M$35,MATCH($A65,'2. Plot &amp; Core Log'!$B$6:$B$35,0)),""))</f>
        <v/>
      </c>
      <c r="H65" s="30" t="str">
        <f t="array" ref="H65">IF($A65="","",IFERROR(INDEX('2. Plot &amp; Core Log'!$J$6:$J$35,MATCH($A65,'2. Plot &amp; Core Log'!$B$6:$B$35,0)),""))</f>
        <v/>
      </c>
      <c r="I65" s="27" t="str">
        <f t="shared" si="2"/>
        <v/>
      </c>
      <c r="J65" s="27" t="str">
        <f t="shared" si="3"/>
        <v/>
      </c>
      <c r="K65" s="27" t="str">
        <f t="shared" si="4"/>
        <v/>
      </c>
      <c r="L65" s="32"/>
      <c r="M65" s="32"/>
      <c r="N65" s="34"/>
      <c r="O65" s="27" t="str">
        <f t="shared" si="10"/>
        <v/>
      </c>
      <c r="P65" s="28" t="str">
        <f t="shared" si="5"/>
        <v/>
      </c>
      <c r="Q65" s="27" t="str">
        <f t="shared" si="6"/>
        <v/>
      </c>
      <c r="R65" s="35" t="str">
        <f t="shared" si="7"/>
        <v/>
      </c>
      <c r="S65" s="31" t="str">
        <f t="shared" si="8"/>
        <v/>
      </c>
      <c r="T65" s="28" t="str">
        <f t="shared" si="9"/>
        <v/>
      </c>
    </row>
    <row r="66" ht="15.75" customHeight="1">
      <c r="A66" s="23"/>
      <c r="B66" s="23"/>
      <c r="C66" s="24"/>
      <c r="D66" s="24"/>
      <c r="E66" s="26"/>
      <c r="F66" s="27" t="str">
        <f t="shared" si="1"/>
        <v/>
      </c>
      <c r="G66" s="29" t="str">
        <f t="array" ref="G66">IF($A66="","",IFERROR(INDEX('2. Plot &amp; Core Log'!$M$6:$M$35,MATCH($A66,'2. Plot &amp; Core Log'!$B$6:$B$35,0)),""))</f>
        <v/>
      </c>
      <c r="H66" s="30" t="str">
        <f t="array" ref="H66">IF($A66="","",IFERROR(INDEX('2. Plot &amp; Core Log'!$J$6:$J$35,MATCH($A66,'2. Plot &amp; Core Log'!$B$6:$B$35,0)),""))</f>
        <v/>
      </c>
      <c r="I66" s="27" t="str">
        <f t="shared" si="2"/>
        <v/>
      </c>
      <c r="J66" s="27" t="str">
        <f t="shared" si="3"/>
        <v/>
      </c>
      <c r="K66" s="27" t="str">
        <f t="shared" si="4"/>
        <v/>
      </c>
      <c r="L66" s="32"/>
      <c r="M66" s="32"/>
      <c r="N66" s="34"/>
      <c r="O66" s="27" t="str">
        <f t="shared" si="10"/>
        <v/>
      </c>
      <c r="P66" s="28" t="str">
        <f t="shared" si="5"/>
        <v/>
      </c>
      <c r="Q66" s="27" t="str">
        <f t="shared" si="6"/>
        <v/>
      </c>
      <c r="R66" s="35" t="str">
        <f t="shared" si="7"/>
        <v/>
      </c>
      <c r="S66" s="31" t="str">
        <f t="shared" si="8"/>
        <v/>
      </c>
      <c r="T66" s="28" t="str">
        <f t="shared" si="9"/>
        <v/>
      </c>
    </row>
    <row r="67" ht="15.75" customHeight="1">
      <c r="A67" s="23"/>
      <c r="B67" s="23"/>
      <c r="C67" s="24"/>
      <c r="D67" s="24"/>
      <c r="E67" s="26"/>
      <c r="F67" s="27" t="str">
        <f t="shared" si="1"/>
        <v/>
      </c>
      <c r="G67" s="29" t="str">
        <f t="array" ref="G67">IF($A67="","",IFERROR(INDEX('2. Plot &amp; Core Log'!$M$6:$M$35,MATCH($A67,'2. Plot &amp; Core Log'!$B$6:$B$35,0)),""))</f>
        <v/>
      </c>
      <c r="H67" s="30" t="str">
        <f t="array" ref="H67">IF($A67="","",IFERROR(INDEX('2. Plot &amp; Core Log'!$J$6:$J$35,MATCH($A67,'2. Plot &amp; Core Log'!$B$6:$B$35,0)),""))</f>
        <v/>
      </c>
      <c r="I67" s="27" t="str">
        <f t="shared" si="2"/>
        <v/>
      </c>
      <c r="J67" s="27" t="str">
        <f t="shared" si="3"/>
        <v/>
      </c>
      <c r="K67" s="27" t="str">
        <f t="shared" si="4"/>
        <v/>
      </c>
      <c r="L67" s="32"/>
      <c r="M67" s="32"/>
      <c r="N67" s="34"/>
      <c r="O67" s="27" t="str">
        <f t="shared" si="10"/>
        <v/>
      </c>
      <c r="P67" s="28" t="str">
        <f t="shared" si="5"/>
        <v/>
      </c>
      <c r="Q67" s="27" t="str">
        <f t="shared" si="6"/>
        <v/>
      </c>
      <c r="R67" s="35" t="str">
        <f t="shared" si="7"/>
        <v/>
      </c>
      <c r="S67" s="31" t="str">
        <f t="shared" si="8"/>
        <v/>
      </c>
      <c r="T67" s="28" t="str">
        <f t="shared" si="9"/>
        <v/>
      </c>
    </row>
    <row r="68" ht="15.75" customHeight="1">
      <c r="A68" s="23"/>
      <c r="B68" s="23"/>
      <c r="C68" s="24"/>
      <c r="D68" s="24"/>
      <c r="E68" s="26"/>
      <c r="F68" s="27" t="str">
        <f t="shared" si="1"/>
        <v/>
      </c>
      <c r="G68" s="29" t="str">
        <f t="array" ref="G68">IF($A68="","",IFERROR(INDEX('2. Plot &amp; Core Log'!$M$6:$M$35,MATCH($A68,'2. Plot &amp; Core Log'!$B$6:$B$35,0)),""))</f>
        <v/>
      </c>
      <c r="H68" s="30" t="str">
        <f t="array" ref="H68">IF($A68="","",IFERROR(INDEX('2. Plot &amp; Core Log'!$J$6:$J$35,MATCH($A68,'2. Plot &amp; Core Log'!$B$6:$B$35,0)),""))</f>
        <v/>
      </c>
      <c r="I68" s="27" t="str">
        <f t="shared" si="2"/>
        <v/>
      </c>
      <c r="J68" s="27" t="str">
        <f t="shared" si="3"/>
        <v/>
      </c>
      <c r="K68" s="27" t="str">
        <f t="shared" si="4"/>
        <v/>
      </c>
      <c r="L68" s="32"/>
      <c r="M68" s="32"/>
      <c r="N68" s="34"/>
      <c r="O68" s="27" t="str">
        <f t="shared" si="10"/>
        <v/>
      </c>
      <c r="P68" s="28" t="str">
        <f t="shared" si="5"/>
        <v/>
      </c>
      <c r="Q68" s="27" t="str">
        <f t="shared" si="6"/>
        <v/>
      </c>
      <c r="R68" s="35" t="str">
        <f t="shared" si="7"/>
        <v/>
      </c>
      <c r="S68" s="31" t="str">
        <f t="shared" si="8"/>
        <v/>
      </c>
      <c r="T68" s="28" t="str">
        <f t="shared" si="9"/>
        <v/>
      </c>
    </row>
    <row r="69" ht="15.75" customHeight="1">
      <c r="A69" s="23"/>
      <c r="B69" s="23"/>
      <c r="C69" s="24"/>
      <c r="D69" s="24"/>
      <c r="E69" s="26"/>
      <c r="F69" s="27" t="str">
        <f t="shared" si="1"/>
        <v/>
      </c>
      <c r="G69" s="29" t="str">
        <f t="array" ref="G69">IF($A69="","",IFERROR(INDEX('2. Plot &amp; Core Log'!$M$6:$M$35,MATCH($A69,'2. Plot &amp; Core Log'!$B$6:$B$35,0)),""))</f>
        <v/>
      </c>
      <c r="H69" s="30" t="str">
        <f t="array" ref="H69">IF($A69="","",IFERROR(INDEX('2. Plot &amp; Core Log'!$J$6:$J$35,MATCH($A69,'2. Plot &amp; Core Log'!$B$6:$B$35,0)),""))</f>
        <v/>
      </c>
      <c r="I69" s="27" t="str">
        <f t="shared" si="2"/>
        <v/>
      </c>
      <c r="J69" s="27" t="str">
        <f t="shared" si="3"/>
        <v/>
      </c>
      <c r="K69" s="27" t="str">
        <f t="shared" si="4"/>
        <v/>
      </c>
      <c r="L69" s="32"/>
      <c r="M69" s="32"/>
      <c r="N69" s="34"/>
      <c r="O69" s="27" t="str">
        <f t="shared" si="10"/>
        <v/>
      </c>
      <c r="P69" s="28" t="str">
        <f t="shared" si="5"/>
        <v/>
      </c>
      <c r="Q69" s="27" t="str">
        <f t="shared" si="6"/>
        <v/>
      </c>
      <c r="R69" s="35" t="str">
        <f t="shared" si="7"/>
        <v/>
      </c>
      <c r="S69" s="31" t="str">
        <f t="shared" si="8"/>
        <v/>
      </c>
      <c r="T69" s="28" t="str">
        <f t="shared" si="9"/>
        <v/>
      </c>
    </row>
    <row r="70" ht="15.75" customHeight="1">
      <c r="A70" s="23"/>
      <c r="B70" s="23"/>
      <c r="C70" s="24"/>
      <c r="D70" s="24"/>
      <c r="E70" s="26"/>
      <c r="F70" s="27" t="str">
        <f t="shared" si="1"/>
        <v/>
      </c>
      <c r="G70" s="29" t="str">
        <f t="array" ref="G70">IF($A70="","",IFERROR(INDEX('2. Plot &amp; Core Log'!$M$6:$M$35,MATCH($A70,'2. Plot &amp; Core Log'!$B$6:$B$35,0)),""))</f>
        <v/>
      </c>
      <c r="H70" s="30" t="str">
        <f t="array" ref="H70">IF($A70="","",IFERROR(INDEX('2. Plot &amp; Core Log'!$J$6:$J$35,MATCH($A70,'2. Plot &amp; Core Log'!$B$6:$B$35,0)),""))</f>
        <v/>
      </c>
      <c r="I70" s="27" t="str">
        <f t="shared" si="2"/>
        <v/>
      </c>
      <c r="J70" s="27" t="str">
        <f t="shared" si="3"/>
        <v/>
      </c>
      <c r="K70" s="27" t="str">
        <f t="shared" si="4"/>
        <v/>
      </c>
      <c r="L70" s="32"/>
      <c r="M70" s="32"/>
      <c r="N70" s="34"/>
      <c r="O70" s="27" t="str">
        <f t="shared" si="10"/>
        <v/>
      </c>
      <c r="P70" s="28" t="str">
        <f t="shared" si="5"/>
        <v/>
      </c>
      <c r="Q70" s="27" t="str">
        <f t="shared" si="6"/>
        <v/>
      </c>
      <c r="R70" s="35" t="str">
        <f t="shared" si="7"/>
        <v/>
      </c>
      <c r="S70" s="31" t="str">
        <f t="shared" si="8"/>
        <v/>
      </c>
      <c r="T70" s="28" t="str">
        <f t="shared" si="9"/>
        <v/>
      </c>
    </row>
    <row r="71" ht="15.75" customHeight="1">
      <c r="A71" s="23"/>
      <c r="B71" s="23"/>
      <c r="C71" s="24"/>
      <c r="D71" s="24"/>
      <c r="E71" s="26"/>
      <c r="F71" s="27" t="str">
        <f t="shared" si="1"/>
        <v/>
      </c>
      <c r="G71" s="29" t="str">
        <f t="array" ref="G71">IF($A71="","",IFERROR(INDEX('2. Plot &amp; Core Log'!$M$6:$M$35,MATCH($A71,'2. Plot &amp; Core Log'!$B$6:$B$35,0)),""))</f>
        <v/>
      </c>
      <c r="H71" s="30" t="str">
        <f t="array" ref="H71">IF($A71="","",IFERROR(INDEX('2. Plot &amp; Core Log'!$J$6:$J$35,MATCH($A71,'2. Plot &amp; Core Log'!$B$6:$B$35,0)),""))</f>
        <v/>
      </c>
      <c r="I71" s="27" t="str">
        <f t="shared" si="2"/>
        <v/>
      </c>
      <c r="J71" s="27" t="str">
        <f t="shared" si="3"/>
        <v/>
      </c>
      <c r="K71" s="27" t="str">
        <f t="shared" si="4"/>
        <v/>
      </c>
      <c r="L71" s="32"/>
      <c r="M71" s="32"/>
      <c r="N71" s="34"/>
      <c r="O71" s="27" t="str">
        <f t="shared" si="10"/>
        <v/>
      </c>
      <c r="P71" s="28" t="str">
        <f t="shared" si="5"/>
        <v/>
      </c>
      <c r="Q71" s="27" t="str">
        <f t="shared" si="6"/>
        <v/>
      </c>
      <c r="R71" s="35" t="str">
        <f t="shared" si="7"/>
        <v/>
      </c>
      <c r="S71" s="31" t="str">
        <f t="shared" si="8"/>
        <v/>
      </c>
      <c r="T71" s="28" t="str">
        <f t="shared" si="9"/>
        <v/>
      </c>
    </row>
    <row r="72" ht="15.75" customHeight="1">
      <c r="A72" s="23"/>
      <c r="B72" s="23"/>
      <c r="C72" s="24"/>
      <c r="D72" s="24"/>
      <c r="E72" s="26"/>
      <c r="F72" s="27" t="str">
        <f t="shared" si="1"/>
        <v/>
      </c>
      <c r="G72" s="29" t="str">
        <f t="array" ref="G72">IF($A72="","",IFERROR(INDEX('2. Plot &amp; Core Log'!$M$6:$M$35,MATCH($A72,'2. Plot &amp; Core Log'!$B$6:$B$35,0)),""))</f>
        <v/>
      </c>
      <c r="H72" s="30" t="str">
        <f t="array" ref="H72">IF($A72="","",IFERROR(INDEX('2. Plot &amp; Core Log'!$J$6:$J$35,MATCH($A72,'2. Plot &amp; Core Log'!$B$6:$B$35,0)),""))</f>
        <v/>
      </c>
      <c r="I72" s="27" t="str">
        <f t="shared" si="2"/>
        <v/>
      </c>
      <c r="J72" s="27" t="str">
        <f t="shared" si="3"/>
        <v/>
      </c>
      <c r="K72" s="27" t="str">
        <f t="shared" si="4"/>
        <v/>
      </c>
      <c r="L72" s="32"/>
      <c r="M72" s="32"/>
      <c r="N72" s="34"/>
      <c r="O72" s="27" t="str">
        <f t="shared" si="10"/>
        <v/>
      </c>
      <c r="P72" s="28" t="str">
        <f t="shared" si="5"/>
        <v/>
      </c>
      <c r="Q72" s="27" t="str">
        <f t="shared" si="6"/>
        <v/>
      </c>
      <c r="R72" s="35" t="str">
        <f t="shared" si="7"/>
        <v/>
      </c>
      <c r="S72" s="31" t="str">
        <f t="shared" si="8"/>
        <v/>
      </c>
      <c r="T72" s="28" t="str">
        <f t="shared" si="9"/>
        <v/>
      </c>
    </row>
    <row r="73" ht="15.75" customHeight="1">
      <c r="A73" s="23"/>
      <c r="B73" s="23"/>
      <c r="C73" s="24"/>
      <c r="D73" s="24"/>
      <c r="E73" s="26"/>
      <c r="F73" s="27" t="str">
        <f t="shared" si="1"/>
        <v/>
      </c>
      <c r="G73" s="29" t="str">
        <f t="array" ref="G73">IF($A73="","",IFERROR(INDEX('2. Plot &amp; Core Log'!$M$6:$M$35,MATCH($A73,'2. Plot &amp; Core Log'!$B$6:$B$35,0)),""))</f>
        <v/>
      </c>
      <c r="H73" s="30" t="str">
        <f t="array" ref="H73">IF($A73="","",IFERROR(INDEX('2. Plot &amp; Core Log'!$J$6:$J$35,MATCH($A73,'2. Plot &amp; Core Log'!$B$6:$B$35,0)),""))</f>
        <v/>
      </c>
      <c r="I73" s="27" t="str">
        <f t="shared" si="2"/>
        <v/>
      </c>
      <c r="J73" s="27" t="str">
        <f t="shared" si="3"/>
        <v/>
      </c>
      <c r="K73" s="27" t="str">
        <f t="shared" si="4"/>
        <v/>
      </c>
      <c r="L73" s="32"/>
      <c r="M73" s="32"/>
      <c r="N73" s="34"/>
      <c r="O73" s="27" t="str">
        <f t="shared" si="10"/>
        <v/>
      </c>
      <c r="P73" s="28" t="str">
        <f t="shared" si="5"/>
        <v/>
      </c>
      <c r="Q73" s="27" t="str">
        <f t="shared" si="6"/>
        <v/>
      </c>
      <c r="R73" s="35" t="str">
        <f t="shared" si="7"/>
        <v/>
      </c>
      <c r="S73" s="31" t="str">
        <f t="shared" si="8"/>
        <v/>
      </c>
      <c r="T73" s="28" t="str">
        <f t="shared" si="9"/>
        <v/>
      </c>
    </row>
    <row r="74" ht="15.75" customHeight="1">
      <c r="A74" s="23"/>
      <c r="B74" s="23"/>
      <c r="C74" s="24"/>
      <c r="D74" s="24"/>
      <c r="E74" s="26"/>
      <c r="F74" s="27" t="str">
        <f t="shared" si="1"/>
        <v/>
      </c>
      <c r="G74" s="29" t="str">
        <f t="array" ref="G74">IF($A74="","",IFERROR(INDEX('2. Plot &amp; Core Log'!$M$6:$M$35,MATCH($A74,'2. Plot &amp; Core Log'!$B$6:$B$35,0)),""))</f>
        <v/>
      </c>
      <c r="H74" s="30" t="str">
        <f t="array" ref="H74">IF($A74="","",IFERROR(INDEX('2. Plot &amp; Core Log'!$J$6:$J$35,MATCH($A74,'2. Plot &amp; Core Log'!$B$6:$B$35,0)),""))</f>
        <v/>
      </c>
      <c r="I74" s="27" t="str">
        <f t="shared" si="2"/>
        <v/>
      </c>
      <c r="J74" s="27" t="str">
        <f t="shared" si="3"/>
        <v/>
      </c>
      <c r="K74" s="27" t="str">
        <f t="shared" si="4"/>
        <v/>
      </c>
      <c r="L74" s="32"/>
      <c r="M74" s="32"/>
      <c r="N74" s="34"/>
      <c r="O74" s="27" t="str">
        <f t="shared" si="10"/>
        <v/>
      </c>
      <c r="P74" s="28" t="str">
        <f t="shared" si="5"/>
        <v/>
      </c>
      <c r="Q74" s="27" t="str">
        <f t="shared" si="6"/>
        <v/>
      </c>
      <c r="R74" s="35" t="str">
        <f t="shared" si="7"/>
        <v/>
      </c>
      <c r="S74" s="31" t="str">
        <f t="shared" si="8"/>
        <v/>
      </c>
      <c r="T74" s="28" t="str">
        <f t="shared" si="9"/>
        <v/>
      </c>
    </row>
    <row r="75" ht="15.75" customHeight="1">
      <c r="A75" s="23"/>
      <c r="B75" s="23"/>
      <c r="C75" s="24"/>
      <c r="D75" s="24"/>
      <c r="E75" s="26"/>
      <c r="F75" s="27" t="str">
        <f t="shared" si="1"/>
        <v/>
      </c>
      <c r="G75" s="29" t="str">
        <f t="array" ref="G75">IF($A75="","",IFERROR(INDEX('2. Plot &amp; Core Log'!$M$6:$M$35,MATCH($A75,'2. Plot &amp; Core Log'!$B$6:$B$35,0)),""))</f>
        <v/>
      </c>
      <c r="H75" s="30" t="str">
        <f t="array" ref="H75">IF($A75="","",IFERROR(INDEX('2. Plot &amp; Core Log'!$J$6:$J$35,MATCH($A75,'2. Plot &amp; Core Log'!$B$6:$B$35,0)),""))</f>
        <v/>
      </c>
      <c r="I75" s="27" t="str">
        <f t="shared" si="2"/>
        <v/>
      </c>
      <c r="J75" s="27" t="str">
        <f t="shared" si="3"/>
        <v/>
      </c>
      <c r="K75" s="27" t="str">
        <f t="shared" si="4"/>
        <v/>
      </c>
      <c r="L75" s="32"/>
      <c r="M75" s="32"/>
      <c r="N75" s="34"/>
      <c r="O75" s="27" t="str">
        <f t="shared" si="10"/>
        <v/>
      </c>
      <c r="P75" s="28" t="str">
        <f t="shared" si="5"/>
        <v/>
      </c>
      <c r="Q75" s="27" t="str">
        <f t="shared" si="6"/>
        <v/>
      </c>
      <c r="R75" s="35" t="str">
        <f t="shared" si="7"/>
        <v/>
      </c>
      <c r="S75" s="31" t="str">
        <f t="shared" si="8"/>
        <v/>
      </c>
      <c r="T75" s="28" t="str">
        <f t="shared" si="9"/>
        <v/>
      </c>
    </row>
    <row r="76" ht="15.75" customHeight="1">
      <c r="A76" s="23"/>
      <c r="B76" s="23"/>
      <c r="C76" s="24"/>
      <c r="D76" s="24"/>
      <c r="E76" s="26"/>
      <c r="F76" s="27" t="str">
        <f t="shared" si="1"/>
        <v/>
      </c>
      <c r="G76" s="29" t="str">
        <f t="array" ref="G76">IF($A76="","",IFERROR(INDEX('2. Plot &amp; Core Log'!$M$6:$M$35,MATCH($A76,'2. Plot &amp; Core Log'!$B$6:$B$35,0)),""))</f>
        <v/>
      </c>
      <c r="H76" s="30" t="str">
        <f t="array" ref="H76">IF($A76="","",IFERROR(INDEX('2. Plot &amp; Core Log'!$J$6:$J$35,MATCH($A76,'2. Plot &amp; Core Log'!$B$6:$B$35,0)),""))</f>
        <v/>
      </c>
      <c r="I76" s="27" t="str">
        <f t="shared" si="2"/>
        <v/>
      </c>
      <c r="J76" s="27" t="str">
        <f t="shared" si="3"/>
        <v/>
      </c>
      <c r="K76" s="27" t="str">
        <f t="shared" si="4"/>
        <v/>
      </c>
      <c r="L76" s="32"/>
      <c r="M76" s="32"/>
      <c r="N76" s="34"/>
      <c r="O76" s="27" t="str">
        <f t="shared" si="10"/>
        <v/>
      </c>
      <c r="P76" s="28" t="str">
        <f t="shared" si="5"/>
        <v/>
      </c>
      <c r="Q76" s="27" t="str">
        <f t="shared" si="6"/>
        <v/>
      </c>
      <c r="R76" s="35" t="str">
        <f t="shared" si="7"/>
        <v/>
      </c>
      <c r="S76" s="31" t="str">
        <f t="shared" si="8"/>
        <v/>
      </c>
      <c r="T76" s="28" t="str">
        <f t="shared" si="9"/>
        <v/>
      </c>
    </row>
    <row r="77" ht="15.75" customHeight="1">
      <c r="A77" s="23"/>
      <c r="B77" s="23"/>
      <c r="C77" s="24"/>
      <c r="D77" s="24"/>
      <c r="E77" s="26"/>
      <c r="F77" s="27" t="str">
        <f t="shared" si="1"/>
        <v/>
      </c>
      <c r="G77" s="29" t="str">
        <f t="array" ref="G77">IF($A77="","",IFERROR(INDEX('2. Plot &amp; Core Log'!$M$6:$M$35,MATCH($A77,'2. Plot &amp; Core Log'!$B$6:$B$35,0)),""))</f>
        <v/>
      </c>
      <c r="H77" s="30" t="str">
        <f t="array" ref="H77">IF($A77="","",IFERROR(INDEX('2. Plot &amp; Core Log'!$J$6:$J$35,MATCH($A77,'2. Plot &amp; Core Log'!$B$6:$B$35,0)),""))</f>
        <v/>
      </c>
      <c r="I77" s="27" t="str">
        <f t="shared" si="2"/>
        <v/>
      </c>
      <c r="J77" s="27" t="str">
        <f t="shared" si="3"/>
        <v/>
      </c>
      <c r="K77" s="27" t="str">
        <f t="shared" si="4"/>
        <v/>
      </c>
      <c r="L77" s="32"/>
      <c r="M77" s="32"/>
      <c r="N77" s="34"/>
      <c r="O77" s="27" t="str">
        <f t="shared" si="10"/>
        <v/>
      </c>
      <c r="P77" s="28" t="str">
        <f t="shared" si="5"/>
        <v/>
      </c>
      <c r="Q77" s="27" t="str">
        <f t="shared" si="6"/>
        <v/>
      </c>
      <c r="R77" s="35" t="str">
        <f t="shared" si="7"/>
        <v/>
      </c>
      <c r="S77" s="31" t="str">
        <f t="shared" si="8"/>
        <v/>
      </c>
      <c r="T77" s="28" t="str">
        <f t="shared" si="9"/>
        <v/>
      </c>
    </row>
    <row r="78" ht="15.75" customHeight="1">
      <c r="A78" s="23"/>
      <c r="B78" s="23"/>
      <c r="C78" s="24"/>
      <c r="D78" s="24"/>
      <c r="E78" s="26"/>
      <c r="F78" s="27" t="str">
        <f t="shared" si="1"/>
        <v/>
      </c>
      <c r="G78" s="29" t="str">
        <f t="array" ref="G78">IF($A78="","",IFERROR(INDEX('2. Plot &amp; Core Log'!$M$6:$M$35,MATCH($A78,'2. Plot &amp; Core Log'!$B$6:$B$35,0)),""))</f>
        <v/>
      </c>
      <c r="H78" s="30" t="str">
        <f t="array" ref="H78">IF($A78="","",IFERROR(INDEX('2. Plot &amp; Core Log'!$J$6:$J$35,MATCH($A78,'2. Plot &amp; Core Log'!$B$6:$B$35,0)),""))</f>
        <v/>
      </c>
      <c r="I78" s="27" t="str">
        <f t="shared" si="2"/>
        <v/>
      </c>
      <c r="J78" s="27" t="str">
        <f t="shared" si="3"/>
        <v/>
      </c>
      <c r="K78" s="27" t="str">
        <f t="shared" si="4"/>
        <v/>
      </c>
      <c r="L78" s="32"/>
      <c r="M78" s="32"/>
      <c r="N78" s="34"/>
      <c r="O78" s="27" t="str">
        <f t="shared" si="10"/>
        <v/>
      </c>
      <c r="P78" s="28" t="str">
        <f t="shared" si="5"/>
        <v/>
      </c>
      <c r="Q78" s="27" t="str">
        <f t="shared" si="6"/>
        <v/>
      </c>
      <c r="R78" s="35" t="str">
        <f t="shared" si="7"/>
        <v/>
      </c>
      <c r="S78" s="31" t="str">
        <f t="shared" si="8"/>
        <v/>
      </c>
      <c r="T78" s="28" t="str">
        <f t="shared" si="9"/>
        <v/>
      </c>
    </row>
    <row r="79" ht="15.75" customHeight="1">
      <c r="A79" s="23"/>
      <c r="B79" s="23"/>
      <c r="C79" s="24"/>
      <c r="D79" s="24"/>
      <c r="E79" s="26"/>
      <c r="F79" s="27" t="str">
        <f t="shared" si="1"/>
        <v/>
      </c>
      <c r="G79" s="29" t="str">
        <f t="array" ref="G79">IF($A79="","",IFERROR(INDEX('2. Plot &amp; Core Log'!$M$6:$M$35,MATCH($A79,'2. Plot &amp; Core Log'!$B$6:$B$35,0)),""))</f>
        <v/>
      </c>
      <c r="H79" s="30" t="str">
        <f t="array" ref="H79">IF($A79="","",IFERROR(INDEX('2. Plot &amp; Core Log'!$J$6:$J$35,MATCH($A79,'2. Plot &amp; Core Log'!$B$6:$B$35,0)),""))</f>
        <v/>
      </c>
      <c r="I79" s="27" t="str">
        <f t="shared" si="2"/>
        <v/>
      </c>
      <c r="J79" s="27" t="str">
        <f t="shared" si="3"/>
        <v/>
      </c>
      <c r="K79" s="27" t="str">
        <f t="shared" si="4"/>
        <v/>
      </c>
      <c r="L79" s="32"/>
      <c r="M79" s="32"/>
      <c r="N79" s="34"/>
      <c r="O79" s="27" t="str">
        <f t="shared" si="10"/>
        <v/>
      </c>
      <c r="P79" s="28" t="str">
        <f t="shared" si="5"/>
        <v/>
      </c>
      <c r="Q79" s="27" t="str">
        <f t="shared" si="6"/>
        <v/>
      </c>
      <c r="R79" s="35" t="str">
        <f t="shared" si="7"/>
        <v/>
      </c>
      <c r="S79" s="31" t="str">
        <f t="shared" si="8"/>
        <v/>
      </c>
      <c r="T79" s="28" t="str">
        <f t="shared" si="9"/>
        <v/>
      </c>
    </row>
    <row r="80" ht="15.75" customHeight="1">
      <c r="A80" s="23"/>
      <c r="B80" s="23"/>
      <c r="C80" s="24"/>
      <c r="D80" s="24"/>
      <c r="E80" s="26"/>
      <c r="F80" s="27" t="str">
        <f t="shared" si="1"/>
        <v/>
      </c>
      <c r="G80" s="29" t="str">
        <f t="array" ref="G80">IF($A80="","",IFERROR(INDEX('2. Plot &amp; Core Log'!$M$6:$M$35,MATCH($A80,'2. Plot &amp; Core Log'!$B$6:$B$35,0)),""))</f>
        <v/>
      </c>
      <c r="H80" s="30" t="str">
        <f t="array" ref="H80">IF($A80="","",IFERROR(INDEX('2. Plot &amp; Core Log'!$J$6:$J$35,MATCH($A80,'2. Plot &amp; Core Log'!$B$6:$B$35,0)),""))</f>
        <v/>
      </c>
      <c r="I80" s="27" t="str">
        <f t="shared" si="2"/>
        <v/>
      </c>
      <c r="J80" s="27" t="str">
        <f t="shared" si="3"/>
        <v/>
      </c>
      <c r="K80" s="27" t="str">
        <f t="shared" si="4"/>
        <v/>
      </c>
      <c r="L80" s="32"/>
      <c r="M80" s="32"/>
      <c r="N80" s="34"/>
      <c r="O80" s="27" t="str">
        <f t="shared" si="10"/>
        <v/>
      </c>
      <c r="P80" s="28" t="str">
        <f t="shared" si="5"/>
        <v/>
      </c>
      <c r="Q80" s="27" t="str">
        <f t="shared" si="6"/>
        <v/>
      </c>
      <c r="R80" s="35" t="str">
        <f t="shared" si="7"/>
        <v/>
      </c>
      <c r="S80" s="31" t="str">
        <f t="shared" si="8"/>
        <v/>
      </c>
      <c r="T80" s="28" t="str">
        <f t="shared" si="9"/>
        <v/>
      </c>
    </row>
    <row r="81" ht="15.75" customHeight="1">
      <c r="A81" s="23"/>
      <c r="B81" s="23"/>
      <c r="C81" s="24"/>
      <c r="D81" s="24"/>
      <c r="E81" s="26"/>
      <c r="F81" s="27" t="str">
        <f t="shared" si="1"/>
        <v/>
      </c>
      <c r="G81" s="29" t="str">
        <f t="array" ref="G81">IF($A81="","",IFERROR(INDEX('2. Plot &amp; Core Log'!$M$6:$M$35,MATCH($A81,'2. Plot &amp; Core Log'!$B$6:$B$35,0)),""))</f>
        <v/>
      </c>
      <c r="H81" s="30" t="str">
        <f t="array" ref="H81">IF($A81="","",IFERROR(INDEX('2. Plot &amp; Core Log'!$J$6:$J$35,MATCH($A81,'2. Plot &amp; Core Log'!$B$6:$B$35,0)),""))</f>
        <v/>
      </c>
      <c r="I81" s="27" t="str">
        <f t="shared" si="2"/>
        <v/>
      </c>
      <c r="J81" s="27" t="str">
        <f t="shared" si="3"/>
        <v/>
      </c>
      <c r="K81" s="27" t="str">
        <f t="shared" si="4"/>
        <v/>
      </c>
      <c r="L81" s="32"/>
      <c r="M81" s="32"/>
      <c r="N81" s="34"/>
      <c r="O81" s="27" t="str">
        <f t="shared" si="10"/>
        <v/>
      </c>
      <c r="P81" s="28" t="str">
        <f t="shared" si="5"/>
        <v/>
      </c>
      <c r="Q81" s="27" t="str">
        <f t="shared" si="6"/>
        <v/>
      </c>
      <c r="R81" s="35" t="str">
        <f t="shared" si="7"/>
        <v/>
      </c>
      <c r="S81" s="31" t="str">
        <f t="shared" si="8"/>
        <v/>
      </c>
      <c r="T81" s="28" t="str">
        <f t="shared" si="9"/>
        <v/>
      </c>
    </row>
    <row r="82" ht="15.75" customHeight="1">
      <c r="A82" s="23"/>
      <c r="B82" s="23"/>
      <c r="C82" s="24"/>
      <c r="D82" s="24"/>
      <c r="E82" s="26"/>
      <c r="F82" s="27" t="str">
        <f t="shared" si="1"/>
        <v/>
      </c>
      <c r="G82" s="29" t="str">
        <f t="array" ref="G82">IF($A82="","",IFERROR(INDEX('2. Plot &amp; Core Log'!$M$6:$M$35,MATCH($A82,'2. Plot &amp; Core Log'!$B$6:$B$35,0)),""))</f>
        <v/>
      </c>
      <c r="H82" s="30" t="str">
        <f t="array" ref="H82">IF($A82="","",IFERROR(INDEX('2. Plot &amp; Core Log'!$J$6:$J$35,MATCH($A82,'2. Plot &amp; Core Log'!$B$6:$B$35,0)),""))</f>
        <v/>
      </c>
      <c r="I82" s="27" t="str">
        <f t="shared" si="2"/>
        <v/>
      </c>
      <c r="J82" s="27" t="str">
        <f t="shared" si="3"/>
        <v/>
      </c>
      <c r="K82" s="27" t="str">
        <f t="shared" si="4"/>
        <v/>
      </c>
      <c r="L82" s="32"/>
      <c r="M82" s="32"/>
      <c r="N82" s="34"/>
      <c r="O82" s="27" t="str">
        <f t="shared" si="10"/>
        <v/>
      </c>
      <c r="P82" s="28" t="str">
        <f t="shared" si="5"/>
        <v/>
      </c>
      <c r="Q82" s="27" t="str">
        <f t="shared" si="6"/>
        <v/>
      </c>
      <c r="R82" s="35" t="str">
        <f t="shared" si="7"/>
        <v/>
      </c>
      <c r="S82" s="31" t="str">
        <f t="shared" si="8"/>
        <v/>
      </c>
      <c r="T82" s="28" t="str">
        <f t="shared" si="9"/>
        <v/>
      </c>
    </row>
    <row r="83" ht="15.75" customHeight="1">
      <c r="A83" s="23"/>
      <c r="B83" s="23"/>
      <c r="C83" s="24"/>
      <c r="D83" s="24"/>
      <c r="E83" s="26"/>
      <c r="F83" s="27" t="str">
        <f t="shared" si="1"/>
        <v/>
      </c>
      <c r="G83" s="29" t="str">
        <f t="array" ref="G83">IF($A83="","",IFERROR(INDEX('2. Plot &amp; Core Log'!$M$6:$M$35,MATCH($A83,'2. Plot &amp; Core Log'!$B$6:$B$35,0)),""))</f>
        <v/>
      </c>
      <c r="H83" s="30" t="str">
        <f t="array" ref="H83">IF($A83="","",IFERROR(INDEX('2. Plot &amp; Core Log'!$J$6:$J$35,MATCH($A83,'2. Plot &amp; Core Log'!$B$6:$B$35,0)),""))</f>
        <v/>
      </c>
      <c r="I83" s="27" t="str">
        <f t="shared" si="2"/>
        <v/>
      </c>
      <c r="J83" s="27" t="str">
        <f t="shared" si="3"/>
        <v/>
      </c>
      <c r="K83" s="27" t="str">
        <f t="shared" si="4"/>
        <v/>
      </c>
      <c r="L83" s="32"/>
      <c r="M83" s="32"/>
      <c r="N83" s="34"/>
      <c r="O83" s="27" t="str">
        <f t="shared" si="10"/>
        <v/>
      </c>
      <c r="P83" s="28" t="str">
        <f t="shared" si="5"/>
        <v/>
      </c>
      <c r="Q83" s="27" t="str">
        <f t="shared" si="6"/>
        <v/>
      </c>
      <c r="R83" s="35" t="str">
        <f t="shared" si="7"/>
        <v/>
      </c>
      <c r="S83" s="31" t="str">
        <f t="shared" si="8"/>
        <v/>
      </c>
      <c r="T83" s="28" t="str">
        <f t="shared" si="9"/>
        <v/>
      </c>
    </row>
    <row r="84" ht="15.75" customHeight="1">
      <c r="A84" s="23"/>
      <c r="B84" s="23"/>
      <c r="C84" s="24"/>
      <c r="D84" s="24"/>
      <c r="E84" s="26"/>
      <c r="F84" s="27" t="str">
        <f t="shared" si="1"/>
        <v/>
      </c>
      <c r="G84" s="29" t="str">
        <f t="array" ref="G84">IF($A84="","",IFERROR(INDEX('2. Plot &amp; Core Log'!$M$6:$M$35,MATCH($A84,'2. Plot &amp; Core Log'!$B$6:$B$35,0)),""))</f>
        <v/>
      </c>
      <c r="H84" s="30" t="str">
        <f t="array" ref="H84">IF($A84="","",IFERROR(INDEX('2. Plot &amp; Core Log'!$J$6:$J$35,MATCH($A84,'2. Plot &amp; Core Log'!$B$6:$B$35,0)),""))</f>
        <v/>
      </c>
      <c r="I84" s="27" t="str">
        <f t="shared" si="2"/>
        <v/>
      </c>
      <c r="J84" s="27" t="str">
        <f t="shared" si="3"/>
        <v/>
      </c>
      <c r="K84" s="27" t="str">
        <f t="shared" si="4"/>
        <v/>
      </c>
      <c r="L84" s="32"/>
      <c r="M84" s="32"/>
      <c r="N84" s="34"/>
      <c r="O84" s="27" t="str">
        <f t="shared" si="10"/>
        <v/>
      </c>
      <c r="P84" s="28" t="str">
        <f t="shared" si="5"/>
        <v/>
      </c>
      <c r="Q84" s="27" t="str">
        <f t="shared" si="6"/>
        <v/>
      </c>
      <c r="R84" s="35" t="str">
        <f t="shared" si="7"/>
        <v/>
      </c>
      <c r="S84" s="31" t="str">
        <f t="shared" si="8"/>
        <v/>
      </c>
      <c r="T84" s="28" t="str">
        <f t="shared" si="9"/>
        <v/>
      </c>
    </row>
    <row r="85" ht="15.75" customHeight="1">
      <c r="A85" s="23"/>
      <c r="B85" s="23"/>
      <c r="C85" s="24"/>
      <c r="D85" s="24"/>
      <c r="E85" s="26"/>
      <c r="F85" s="27" t="str">
        <f t="shared" si="1"/>
        <v/>
      </c>
      <c r="G85" s="29" t="str">
        <f t="array" ref="G85">IF($A85="","",IFERROR(INDEX('2. Plot &amp; Core Log'!$M$6:$M$35,MATCH($A85,'2. Plot &amp; Core Log'!$B$6:$B$35,0)),""))</f>
        <v/>
      </c>
      <c r="H85" s="30" t="str">
        <f t="array" ref="H85">IF($A85="","",IFERROR(INDEX('2. Plot &amp; Core Log'!$J$6:$J$35,MATCH($A85,'2. Plot &amp; Core Log'!$B$6:$B$35,0)),""))</f>
        <v/>
      </c>
      <c r="I85" s="27" t="str">
        <f t="shared" si="2"/>
        <v/>
      </c>
      <c r="J85" s="27" t="str">
        <f t="shared" si="3"/>
        <v/>
      </c>
      <c r="K85" s="27" t="str">
        <f t="shared" si="4"/>
        <v/>
      </c>
      <c r="L85" s="32"/>
      <c r="M85" s="32"/>
      <c r="N85" s="34"/>
      <c r="O85" s="27" t="str">
        <f t="shared" si="10"/>
        <v/>
      </c>
      <c r="P85" s="28" t="str">
        <f t="shared" si="5"/>
        <v/>
      </c>
      <c r="Q85" s="27" t="str">
        <f t="shared" si="6"/>
        <v/>
      </c>
      <c r="R85" s="35" t="str">
        <f t="shared" si="7"/>
        <v/>
      </c>
      <c r="S85" s="31" t="str">
        <f t="shared" si="8"/>
        <v/>
      </c>
      <c r="T85" s="28" t="str">
        <f t="shared" si="9"/>
        <v/>
      </c>
    </row>
    <row r="86" ht="15.75" customHeight="1">
      <c r="A86" s="23"/>
      <c r="B86" s="23"/>
      <c r="C86" s="24"/>
      <c r="D86" s="24"/>
      <c r="E86" s="26"/>
      <c r="F86" s="27" t="str">
        <f t="shared" si="1"/>
        <v/>
      </c>
      <c r="G86" s="29" t="str">
        <f t="array" ref="G86">IF($A86="","",IFERROR(INDEX('2. Plot &amp; Core Log'!$M$6:$M$35,MATCH($A86,'2. Plot &amp; Core Log'!$B$6:$B$35,0)),""))</f>
        <v/>
      </c>
      <c r="H86" s="30" t="str">
        <f t="array" ref="H86">IF($A86="","",IFERROR(INDEX('2. Plot &amp; Core Log'!$J$6:$J$35,MATCH($A86,'2. Plot &amp; Core Log'!$B$6:$B$35,0)),""))</f>
        <v/>
      </c>
      <c r="I86" s="27" t="str">
        <f t="shared" si="2"/>
        <v/>
      </c>
      <c r="J86" s="27" t="str">
        <f t="shared" si="3"/>
        <v/>
      </c>
      <c r="K86" s="27" t="str">
        <f t="shared" si="4"/>
        <v/>
      </c>
      <c r="L86" s="32"/>
      <c r="M86" s="32"/>
      <c r="N86" s="34"/>
      <c r="O86" s="27" t="str">
        <f t="shared" si="10"/>
        <v/>
      </c>
      <c r="P86" s="28" t="str">
        <f t="shared" si="5"/>
        <v/>
      </c>
      <c r="Q86" s="27" t="str">
        <f t="shared" si="6"/>
        <v/>
      </c>
      <c r="R86" s="35" t="str">
        <f t="shared" si="7"/>
        <v/>
      </c>
      <c r="S86" s="31" t="str">
        <f t="shared" si="8"/>
        <v/>
      </c>
      <c r="T86" s="28" t="str">
        <f t="shared" si="9"/>
        <v/>
      </c>
    </row>
    <row r="87" ht="15.75" customHeight="1">
      <c r="A87" s="23"/>
      <c r="B87" s="23"/>
      <c r="C87" s="24"/>
      <c r="D87" s="24"/>
      <c r="E87" s="26"/>
      <c r="F87" s="27" t="str">
        <f t="shared" si="1"/>
        <v/>
      </c>
      <c r="G87" s="29" t="str">
        <f t="array" ref="G87">IF($A87="","",IFERROR(INDEX('2. Plot &amp; Core Log'!$M$6:$M$35,MATCH($A87,'2. Plot &amp; Core Log'!$B$6:$B$35,0)),""))</f>
        <v/>
      </c>
      <c r="H87" s="30" t="str">
        <f t="array" ref="H87">IF($A87="","",IFERROR(INDEX('2. Plot &amp; Core Log'!$J$6:$J$35,MATCH($A87,'2. Plot &amp; Core Log'!$B$6:$B$35,0)),""))</f>
        <v/>
      </c>
      <c r="I87" s="27" t="str">
        <f t="shared" si="2"/>
        <v/>
      </c>
      <c r="J87" s="27" t="str">
        <f t="shared" si="3"/>
        <v/>
      </c>
      <c r="K87" s="27" t="str">
        <f t="shared" si="4"/>
        <v/>
      </c>
      <c r="L87" s="32"/>
      <c r="M87" s="32"/>
      <c r="N87" s="34"/>
      <c r="O87" s="27" t="str">
        <f t="shared" si="10"/>
        <v/>
      </c>
      <c r="P87" s="28" t="str">
        <f t="shared" si="5"/>
        <v/>
      </c>
      <c r="Q87" s="27" t="str">
        <f t="shared" si="6"/>
        <v/>
      </c>
      <c r="R87" s="35" t="str">
        <f t="shared" si="7"/>
        <v/>
      </c>
      <c r="S87" s="31" t="str">
        <f t="shared" si="8"/>
        <v/>
      </c>
      <c r="T87" s="28" t="str">
        <f t="shared" si="9"/>
        <v/>
      </c>
    </row>
    <row r="88" ht="15.75" customHeight="1">
      <c r="A88" s="23"/>
      <c r="B88" s="23"/>
      <c r="C88" s="24"/>
      <c r="D88" s="24"/>
      <c r="E88" s="26"/>
      <c r="F88" s="27" t="str">
        <f t="shared" si="1"/>
        <v/>
      </c>
      <c r="G88" s="29" t="str">
        <f t="array" ref="G88">IF($A88="","",IFERROR(INDEX('2. Plot &amp; Core Log'!$M$6:$M$35,MATCH($A88,'2. Plot &amp; Core Log'!$B$6:$B$35,0)),""))</f>
        <v/>
      </c>
      <c r="H88" s="30" t="str">
        <f t="array" ref="H88">IF($A88="","",IFERROR(INDEX('2. Plot &amp; Core Log'!$J$6:$J$35,MATCH($A88,'2. Plot &amp; Core Log'!$B$6:$B$35,0)),""))</f>
        <v/>
      </c>
      <c r="I88" s="27" t="str">
        <f t="shared" si="2"/>
        <v/>
      </c>
      <c r="J88" s="27" t="str">
        <f t="shared" si="3"/>
        <v/>
      </c>
      <c r="K88" s="27" t="str">
        <f t="shared" si="4"/>
        <v/>
      </c>
      <c r="L88" s="32"/>
      <c r="M88" s="32"/>
      <c r="N88" s="34"/>
      <c r="O88" s="27" t="str">
        <f t="shared" si="10"/>
        <v/>
      </c>
      <c r="P88" s="28" t="str">
        <f t="shared" si="5"/>
        <v/>
      </c>
      <c r="Q88" s="27" t="str">
        <f t="shared" si="6"/>
        <v/>
      </c>
      <c r="R88" s="35" t="str">
        <f t="shared" si="7"/>
        <v/>
      </c>
      <c r="S88" s="31" t="str">
        <f t="shared" si="8"/>
        <v/>
      </c>
      <c r="T88" s="28" t="str">
        <f t="shared" si="9"/>
        <v/>
      </c>
    </row>
    <row r="89" ht="15.75" customHeight="1">
      <c r="A89" s="23"/>
      <c r="B89" s="23"/>
      <c r="C89" s="24"/>
      <c r="D89" s="24"/>
      <c r="E89" s="26"/>
      <c r="F89" s="27" t="str">
        <f t="shared" si="1"/>
        <v/>
      </c>
      <c r="G89" s="29" t="str">
        <f t="array" ref="G89">IF($A89="","",IFERROR(INDEX('2. Plot &amp; Core Log'!$M$6:$M$35,MATCH($A89,'2. Plot &amp; Core Log'!$B$6:$B$35,0)),""))</f>
        <v/>
      </c>
      <c r="H89" s="30" t="str">
        <f t="array" ref="H89">IF($A89="","",IFERROR(INDEX('2. Plot &amp; Core Log'!$J$6:$J$35,MATCH($A89,'2. Plot &amp; Core Log'!$B$6:$B$35,0)),""))</f>
        <v/>
      </c>
      <c r="I89" s="27" t="str">
        <f t="shared" si="2"/>
        <v/>
      </c>
      <c r="J89" s="27" t="str">
        <f t="shared" si="3"/>
        <v/>
      </c>
      <c r="K89" s="27" t="str">
        <f t="shared" si="4"/>
        <v/>
      </c>
      <c r="L89" s="32"/>
      <c r="M89" s="32"/>
      <c r="N89" s="34"/>
      <c r="O89" s="27" t="str">
        <f t="shared" si="10"/>
        <v/>
      </c>
      <c r="P89" s="28" t="str">
        <f t="shared" si="5"/>
        <v/>
      </c>
      <c r="Q89" s="27" t="str">
        <f t="shared" si="6"/>
        <v/>
      </c>
      <c r="R89" s="35" t="str">
        <f t="shared" si="7"/>
        <v/>
      </c>
      <c r="S89" s="31" t="str">
        <f t="shared" si="8"/>
        <v/>
      </c>
      <c r="T89" s="28" t="str">
        <f t="shared" si="9"/>
        <v/>
      </c>
    </row>
    <row r="90" ht="15.75" customHeight="1">
      <c r="A90" s="23"/>
      <c r="B90" s="23"/>
      <c r="C90" s="24"/>
      <c r="D90" s="24"/>
      <c r="E90" s="26"/>
      <c r="F90" s="27" t="str">
        <f t="shared" si="1"/>
        <v/>
      </c>
      <c r="G90" s="29" t="str">
        <f t="array" ref="G90">IF($A90="","",IFERROR(INDEX('2. Plot &amp; Core Log'!$M$6:$M$35,MATCH($A90,'2. Plot &amp; Core Log'!$B$6:$B$35,0)),""))</f>
        <v/>
      </c>
      <c r="H90" s="30" t="str">
        <f t="array" ref="H90">IF($A90="","",IFERROR(INDEX('2. Plot &amp; Core Log'!$J$6:$J$35,MATCH($A90,'2. Plot &amp; Core Log'!$B$6:$B$35,0)),""))</f>
        <v/>
      </c>
      <c r="I90" s="27" t="str">
        <f t="shared" si="2"/>
        <v/>
      </c>
      <c r="J90" s="27" t="str">
        <f t="shared" si="3"/>
        <v/>
      </c>
      <c r="K90" s="27" t="str">
        <f t="shared" si="4"/>
        <v/>
      </c>
      <c r="L90" s="32"/>
      <c r="M90" s="32"/>
      <c r="N90" s="34"/>
      <c r="O90" s="27" t="str">
        <f t="shared" si="10"/>
        <v/>
      </c>
      <c r="P90" s="28" t="str">
        <f t="shared" si="5"/>
        <v/>
      </c>
      <c r="Q90" s="27" t="str">
        <f t="shared" si="6"/>
        <v/>
      </c>
      <c r="R90" s="35" t="str">
        <f t="shared" si="7"/>
        <v/>
      </c>
      <c r="S90" s="31" t="str">
        <f t="shared" si="8"/>
        <v/>
      </c>
      <c r="T90" s="28" t="str">
        <f t="shared" si="9"/>
        <v/>
      </c>
    </row>
    <row r="91" ht="15.75" customHeight="1">
      <c r="A91" s="23"/>
      <c r="B91" s="23"/>
      <c r="C91" s="24"/>
      <c r="D91" s="24"/>
      <c r="E91" s="26"/>
      <c r="F91" s="27" t="str">
        <f t="shared" si="1"/>
        <v/>
      </c>
      <c r="G91" s="29" t="str">
        <f t="array" ref="G91">IF($A91="","",IFERROR(INDEX('2. Plot &amp; Core Log'!$M$6:$M$35,MATCH($A91,'2. Plot &amp; Core Log'!$B$6:$B$35,0)),""))</f>
        <v/>
      </c>
      <c r="H91" s="30" t="str">
        <f t="array" ref="H91">IF($A91="","",IFERROR(INDEX('2. Plot &amp; Core Log'!$J$6:$J$35,MATCH($A91,'2. Plot &amp; Core Log'!$B$6:$B$35,0)),""))</f>
        <v/>
      </c>
      <c r="I91" s="27" t="str">
        <f t="shared" si="2"/>
        <v/>
      </c>
      <c r="J91" s="27" t="str">
        <f t="shared" si="3"/>
        <v/>
      </c>
      <c r="K91" s="27" t="str">
        <f t="shared" si="4"/>
        <v/>
      </c>
      <c r="L91" s="32"/>
      <c r="M91" s="32"/>
      <c r="N91" s="34"/>
      <c r="O91" s="27" t="str">
        <f t="shared" si="10"/>
        <v/>
      </c>
      <c r="P91" s="28" t="str">
        <f t="shared" si="5"/>
        <v/>
      </c>
      <c r="Q91" s="27" t="str">
        <f t="shared" si="6"/>
        <v/>
      </c>
      <c r="R91" s="35" t="str">
        <f t="shared" si="7"/>
        <v/>
      </c>
      <c r="S91" s="31" t="str">
        <f t="shared" si="8"/>
        <v/>
      </c>
      <c r="T91" s="28" t="str">
        <f t="shared" si="9"/>
        <v/>
      </c>
    </row>
    <row r="92" ht="15.75" customHeight="1">
      <c r="A92" s="23"/>
      <c r="B92" s="23"/>
      <c r="C92" s="24"/>
      <c r="D92" s="24"/>
      <c r="E92" s="26"/>
      <c r="F92" s="27" t="str">
        <f t="shared" si="1"/>
        <v/>
      </c>
      <c r="G92" s="29" t="str">
        <f t="array" ref="G92">IF($A92="","",IFERROR(INDEX('2. Plot &amp; Core Log'!$M$6:$M$35,MATCH($A92,'2. Plot &amp; Core Log'!$B$6:$B$35,0)),""))</f>
        <v/>
      </c>
      <c r="H92" s="30" t="str">
        <f t="array" ref="H92">IF($A92="","",IFERROR(INDEX('2. Plot &amp; Core Log'!$J$6:$J$35,MATCH($A92,'2. Plot &amp; Core Log'!$B$6:$B$35,0)),""))</f>
        <v/>
      </c>
      <c r="I92" s="27" t="str">
        <f t="shared" si="2"/>
        <v/>
      </c>
      <c r="J92" s="27" t="str">
        <f t="shared" si="3"/>
        <v/>
      </c>
      <c r="K92" s="27" t="str">
        <f t="shared" si="4"/>
        <v/>
      </c>
      <c r="L92" s="32"/>
      <c r="M92" s="32"/>
      <c r="N92" s="34"/>
      <c r="O92" s="27" t="str">
        <f t="shared" si="10"/>
        <v/>
      </c>
      <c r="P92" s="28" t="str">
        <f t="shared" si="5"/>
        <v/>
      </c>
      <c r="Q92" s="27" t="str">
        <f t="shared" si="6"/>
        <v/>
      </c>
      <c r="R92" s="35" t="str">
        <f t="shared" si="7"/>
        <v/>
      </c>
      <c r="S92" s="31" t="str">
        <f t="shared" si="8"/>
        <v/>
      </c>
      <c r="T92" s="28" t="str">
        <f t="shared" si="9"/>
        <v/>
      </c>
    </row>
    <row r="93" ht="15.75" customHeight="1">
      <c r="A93" s="23"/>
      <c r="B93" s="23"/>
      <c r="C93" s="24"/>
      <c r="D93" s="24"/>
      <c r="E93" s="26"/>
      <c r="F93" s="27" t="str">
        <f t="shared" si="1"/>
        <v/>
      </c>
      <c r="G93" s="29" t="str">
        <f t="array" ref="G93">IF($A93="","",IFERROR(INDEX('2. Plot &amp; Core Log'!$M$6:$M$35,MATCH($A93,'2. Plot &amp; Core Log'!$B$6:$B$35,0)),""))</f>
        <v/>
      </c>
      <c r="H93" s="30" t="str">
        <f t="array" ref="H93">IF($A93="","",IFERROR(INDEX('2. Plot &amp; Core Log'!$J$6:$J$35,MATCH($A93,'2. Plot &amp; Core Log'!$B$6:$B$35,0)),""))</f>
        <v/>
      </c>
      <c r="I93" s="27" t="str">
        <f t="shared" si="2"/>
        <v/>
      </c>
      <c r="J93" s="27" t="str">
        <f t="shared" si="3"/>
        <v/>
      </c>
      <c r="K93" s="27" t="str">
        <f t="shared" si="4"/>
        <v/>
      </c>
      <c r="L93" s="32"/>
      <c r="M93" s="32"/>
      <c r="N93" s="34"/>
      <c r="O93" s="27" t="str">
        <f t="shared" si="10"/>
        <v/>
      </c>
      <c r="P93" s="28" t="str">
        <f t="shared" si="5"/>
        <v/>
      </c>
      <c r="Q93" s="27" t="str">
        <f t="shared" si="6"/>
        <v/>
      </c>
      <c r="R93" s="35" t="str">
        <f t="shared" si="7"/>
        <v/>
      </c>
      <c r="S93" s="31" t="str">
        <f t="shared" si="8"/>
        <v/>
      </c>
      <c r="T93" s="28" t="str">
        <f t="shared" si="9"/>
        <v/>
      </c>
    </row>
    <row r="94" ht="15.75" customHeight="1">
      <c r="A94" s="23"/>
      <c r="B94" s="23"/>
      <c r="C94" s="24"/>
      <c r="D94" s="24"/>
      <c r="E94" s="26"/>
      <c r="F94" s="27" t="str">
        <f t="shared" si="1"/>
        <v/>
      </c>
      <c r="G94" s="29" t="str">
        <f t="array" ref="G94">IF($A94="","",IFERROR(INDEX('2. Plot &amp; Core Log'!$M$6:$M$35,MATCH($A94,'2. Plot &amp; Core Log'!$B$6:$B$35,0)),""))</f>
        <v/>
      </c>
      <c r="H94" s="30" t="str">
        <f t="array" ref="H94">IF($A94="","",IFERROR(INDEX('2. Plot &amp; Core Log'!$J$6:$J$35,MATCH($A94,'2. Plot &amp; Core Log'!$B$6:$B$35,0)),""))</f>
        <v/>
      </c>
      <c r="I94" s="27" t="str">
        <f t="shared" si="2"/>
        <v/>
      </c>
      <c r="J94" s="27" t="str">
        <f t="shared" si="3"/>
        <v/>
      </c>
      <c r="K94" s="27" t="str">
        <f t="shared" si="4"/>
        <v/>
      </c>
      <c r="L94" s="32"/>
      <c r="M94" s="32"/>
      <c r="N94" s="34"/>
      <c r="O94" s="27" t="str">
        <f t="shared" si="10"/>
        <v/>
      </c>
      <c r="P94" s="28" t="str">
        <f t="shared" si="5"/>
        <v/>
      </c>
      <c r="Q94" s="27" t="str">
        <f t="shared" si="6"/>
        <v/>
      </c>
      <c r="R94" s="35" t="str">
        <f t="shared" si="7"/>
        <v/>
      </c>
      <c r="S94" s="31" t="str">
        <f t="shared" si="8"/>
        <v/>
      </c>
      <c r="T94" s="28" t="str">
        <f t="shared" si="9"/>
        <v/>
      </c>
    </row>
    <row r="95" ht="15.75" customHeight="1">
      <c r="A95" s="23"/>
      <c r="B95" s="23"/>
      <c r="C95" s="24"/>
      <c r="D95" s="24"/>
      <c r="E95" s="26"/>
      <c r="F95" s="27" t="str">
        <f t="shared" si="1"/>
        <v/>
      </c>
      <c r="G95" s="29" t="str">
        <f t="array" ref="G95">IF($A95="","",IFERROR(INDEX('2. Plot &amp; Core Log'!$M$6:$M$35,MATCH($A95,'2. Plot &amp; Core Log'!$B$6:$B$35,0)),""))</f>
        <v/>
      </c>
      <c r="H95" s="30" t="str">
        <f t="array" ref="H95">IF($A95="","",IFERROR(INDEX('2. Plot &amp; Core Log'!$J$6:$J$35,MATCH($A95,'2. Plot &amp; Core Log'!$B$6:$B$35,0)),""))</f>
        <v/>
      </c>
      <c r="I95" s="27" t="str">
        <f t="shared" si="2"/>
        <v/>
      </c>
      <c r="J95" s="27" t="str">
        <f t="shared" si="3"/>
        <v/>
      </c>
      <c r="K95" s="27" t="str">
        <f t="shared" si="4"/>
        <v/>
      </c>
      <c r="L95" s="32"/>
      <c r="M95" s="32"/>
      <c r="N95" s="34"/>
      <c r="O95" s="27" t="str">
        <f t="shared" si="10"/>
        <v/>
      </c>
      <c r="P95" s="28" t="str">
        <f t="shared" si="5"/>
        <v/>
      </c>
      <c r="Q95" s="27" t="str">
        <f t="shared" si="6"/>
        <v/>
      </c>
      <c r="R95" s="35" t="str">
        <f t="shared" si="7"/>
        <v/>
      </c>
      <c r="S95" s="31" t="str">
        <f t="shared" si="8"/>
        <v/>
      </c>
      <c r="T95" s="28" t="str">
        <f t="shared" si="9"/>
        <v/>
      </c>
    </row>
    <row r="96" ht="15.75" customHeight="1">
      <c r="A96" s="23"/>
      <c r="B96" s="23"/>
      <c r="C96" s="24"/>
      <c r="D96" s="24"/>
      <c r="E96" s="26"/>
      <c r="F96" s="27" t="str">
        <f t="shared" si="1"/>
        <v/>
      </c>
      <c r="G96" s="29" t="str">
        <f t="array" ref="G96">IF($A96="","",IFERROR(INDEX('2. Plot &amp; Core Log'!$M$6:$M$35,MATCH($A96,'2. Plot &amp; Core Log'!$B$6:$B$35,0)),""))</f>
        <v/>
      </c>
      <c r="H96" s="30" t="str">
        <f t="array" ref="H96">IF($A96="","",IFERROR(INDEX('2. Plot &amp; Core Log'!$J$6:$J$35,MATCH($A96,'2. Plot &amp; Core Log'!$B$6:$B$35,0)),""))</f>
        <v/>
      </c>
      <c r="I96" s="27" t="str">
        <f t="shared" si="2"/>
        <v/>
      </c>
      <c r="J96" s="27" t="str">
        <f t="shared" si="3"/>
        <v/>
      </c>
      <c r="K96" s="27" t="str">
        <f t="shared" si="4"/>
        <v/>
      </c>
      <c r="L96" s="32"/>
      <c r="M96" s="32"/>
      <c r="N96" s="34"/>
      <c r="O96" s="27" t="str">
        <f t="shared" si="10"/>
        <v/>
      </c>
      <c r="P96" s="28" t="str">
        <f t="shared" si="5"/>
        <v/>
      </c>
      <c r="Q96" s="27" t="str">
        <f t="shared" si="6"/>
        <v/>
      </c>
      <c r="R96" s="35" t="str">
        <f t="shared" si="7"/>
        <v/>
      </c>
      <c r="S96" s="31" t="str">
        <f t="shared" si="8"/>
        <v/>
      </c>
      <c r="T96" s="28" t="str">
        <f t="shared" si="9"/>
        <v/>
      </c>
    </row>
    <row r="97" ht="15.75" customHeight="1">
      <c r="A97" s="23"/>
      <c r="B97" s="23"/>
      <c r="C97" s="24"/>
      <c r="D97" s="24"/>
      <c r="E97" s="26"/>
      <c r="F97" s="27" t="str">
        <f t="shared" si="1"/>
        <v/>
      </c>
      <c r="G97" s="29" t="str">
        <f t="array" ref="G97">IF($A97="","",IFERROR(INDEX('2. Plot &amp; Core Log'!$M$6:$M$35,MATCH($A97,'2. Plot &amp; Core Log'!$B$6:$B$35,0)),""))</f>
        <v/>
      </c>
      <c r="H97" s="30" t="str">
        <f t="array" ref="H97">IF($A97="","",IFERROR(INDEX('2. Plot &amp; Core Log'!$J$6:$J$35,MATCH($A97,'2. Plot &amp; Core Log'!$B$6:$B$35,0)),""))</f>
        <v/>
      </c>
      <c r="I97" s="27" t="str">
        <f t="shared" si="2"/>
        <v/>
      </c>
      <c r="J97" s="27" t="str">
        <f t="shared" si="3"/>
        <v/>
      </c>
      <c r="K97" s="27" t="str">
        <f t="shared" si="4"/>
        <v/>
      </c>
      <c r="L97" s="32"/>
      <c r="M97" s="32"/>
      <c r="N97" s="34"/>
      <c r="O97" s="27" t="str">
        <f t="shared" si="10"/>
        <v/>
      </c>
      <c r="P97" s="28" t="str">
        <f t="shared" si="5"/>
        <v/>
      </c>
      <c r="Q97" s="27" t="str">
        <f t="shared" si="6"/>
        <v/>
      </c>
      <c r="R97" s="35" t="str">
        <f t="shared" si="7"/>
        <v/>
      </c>
      <c r="S97" s="31" t="str">
        <f t="shared" si="8"/>
        <v/>
      </c>
      <c r="T97" s="28" t="str">
        <f t="shared" si="9"/>
        <v/>
      </c>
    </row>
    <row r="98" ht="15.75" customHeight="1">
      <c r="A98" s="23"/>
      <c r="B98" s="23"/>
      <c r="C98" s="24"/>
      <c r="D98" s="24"/>
      <c r="E98" s="26"/>
      <c r="F98" s="27" t="str">
        <f t="shared" si="1"/>
        <v/>
      </c>
      <c r="G98" s="29" t="str">
        <f t="array" ref="G98">IF($A98="","",IFERROR(INDEX('2. Plot &amp; Core Log'!$M$6:$M$35,MATCH($A98,'2. Plot &amp; Core Log'!$B$6:$B$35,0)),""))</f>
        <v/>
      </c>
      <c r="H98" s="30" t="str">
        <f t="array" ref="H98">IF($A98="","",IFERROR(INDEX('2. Plot &amp; Core Log'!$J$6:$J$35,MATCH($A98,'2. Plot &amp; Core Log'!$B$6:$B$35,0)),""))</f>
        <v/>
      </c>
      <c r="I98" s="27" t="str">
        <f t="shared" si="2"/>
        <v/>
      </c>
      <c r="J98" s="27" t="str">
        <f t="shared" si="3"/>
        <v/>
      </c>
      <c r="K98" s="27" t="str">
        <f t="shared" si="4"/>
        <v/>
      </c>
      <c r="L98" s="32"/>
      <c r="M98" s="32"/>
      <c r="N98" s="34"/>
      <c r="O98" s="27" t="str">
        <f t="shared" si="10"/>
        <v/>
      </c>
      <c r="P98" s="28" t="str">
        <f t="shared" si="5"/>
        <v/>
      </c>
      <c r="Q98" s="27" t="str">
        <f t="shared" si="6"/>
        <v/>
      </c>
      <c r="R98" s="35" t="str">
        <f t="shared" si="7"/>
        <v/>
      </c>
      <c r="S98" s="31" t="str">
        <f t="shared" si="8"/>
        <v/>
      </c>
      <c r="T98" s="28" t="str">
        <f t="shared" si="9"/>
        <v/>
      </c>
    </row>
    <row r="99" ht="15.75" customHeight="1">
      <c r="A99" s="23"/>
      <c r="B99" s="23"/>
      <c r="C99" s="24"/>
      <c r="D99" s="24"/>
      <c r="E99" s="26"/>
      <c r="F99" s="27" t="str">
        <f t="shared" si="1"/>
        <v/>
      </c>
      <c r="G99" s="29" t="str">
        <f t="array" ref="G99">IF($A99="","",IFERROR(INDEX('2. Plot &amp; Core Log'!$M$6:$M$35,MATCH($A99,'2. Plot &amp; Core Log'!$B$6:$B$35,0)),""))</f>
        <v/>
      </c>
      <c r="H99" s="30" t="str">
        <f t="array" ref="H99">IF($A99="","",IFERROR(INDEX('2. Plot &amp; Core Log'!$J$6:$J$35,MATCH($A99,'2. Plot &amp; Core Log'!$B$6:$B$35,0)),""))</f>
        <v/>
      </c>
      <c r="I99" s="27" t="str">
        <f t="shared" si="2"/>
        <v/>
      </c>
      <c r="J99" s="27" t="str">
        <f t="shared" si="3"/>
        <v/>
      </c>
      <c r="K99" s="27" t="str">
        <f t="shared" si="4"/>
        <v/>
      </c>
      <c r="L99" s="32"/>
      <c r="M99" s="32"/>
      <c r="N99" s="34"/>
      <c r="O99" s="27" t="str">
        <f t="shared" si="10"/>
        <v/>
      </c>
      <c r="P99" s="28" t="str">
        <f t="shared" si="5"/>
        <v/>
      </c>
      <c r="Q99" s="27" t="str">
        <f t="shared" si="6"/>
        <v/>
      </c>
      <c r="R99" s="35" t="str">
        <f t="shared" si="7"/>
        <v/>
      </c>
      <c r="S99" s="31" t="str">
        <f t="shared" si="8"/>
        <v/>
      </c>
      <c r="T99" s="28" t="str">
        <f t="shared" si="9"/>
        <v/>
      </c>
    </row>
    <row r="100" ht="15.75" customHeight="1">
      <c r="A100" s="23"/>
      <c r="B100" s="23"/>
      <c r="C100" s="24"/>
      <c r="D100" s="24"/>
      <c r="E100" s="26"/>
      <c r="F100" s="27" t="str">
        <f t="shared" si="1"/>
        <v/>
      </c>
      <c r="G100" s="29" t="str">
        <f t="array" ref="G100">IF($A100="","",IFERROR(INDEX('2. Plot &amp; Core Log'!$M$6:$M$35,MATCH($A100,'2. Plot &amp; Core Log'!$B$6:$B$35,0)),""))</f>
        <v/>
      </c>
      <c r="H100" s="30" t="str">
        <f t="array" ref="H100">IF($A100="","",IFERROR(INDEX('2. Plot &amp; Core Log'!$J$6:$J$35,MATCH($A100,'2. Plot &amp; Core Log'!$B$6:$B$35,0)),""))</f>
        <v/>
      </c>
      <c r="I100" s="27" t="str">
        <f t="shared" si="2"/>
        <v/>
      </c>
      <c r="J100" s="27" t="str">
        <f t="shared" si="3"/>
        <v/>
      </c>
      <c r="K100" s="27" t="str">
        <f t="shared" si="4"/>
        <v/>
      </c>
      <c r="L100" s="32"/>
      <c r="M100" s="32"/>
      <c r="N100" s="34"/>
      <c r="O100" s="27" t="str">
        <f t="shared" si="10"/>
        <v/>
      </c>
      <c r="P100" s="28" t="str">
        <f t="shared" si="5"/>
        <v/>
      </c>
      <c r="Q100" s="27" t="str">
        <f t="shared" si="6"/>
        <v/>
      </c>
      <c r="R100" s="35" t="str">
        <f t="shared" si="7"/>
        <v/>
      </c>
      <c r="S100" s="31" t="str">
        <f t="shared" si="8"/>
        <v/>
      </c>
      <c r="T100" s="28" t="str">
        <f t="shared" si="9"/>
        <v/>
      </c>
    </row>
    <row r="101" ht="15.75" customHeight="1">
      <c r="A101" s="23"/>
      <c r="B101" s="23"/>
      <c r="C101" s="24"/>
      <c r="D101" s="24"/>
      <c r="E101" s="26"/>
      <c r="F101" s="27" t="str">
        <f t="shared" si="1"/>
        <v/>
      </c>
      <c r="G101" s="29" t="str">
        <f t="array" ref="G101">IF($A101="","",IFERROR(INDEX('2. Plot &amp; Core Log'!$M$6:$M$35,MATCH($A101,'2. Plot &amp; Core Log'!$B$6:$B$35,0)),""))</f>
        <v/>
      </c>
      <c r="H101" s="30" t="str">
        <f t="array" ref="H101">IF($A101="","",IFERROR(INDEX('2. Plot &amp; Core Log'!$J$6:$J$35,MATCH($A101,'2. Plot &amp; Core Log'!$B$6:$B$35,0)),""))</f>
        <v/>
      </c>
      <c r="I101" s="27" t="str">
        <f t="shared" si="2"/>
        <v/>
      </c>
      <c r="J101" s="27" t="str">
        <f t="shared" si="3"/>
        <v/>
      </c>
      <c r="K101" s="27" t="str">
        <f t="shared" si="4"/>
        <v/>
      </c>
      <c r="L101" s="32"/>
      <c r="M101" s="32"/>
      <c r="N101" s="34"/>
      <c r="O101" s="27" t="str">
        <f t="shared" si="10"/>
        <v/>
      </c>
      <c r="P101" s="28" t="str">
        <f t="shared" si="5"/>
        <v/>
      </c>
      <c r="Q101" s="27" t="str">
        <f t="shared" si="6"/>
        <v/>
      </c>
      <c r="R101" s="35" t="str">
        <f t="shared" si="7"/>
        <v/>
      </c>
      <c r="S101" s="31" t="str">
        <f t="shared" si="8"/>
        <v/>
      </c>
      <c r="T101" s="28" t="str">
        <f t="shared" si="9"/>
        <v/>
      </c>
    </row>
    <row r="102" ht="15.75" customHeight="1">
      <c r="A102" s="23"/>
      <c r="B102" s="23"/>
      <c r="C102" s="24"/>
      <c r="D102" s="24"/>
      <c r="E102" s="26"/>
      <c r="F102" s="27" t="str">
        <f t="shared" si="1"/>
        <v/>
      </c>
      <c r="G102" s="29" t="str">
        <f t="array" ref="G102">IF($A102="","",IFERROR(INDEX('2. Plot &amp; Core Log'!$M$6:$M$35,MATCH($A102,'2. Plot &amp; Core Log'!$B$6:$B$35,0)),""))</f>
        <v/>
      </c>
      <c r="H102" s="30" t="str">
        <f t="array" ref="H102">IF($A102="","",IFERROR(INDEX('2. Plot &amp; Core Log'!$J$6:$J$35,MATCH($A102,'2. Plot &amp; Core Log'!$B$6:$B$35,0)),""))</f>
        <v/>
      </c>
      <c r="I102" s="27" t="str">
        <f t="shared" si="2"/>
        <v/>
      </c>
      <c r="J102" s="27" t="str">
        <f t="shared" si="3"/>
        <v/>
      </c>
      <c r="K102" s="27" t="str">
        <f t="shared" si="4"/>
        <v/>
      </c>
      <c r="L102" s="32"/>
      <c r="M102" s="32"/>
      <c r="N102" s="34"/>
      <c r="O102" s="27" t="str">
        <f t="shared" si="10"/>
        <v/>
      </c>
      <c r="P102" s="28" t="str">
        <f t="shared" si="5"/>
        <v/>
      </c>
      <c r="Q102" s="27" t="str">
        <f t="shared" si="6"/>
        <v/>
      </c>
      <c r="R102" s="35" t="str">
        <f t="shared" si="7"/>
        <v/>
      </c>
      <c r="S102" s="31" t="str">
        <f t="shared" si="8"/>
        <v/>
      </c>
      <c r="T102" s="28" t="str">
        <f t="shared" si="9"/>
        <v/>
      </c>
    </row>
    <row r="103" ht="15.75" customHeight="1">
      <c r="A103" s="23"/>
      <c r="B103" s="23"/>
      <c r="C103" s="24"/>
      <c r="D103" s="24"/>
      <c r="E103" s="26"/>
      <c r="F103" s="27" t="str">
        <f t="shared" si="1"/>
        <v/>
      </c>
      <c r="G103" s="29" t="str">
        <f t="array" ref="G103">IF($A103="","",IFERROR(INDEX('2. Plot &amp; Core Log'!$M$6:$M$35,MATCH($A103,'2. Plot &amp; Core Log'!$B$6:$B$35,0)),""))</f>
        <v/>
      </c>
      <c r="H103" s="30" t="str">
        <f t="array" ref="H103">IF($A103="","",IFERROR(INDEX('2. Plot &amp; Core Log'!$J$6:$J$35,MATCH($A103,'2. Plot &amp; Core Log'!$B$6:$B$35,0)),""))</f>
        <v/>
      </c>
      <c r="I103" s="27" t="str">
        <f t="shared" si="2"/>
        <v/>
      </c>
      <c r="J103" s="27" t="str">
        <f t="shared" si="3"/>
        <v/>
      </c>
      <c r="K103" s="27" t="str">
        <f t="shared" si="4"/>
        <v/>
      </c>
      <c r="L103" s="32"/>
      <c r="M103" s="32"/>
      <c r="N103" s="34"/>
      <c r="O103" s="27" t="str">
        <f t="shared" si="10"/>
        <v/>
      </c>
      <c r="P103" s="28" t="str">
        <f t="shared" si="5"/>
        <v/>
      </c>
      <c r="Q103" s="27" t="str">
        <f t="shared" si="6"/>
        <v/>
      </c>
      <c r="R103" s="35" t="str">
        <f t="shared" si="7"/>
        <v/>
      </c>
      <c r="S103" s="31" t="str">
        <f t="shared" si="8"/>
        <v/>
      </c>
      <c r="T103" s="28" t="str">
        <f t="shared" si="9"/>
        <v/>
      </c>
    </row>
    <row r="104" ht="15.75" customHeight="1">
      <c r="A104" s="23"/>
      <c r="B104" s="23"/>
      <c r="C104" s="24"/>
      <c r="D104" s="24"/>
      <c r="E104" s="26"/>
      <c r="F104" s="27" t="str">
        <f t="shared" si="1"/>
        <v/>
      </c>
      <c r="G104" s="29" t="str">
        <f t="array" ref="G104">IF($A104="","",IFERROR(INDEX('2. Plot &amp; Core Log'!$M$6:$M$35,MATCH($A104,'2. Plot &amp; Core Log'!$B$6:$B$35,0)),""))</f>
        <v/>
      </c>
      <c r="H104" s="30" t="str">
        <f t="array" ref="H104">IF($A104="","",IFERROR(INDEX('2. Plot &amp; Core Log'!$J$6:$J$35,MATCH($A104,'2. Plot &amp; Core Log'!$B$6:$B$35,0)),""))</f>
        <v/>
      </c>
      <c r="I104" s="27" t="str">
        <f t="shared" si="2"/>
        <v/>
      </c>
      <c r="J104" s="27" t="str">
        <f t="shared" si="3"/>
        <v/>
      </c>
      <c r="K104" s="27" t="str">
        <f t="shared" si="4"/>
        <v/>
      </c>
      <c r="L104" s="32"/>
      <c r="M104" s="32"/>
      <c r="N104" s="34"/>
      <c r="O104" s="27" t="str">
        <f t="shared" si="10"/>
        <v/>
      </c>
      <c r="P104" s="28" t="str">
        <f t="shared" si="5"/>
        <v/>
      </c>
      <c r="Q104" s="27" t="str">
        <f t="shared" si="6"/>
        <v/>
      </c>
      <c r="R104" s="35" t="str">
        <f t="shared" si="7"/>
        <v/>
      </c>
      <c r="S104" s="31" t="str">
        <f t="shared" si="8"/>
        <v/>
      </c>
      <c r="T104" s="28" t="str">
        <f t="shared" si="9"/>
        <v/>
      </c>
    </row>
    <row r="105" ht="15.75" customHeight="1">
      <c r="A105" s="23"/>
      <c r="B105" s="23"/>
      <c r="C105" s="24"/>
      <c r="D105" s="24"/>
      <c r="E105" s="26"/>
      <c r="F105" s="27" t="str">
        <f t="shared" si="1"/>
        <v/>
      </c>
      <c r="G105" s="29" t="str">
        <f t="array" ref="G105">IF($A105="","",IFERROR(INDEX('2. Plot &amp; Core Log'!$M$6:$M$35,MATCH($A105,'2. Plot &amp; Core Log'!$B$6:$B$35,0)),""))</f>
        <v/>
      </c>
      <c r="H105" s="30" t="str">
        <f t="array" ref="H105">IF($A105="","",IFERROR(INDEX('2. Plot &amp; Core Log'!$J$6:$J$35,MATCH($A105,'2. Plot &amp; Core Log'!$B$6:$B$35,0)),""))</f>
        <v/>
      </c>
      <c r="I105" s="27" t="str">
        <f t="shared" si="2"/>
        <v/>
      </c>
      <c r="J105" s="27" t="str">
        <f t="shared" si="3"/>
        <v/>
      </c>
      <c r="K105" s="27" t="str">
        <f t="shared" si="4"/>
        <v/>
      </c>
      <c r="L105" s="32"/>
      <c r="M105" s="32"/>
      <c r="N105" s="34"/>
      <c r="O105" s="27" t="str">
        <f t="shared" si="10"/>
        <v/>
      </c>
      <c r="P105" s="28" t="str">
        <f t="shared" si="5"/>
        <v/>
      </c>
      <c r="Q105" s="27" t="str">
        <f t="shared" si="6"/>
        <v/>
      </c>
      <c r="R105" s="35" t="str">
        <f t="shared" si="7"/>
        <v/>
      </c>
      <c r="S105" s="31" t="str">
        <f t="shared" si="8"/>
        <v/>
      </c>
      <c r="T105" s="28" t="str">
        <f t="shared" si="9"/>
        <v/>
      </c>
    </row>
    <row r="106" ht="15.75" customHeight="1">
      <c r="A106" s="23"/>
      <c r="B106" s="23"/>
      <c r="C106" s="24"/>
      <c r="D106" s="24"/>
      <c r="E106" s="26"/>
      <c r="F106" s="27" t="str">
        <f t="shared" si="1"/>
        <v/>
      </c>
      <c r="G106" s="29" t="str">
        <f t="array" ref="G106">IF($A106="","",IFERROR(INDEX('2. Plot &amp; Core Log'!$M$6:$M$35,MATCH($A106,'2. Plot &amp; Core Log'!$B$6:$B$35,0)),""))</f>
        <v/>
      </c>
      <c r="H106" s="30" t="str">
        <f t="array" ref="H106">IF($A106="","",IFERROR(INDEX('2. Plot &amp; Core Log'!$J$6:$J$35,MATCH($A106,'2. Plot &amp; Core Log'!$B$6:$B$35,0)),""))</f>
        <v/>
      </c>
      <c r="I106" s="27" t="str">
        <f t="shared" si="2"/>
        <v/>
      </c>
      <c r="J106" s="27" t="str">
        <f t="shared" si="3"/>
        <v/>
      </c>
      <c r="K106" s="27" t="str">
        <f t="shared" si="4"/>
        <v/>
      </c>
      <c r="L106" s="32"/>
      <c r="M106" s="32"/>
      <c r="N106" s="34"/>
      <c r="O106" s="27" t="str">
        <f t="shared" si="10"/>
        <v/>
      </c>
      <c r="P106" s="28" t="str">
        <f t="shared" si="5"/>
        <v/>
      </c>
      <c r="Q106" s="27" t="str">
        <f t="shared" si="6"/>
        <v/>
      </c>
      <c r="R106" s="35" t="str">
        <f t="shared" si="7"/>
        <v/>
      </c>
      <c r="S106" s="31" t="str">
        <f t="shared" si="8"/>
        <v/>
      </c>
      <c r="T106" s="28" t="str">
        <f t="shared" si="9"/>
        <v/>
      </c>
    </row>
    <row r="107" ht="15.75" customHeight="1">
      <c r="A107" s="23"/>
      <c r="B107" s="23"/>
      <c r="C107" s="24"/>
      <c r="D107" s="24"/>
      <c r="E107" s="26"/>
      <c r="F107" s="27" t="str">
        <f t="shared" si="1"/>
        <v/>
      </c>
      <c r="G107" s="29" t="str">
        <f t="array" ref="G107">IF($A107="","",IFERROR(INDEX('2. Plot &amp; Core Log'!$M$6:$M$35,MATCH($A107,'2. Plot &amp; Core Log'!$B$6:$B$35,0)),""))</f>
        <v/>
      </c>
      <c r="H107" s="30" t="str">
        <f t="array" ref="H107">IF($A107="","",IFERROR(INDEX('2. Plot &amp; Core Log'!$J$6:$J$35,MATCH($A107,'2. Plot &amp; Core Log'!$B$6:$B$35,0)),""))</f>
        <v/>
      </c>
      <c r="I107" s="27" t="str">
        <f t="shared" si="2"/>
        <v/>
      </c>
      <c r="J107" s="27" t="str">
        <f t="shared" si="3"/>
        <v/>
      </c>
      <c r="K107" s="27" t="str">
        <f t="shared" si="4"/>
        <v/>
      </c>
      <c r="L107" s="32"/>
      <c r="M107" s="32"/>
      <c r="N107" s="34"/>
      <c r="O107" s="27" t="str">
        <f t="shared" si="10"/>
        <v/>
      </c>
      <c r="P107" s="28" t="str">
        <f t="shared" si="5"/>
        <v/>
      </c>
      <c r="Q107" s="27" t="str">
        <f t="shared" si="6"/>
        <v/>
      </c>
      <c r="R107" s="35" t="str">
        <f t="shared" si="7"/>
        <v/>
      </c>
      <c r="S107" s="31" t="str">
        <f t="shared" si="8"/>
        <v/>
      </c>
      <c r="T107" s="28" t="str">
        <f t="shared" si="9"/>
        <v/>
      </c>
    </row>
    <row r="108" ht="15.75" customHeight="1">
      <c r="A108" s="23"/>
      <c r="B108" s="23"/>
      <c r="C108" s="24"/>
      <c r="D108" s="24"/>
      <c r="E108" s="26"/>
      <c r="F108" s="27" t="str">
        <f t="shared" si="1"/>
        <v/>
      </c>
      <c r="G108" s="29" t="str">
        <f t="array" ref="G108">IF($A108="","",IFERROR(INDEX('2. Plot &amp; Core Log'!$M$6:$M$35,MATCH($A108,'2. Plot &amp; Core Log'!$B$6:$B$35,0)),""))</f>
        <v/>
      </c>
      <c r="H108" s="30" t="str">
        <f t="array" ref="H108">IF($A108="","",IFERROR(INDEX('2. Plot &amp; Core Log'!$J$6:$J$35,MATCH($A108,'2. Plot &amp; Core Log'!$B$6:$B$35,0)),""))</f>
        <v/>
      </c>
      <c r="I108" s="27" t="str">
        <f t="shared" si="2"/>
        <v/>
      </c>
      <c r="J108" s="27" t="str">
        <f t="shared" si="3"/>
        <v/>
      </c>
      <c r="K108" s="27" t="str">
        <f t="shared" si="4"/>
        <v/>
      </c>
      <c r="L108" s="32"/>
      <c r="M108" s="32"/>
      <c r="N108" s="34"/>
      <c r="O108" s="27" t="str">
        <f t="shared" si="10"/>
        <v/>
      </c>
      <c r="P108" s="28" t="str">
        <f t="shared" si="5"/>
        <v/>
      </c>
      <c r="Q108" s="27" t="str">
        <f t="shared" si="6"/>
        <v/>
      </c>
      <c r="R108" s="35" t="str">
        <f t="shared" si="7"/>
        <v/>
      </c>
      <c r="S108" s="31" t="str">
        <f t="shared" si="8"/>
        <v/>
      </c>
      <c r="T108" s="28" t="str">
        <f t="shared" si="9"/>
        <v/>
      </c>
    </row>
    <row r="109" ht="15.75" customHeight="1">
      <c r="A109" s="23"/>
      <c r="B109" s="23"/>
      <c r="C109" s="24"/>
      <c r="D109" s="24"/>
      <c r="E109" s="26"/>
      <c r="F109" s="27" t="str">
        <f t="shared" si="1"/>
        <v/>
      </c>
      <c r="G109" s="29" t="str">
        <f t="array" ref="G109">IF($A109="","",IFERROR(INDEX('2. Plot &amp; Core Log'!$M$6:$M$35,MATCH($A109,'2. Plot &amp; Core Log'!$B$6:$B$35,0)),""))</f>
        <v/>
      </c>
      <c r="H109" s="30" t="str">
        <f t="array" ref="H109">IF($A109="","",IFERROR(INDEX('2. Plot &amp; Core Log'!$J$6:$J$35,MATCH($A109,'2. Plot &amp; Core Log'!$B$6:$B$35,0)),""))</f>
        <v/>
      </c>
      <c r="I109" s="27" t="str">
        <f t="shared" si="2"/>
        <v/>
      </c>
      <c r="J109" s="27" t="str">
        <f t="shared" si="3"/>
        <v/>
      </c>
      <c r="K109" s="27" t="str">
        <f t="shared" si="4"/>
        <v/>
      </c>
      <c r="L109" s="32"/>
      <c r="M109" s="32"/>
      <c r="N109" s="34"/>
      <c r="O109" s="27" t="str">
        <f t="shared" si="10"/>
        <v/>
      </c>
      <c r="P109" s="28" t="str">
        <f t="shared" si="5"/>
        <v/>
      </c>
      <c r="Q109" s="27" t="str">
        <f t="shared" si="6"/>
        <v/>
      </c>
      <c r="R109" s="35" t="str">
        <f t="shared" si="7"/>
        <v/>
      </c>
      <c r="S109" s="31" t="str">
        <f t="shared" si="8"/>
        <v/>
      </c>
      <c r="T109" s="28" t="str">
        <f t="shared" si="9"/>
        <v/>
      </c>
    </row>
    <row r="110" ht="15.75" customHeight="1">
      <c r="A110" s="23"/>
      <c r="B110" s="23"/>
      <c r="C110" s="24"/>
      <c r="D110" s="24"/>
      <c r="E110" s="26"/>
      <c r="F110" s="27" t="str">
        <f t="shared" si="1"/>
        <v/>
      </c>
      <c r="G110" s="29" t="str">
        <f t="array" ref="G110">IF($A110="","",IFERROR(INDEX('2. Plot &amp; Core Log'!$M$6:$M$35,MATCH($A110,'2. Plot &amp; Core Log'!$B$6:$B$35,0)),""))</f>
        <v/>
      </c>
      <c r="H110" s="30" t="str">
        <f t="array" ref="H110">IF($A110="","",IFERROR(INDEX('2. Plot &amp; Core Log'!$J$6:$J$35,MATCH($A110,'2. Plot &amp; Core Log'!$B$6:$B$35,0)),""))</f>
        <v/>
      </c>
      <c r="I110" s="27" t="str">
        <f t="shared" si="2"/>
        <v/>
      </c>
      <c r="J110" s="27" t="str">
        <f t="shared" si="3"/>
        <v/>
      </c>
      <c r="K110" s="27" t="str">
        <f t="shared" si="4"/>
        <v/>
      </c>
      <c r="L110" s="32"/>
      <c r="M110" s="32"/>
      <c r="N110" s="34"/>
      <c r="O110" s="27" t="str">
        <f t="shared" si="10"/>
        <v/>
      </c>
      <c r="P110" s="28" t="str">
        <f t="shared" si="5"/>
        <v/>
      </c>
      <c r="Q110" s="27" t="str">
        <f t="shared" si="6"/>
        <v/>
      </c>
      <c r="R110" s="35" t="str">
        <f t="shared" si="7"/>
        <v/>
      </c>
      <c r="S110" s="31" t="str">
        <f t="shared" si="8"/>
        <v/>
      </c>
      <c r="T110" s="28" t="str">
        <f t="shared" si="9"/>
        <v/>
      </c>
    </row>
    <row r="111" ht="15.75" customHeight="1">
      <c r="A111" s="23"/>
      <c r="B111" s="23"/>
      <c r="C111" s="24"/>
      <c r="D111" s="24"/>
      <c r="E111" s="26"/>
      <c r="F111" s="27" t="str">
        <f t="shared" si="1"/>
        <v/>
      </c>
      <c r="G111" s="29" t="str">
        <f t="array" ref="G111">IF($A111="","",IFERROR(INDEX('2. Plot &amp; Core Log'!$M$6:$M$35,MATCH($A111,'2. Plot &amp; Core Log'!$B$6:$B$35,0)),""))</f>
        <v/>
      </c>
      <c r="H111" s="30" t="str">
        <f t="array" ref="H111">IF($A111="","",IFERROR(INDEX('2. Plot &amp; Core Log'!$J$6:$J$35,MATCH($A111,'2. Plot &amp; Core Log'!$B$6:$B$35,0)),""))</f>
        <v/>
      </c>
      <c r="I111" s="27" t="str">
        <f t="shared" si="2"/>
        <v/>
      </c>
      <c r="J111" s="27" t="str">
        <f t="shared" si="3"/>
        <v/>
      </c>
      <c r="K111" s="27" t="str">
        <f t="shared" si="4"/>
        <v/>
      </c>
      <c r="L111" s="32"/>
      <c r="M111" s="32"/>
      <c r="N111" s="34"/>
      <c r="O111" s="27" t="str">
        <f t="shared" si="10"/>
        <v/>
      </c>
      <c r="P111" s="28" t="str">
        <f t="shared" si="5"/>
        <v/>
      </c>
      <c r="Q111" s="27" t="str">
        <f t="shared" si="6"/>
        <v/>
      </c>
      <c r="R111" s="35" t="str">
        <f t="shared" si="7"/>
        <v/>
      </c>
      <c r="S111" s="31" t="str">
        <f t="shared" si="8"/>
        <v/>
      </c>
      <c r="T111" s="28" t="str">
        <f t="shared" si="9"/>
        <v/>
      </c>
    </row>
    <row r="112" ht="15.75" customHeight="1">
      <c r="A112" s="23"/>
      <c r="B112" s="23"/>
      <c r="C112" s="24"/>
      <c r="D112" s="24"/>
      <c r="E112" s="26"/>
      <c r="F112" s="27" t="str">
        <f t="shared" si="1"/>
        <v/>
      </c>
      <c r="G112" s="29" t="str">
        <f t="array" ref="G112">IF($A112="","",IFERROR(INDEX('2. Plot &amp; Core Log'!$M$6:$M$35,MATCH($A112,'2. Plot &amp; Core Log'!$B$6:$B$35,0)),""))</f>
        <v/>
      </c>
      <c r="H112" s="30" t="str">
        <f t="array" ref="H112">IF($A112="","",IFERROR(INDEX('2. Plot &amp; Core Log'!$J$6:$J$35,MATCH($A112,'2. Plot &amp; Core Log'!$B$6:$B$35,0)),""))</f>
        <v/>
      </c>
      <c r="I112" s="27" t="str">
        <f t="shared" si="2"/>
        <v/>
      </c>
      <c r="J112" s="27" t="str">
        <f t="shared" si="3"/>
        <v/>
      </c>
      <c r="K112" s="27" t="str">
        <f t="shared" si="4"/>
        <v/>
      </c>
      <c r="L112" s="32"/>
      <c r="M112" s="32"/>
      <c r="N112" s="34"/>
      <c r="O112" s="27" t="str">
        <f t="shared" si="10"/>
        <v/>
      </c>
      <c r="P112" s="28" t="str">
        <f t="shared" si="5"/>
        <v/>
      </c>
      <c r="Q112" s="27" t="str">
        <f t="shared" si="6"/>
        <v/>
      </c>
      <c r="R112" s="35" t="str">
        <f t="shared" si="7"/>
        <v/>
      </c>
      <c r="S112" s="31" t="str">
        <f t="shared" si="8"/>
        <v/>
      </c>
      <c r="T112" s="28" t="str">
        <f t="shared" si="9"/>
        <v/>
      </c>
    </row>
    <row r="113" ht="15.75" customHeight="1">
      <c r="A113" s="23"/>
      <c r="B113" s="23"/>
      <c r="C113" s="24"/>
      <c r="D113" s="24"/>
      <c r="E113" s="26"/>
      <c r="F113" s="27" t="str">
        <f t="shared" si="1"/>
        <v/>
      </c>
      <c r="G113" s="29" t="str">
        <f t="array" ref="G113">IF($A113="","",IFERROR(INDEX('2. Plot &amp; Core Log'!$M$6:$M$35,MATCH($A113,'2. Plot &amp; Core Log'!$B$6:$B$35,0)),""))</f>
        <v/>
      </c>
      <c r="H113" s="30" t="str">
        <f t="array" ref="H113">IF($A113="","",IFERROR(INDEX('2. Plot &amp; Core Log'!$J$6:$J$35,MATCH($A113,'2. Plot &amp; Core Log'!$B$6:$B$35,0)),""))</f>
        <v/>
      </c>
      <c r="I113" s="27" t="str">
        <f t="shared" si="2"/>
        <v/>
      </c>
      <c r="J113" s="27" t="str">
        <f t="shared" si="3"/>
        <v/>
      </c>
      <c r="K113" s="27" t="str">
        <f t="shared" si="4"/>
        <v/>
      </c>
      <c r="L113" s="32"/>
      <c r="M113" s="32"/>
      <c r="N113" s="34"/>
      <c r="O113" s="27" t="str">
        <f t="shared" si="10"/>
        <v/>
      </c>
      <c r="P113" s="28" t="str">
        <f t="shared" si="5"/>
        <v/>
      </c>
      <c r="Q113" s="27" t="str">
        <f t="shared" si="6"/>
        <v/>
      </c>
      <c r="R113" s="35" t="str">
        <f t="shared" si="7"/>
        <v/>
      </c>
      <c r="S113" s="31" t="str">
        <f t="shared" si="8"/>
        <v/>
      </c>
      <c r="T113" s="28" t="str">
        <f t="shared" si="9"/>
        <v/>
      </c>
    </row>
    <row r="114" ht="15.75" customHeight="1">
      <c r="A114" s="23"/>
      <c r="B114" s="23"/>
      <c r="C114" s="24"/>
      <c r="D114" s="24"/>
      <c r="E114" s="26"/>
      <c r="F114" s="27" t="str">
        <f t="shared" si="1"/>
        <v/>
      </c>
      <c r="G114" s="29" t="str">
        <f t="array" ref="G114">IF($A114="","",IFERROR(INDEX('2. Plot &amp; Core Log'!$M$6:$M$35,MATCH($A114,'2. Plot &amp; Core Log'!$B$6:$B$35,0)),""))</f>
        <v/>
      </c>
      <c r="H114" s="30" t="str">
        <f t="array" ref="H114">IF($A114="","",IFERROR(INDEX('2. Plot &amp; Core Log'!$J$6:$J$35,MATCH($A114,'2. Plot &amp; Core Log'!$B$6:$B$35,0)),""))</f>
        <v/>
      </c>
      <c r="I114" s="27" t="str">
        <f t="shared" si="2"/>
        <v/>
      </c>
      <c r="J114" s="27" t="str">
        <f t="shared" si="3"/>
        <v/>
      </c>
      <c r="K114" s="27" t="str">
        <f t="shared" si="4"/>
        <v/>
      </c>
      <c r="L114" s="32"/>
      <c r="M114" s="32"/>
      <c r="N114" s="34"/>
      <c r="O114" s="27" t="str">
        <f t="shared" si="10"/>
        <v/>
      </c>
      <c r="P114" s="28" t="str">
        <f t="shared" si="5"/>
        <v/>
      </c>
      <c r="Q114" s="27" t="str">
        <f t="shared" si="6"/>
        <v/>
      </c>
      <c r="R114" s="35" t="str">
        <f t="shared" si="7"/>
        <v/>
      </c>
      <c r="S114" s="31" t="str">
        <f t="shared" si="8"/>
        <v/>
      </c>
      <c r="T114" s="28" t="str">
        <f t="shared" si="9"/>
        <v/>
      </c>
    </row>
    <row r="115" ht="15.75" customHeight="1">
      <c r="A115" s="23"/>
      <c r="B115" s="23"/>
      <c r="C115" s="24"/>
      <c r="D115" s="24"/>
      <c r="E115" s="26"/>
      <c r="F115" s="27" t="str">
        <f t="shared" si="1"/>
        <v/>
      </c>
      <c r="G115" s="29" t="str">
        <f t="array" ref="G115">IF($A115="","",IFERROR(INDEX('2. Plot &amp; Core Log'!$M$6:$M$35,MATCH($A115,'2. Plot &amp; Core Log'!$B$6:$B$35,0)),""))</f>
        <v/>
      </c>
      <c r="H115" s="30" t="str">
        <f t="array" ref="H115">IF($A115="","",IFERROR(INDEX('2. Plot &amp; Core Log'!$J$6:$J$35,MATCH($A115,'2. Plot &amp; Core Log'!$B$6:$B$35,0)),""))</f>
        <v/>
      </c>
      <c r="I115" s="27" t="str">
        <f t="shared" si="2"/>
        <v/>
      </c>
      <c r="J115" s="27" t="str">
        <f t="shared" si="3"/>
        <v/>
      </c>
      <c r="K115" s="27" t="str">
        <f t="shared" si="4"/>
        <v/>
      </c>
      <c r="L115" s="32"/>
      <c r="M115" s="32"/>
      <c r="N115" s="34"/>
      <c r="O115" s="27" t="str">
        <f t="shared" si="10"/>
        <v/>
      </c>
      <c r="P115" s="28" t="str">
        <f t="shared" si="5"/>
        <v/>
      </c>
      <c r="Q115" s="27" t="str">
        <f t="shared" si="6"/>
        <v/>
      </c>
      <c r="R115" s="35" t="str">
        <f t="shared" si="7"/>
        <v/>
      </c>
      <c r="S115" s="31" t="str">
        <f t="shared" si="8"/>
        <v/>
      </c>
      <c r="T115" s="28" t="str">
        <f t="shared" si="9"/>
        <v/>
      </c>
    </row>
    <row r="116" ht="15.75" customHeight="1">
      <c r="A116" s="23"/>
      <c r="B116" s="23"/>
      <c r="C116" s="24"/>
      <c r="D116" s="24"/>
      <c r="E116" s="26"/>
      <c r="F116" s="27" t="str">
        <f t="shared" si="1"/>
        <v/>
      </c>
      <c r="G116" s="29" t="str">
        <f t="array" ref="G116">IF($A116="","",IFERROR(INDEX('2. Plot &amp; Core Log'!$M$6:$M$35,MATCH($A116,'2. Plot &amp; Core Log'!$B$6:$B$35,0)),""))</f>
        <v/>
      </c>
      <c r="H116" s="30" t="str">
        <f t="array" ref="H116">IF($A116="","",IFERROR(INDEX('2. Plot &amp; Core Log'!$J$6:$J$35,MATCH($A116,'2. Plot &amp; Core Log'!$B$6:$B$35,0)),""))</f>
        <v/>
      </c>
      <c r="I116" s="27" t="str">
        <f t="shared" si="2"/>
        <v/>
      </c>
      <c r="J116" s="27" t="str">
        <f t="shared" si="3"/>
        <v/>
      </c>
      <c r="K116" s="27" t="str">
        <f t="shared" si="4"/>
        <v/>
      </c>
      <c r="L116" s="32"/>
      <c r="M116" s="32"/>
      <c r="N116" s="34"/>
      <c r="O116" s="27" t="str">
        <f t="shared" si="10"/>
        <v/>
      </c>
      <c r="P116" s="28" t="str">
        <f t="shared" si="5"/>
        <v/>
      </c>
      <c r="Q116" s="27" t="str">
        <f t="shared" si="6"/>
        <v/>
      </c>
      <c r="R116" s="35" t="str">
        <f t="shared" si="7"/>
        <v/>
      </c>
      <c r="S116" s="31" t="str">
        <f t="shared" si="8"/>
        <v/>
      </c>
      <c r="T116" s="28" t="str">
        <f t="shared" si="9"/>
        <v/>
      </c>
    </row>
    <row r="117" ht="15.75" customHeight="1">
      <c r="A117" s="23"/>
      <c r="B117" s="23"/>
      <c r="C117" s="24"/>
      <c r="D117" s="24"/>
      <c r="E117" s="26"/>
      <c r="F117" s="27" t="str">
        <f t="shared" si="1"/>
        <v/>
      </c>
      <c r="G117" s="29" t="str">
        <f t="array" ref="G117">IF($A117="","",IFERROR(INDEX('2. Plot &amp; Core Log'!$M$6:$M$35,MATCH($A117,'2. Plot &amp; Core Log'!$B$6:$B$35,0)),""))</f>
        <v/>
      </c>
      <c r="H117" s="30" t="str">
        <f t="array" ref="H117">IF($A117="","",IFERROR(INDEX('2. Plot &amp; Core Log'!$J$6:$J$35,MATCH($A117,'2. Plot &amp; Core Log'!$B$6:$B$35,0)),""))</f>
        <v/>
      </c>
      <c r="I117" s="27" t="str">
        <f t="shared" si="2"/>
        <v/>
      </c>
      <c r="J117" s="27" t="str">
        <f t="shared" si="3"/>
        <v/>
      </c>
      <c r="K117" s="27" t="str">
        <f t="shared" si="4"/>
        <v/>
      </c>
      <c r="L117" s="32"/>
      <c r="M117" s="32"/>
      <c r="N117" s="34"/>
      <c r="O117" s="27" t="str">
        <f t="shared" si="10"/>
        <v/>
      </c>
      <c r="P117" s="28" t="str">
        <f t="shared" si="5"/>
        <v/>
      </c>
      <c r="Q117" s="27" t="str">
        <f t="shared" si="6"/>
        <v/>
      </c>
      <c r="R117" s="35" t="str">
        <f t="shared" si="7"/>
        <v/>
      </c>
      <c r="S117" s="31" t="str">
        <f t="shared" si="8"/>
        <v/>
      </c>
      <c r="T117" s="28" t="str">
        <f t="shared" si="9"/>
        <v/>
      </c>
    </row>
    <row r="118" ht="15.75" customHeight="1">
      <c r="A118" s="23"/>
      <c r="B118" s="23"/>
      <c r="C118" s="24"/>
      <c r="D118" s="24"/>
      <c r="E118" s="26"/>
      <c r="F118" s="27" t="str">
        <f t="shared" si="1"/>
        <v/>
      </c>
      <c r="G118" s="29" t="str">
        <f t="array" ref="G118">IF($A118="","",IFERROR(INDEX('2. Plot &amp; Core Log'!$M$6:$M$35,MATCH($A118,'2. Plot &amp; Core Log'!$B$6:$B$35,0)),""))</f>
        <v/>
      </c>
      <c r="H118" s="30" t="str">
        <f t="array" ref="H118">IF($A118="","",IFERROR(INDEX('2. Plot &amp; Core Log'!$J$6:$J$35,MATCH($A118,'2. Plot &amp; Core Log'!$B$6:$B$35,0)),""))</f>
        <v/>
      </c>
      <c r="I118" s="27" t="str">
        <f t="shared" si="2"/>
        <v/>
      </c>
      <c r="J118" s="27" t="str">
        <f t="shared" si="3"/>
        <v/>
      </c>
      <c r="K118" s="27" t="str">
        <f t="shared" si="4"/>
        <v/>
      </c>
      <c r="L118" s="32"/>
      <c r="M118" s="32"/>
      <c r="N118" s="34"/>
      <c r="O118" s="27" t="str">
        <f t="shared" si="10"/>
        <v/>
      </c>
      <c r="P118" s="28" t="str">
        <f t="shared" si="5"/>
        <v/>
      </c>
      <c r="Q118" s="27" t="str">
        <f t="shared" si="6"/>
        <v/>
      </c>
      <c r="R118" s="35" t="str">
        <f t="shared" si="7"/>
        <v/>
      </c>
      <c r="S118" s="31" t="str">
        <f t="shared" si="8"/>
        <v/>
      </c>
      <c r="T118" s="28" t="str">
        <f t="shared" si="9"/>
        <v/>
      </c>
    </row>
    <row r="119" ht="15.75" customHeight="1">
      <c r="A119" s="23"/>
      <c r="B119" s="23"/>
      <c r="C119" s="24"/>
      <c r="D119" s="24"/>
      <c r="E119" s="26"/>
      <c r="F119" s="27" t="str">
        <f t="shared" si="1"/>
        <v/>
      </c>
      <c r="G119" s="29" t="str">
        <f t="array" ref="G119">IF($A119="","",IFERROR(INDEX('2. Plot &amp; Core Log'!$M$6:$M$35,MATCH($A119,'2. Plot &amp; Core Log'!$B$6:$B$35,0)),""))</f>
        <v/>
      </c>
      <c r="H119" s="30" t="str">
        <f t="array" ref="H119">IF($A119="","",IFERROR(INDEX('2. Plot &amp; Core Log'!$J$6:$J$35,MATCH($A119,'2. Plot &amp; Core Log'!$B$6:$B$35,0)),""))</f>
        <v/>
      </c>
      <c r="I119" s="27" t="str">
        <f t="shared" si="2"/>
        <v/>
      </c>
      <c r="J119" s="27" t="str">
        <f t="shared" si="3"/>
        <v/>
      </c>
      <c r="K119" s="27" t="str">
        <f t="shared" si="4"/>
        <v/>
      </c>
      <c r="L119" s="32"/>
      <c r="M119" s="32"/>
      <c r="N119" s="34"/>
      <c r="O119" s="27" t="str">
        <f t="shared" si="10"/>
        <v/>
      </c>
      <c r="P119" s="28" t="str">
        <f t="shared" si="5"/>
        <v/>
      </c>
      <c r="Q119" s="27" t="str">
        <f t="shared" si="6"/>
        <v/>
      </c>
      <c r="R119" s="35" t="str">
        <f t="shared" si="7"/>
        <v/>
      </c>
      <c r="S119" s="31" t="str">
        <f t="shared" si="8"/>
        <v/>
      </c>
      <c r="T119" s="28" t="str">
        <f t="shared" si="9"/>
        <v/>
      </c>
    </row>
    <row r="120" ht="15.75" customHeight="1">
      <c r="A120" s="23"/>
      <c r="B120" s="23"/>
      <c r="C120" s="24"/>
      <c r="D120" s="24"/>
      <c r="E120" s="26"/>
      <c r="F120" s="27" t="str">
        <f t="shared" si="1"/>
        <v/>
      </c>
      <c r="G120" s="29" t="str">
        <f t="array" ref="G120">IF($A120="","",IFERROR(INDEX('2. Plot &amp; Core Log'!$M$6:$M$35,MATCH($A120,'2. Plot &amp; Core Log'!$B$6:$B$35,0)),""))</f>
        <v/>
      </c>
      <c r="H120" s="30" t="str">
        <f t="array" ref="H120">IF($A120="","",IFERROR(INDEX('2. Plot &amp; Core Log'!$J$6:$J$35,MATCH($A120,'2. Plot &amp; Core Log'!$B$6:$B$35,0)),""))</f>
        <v/>
      </c>
      <c r="I120" s="27" t="str">
        <f t="shared" si="2"/>
        <v/>
      </c>
      <c r="J120" s="27" t="str">
        <f t="shared" si="3"/>
        <v/>
      </c>
      <c r="K120" s="27" t="str">
        <f t="shared" si="4"/>
        <v/>
      </c>
      <c r="L120" s="32"/>
      <c r="M120" s="32"/>
      <c r="N120" s="34"/>
      <c r="O120" s="27" t="str">
        <f t="shared" si="10"/>
        <v/>
      </c>
      <c r="P120" s="28" t="str">
        <f t="shared" si="5"/>
        <v/>
      </c>
      <c r="Q120" s="27" t="str">
        <f t="shared" si="6"/>
        <v/>
      </c>
      <c r="R120" s="35" t="str">
        <f t="shared" si="7"/>
        <v/>
      </c>
      <c r="S120" s="31" t="str">
        <f t="shared" si="8"/>
        <v/>
      </c>
      <c r="T120" s="28" t="str">
        <f t="shared" si="9"/>
        <v/>
      </c>
    </row>
    <row r="121" ht="15.75" customHeight="1">
      <c r="A121" s="23"/>
      <c r="B121" s="23"/>
      <c r="C121" s="24"/>
      <c r="D121" s="24"/>
      <c r="E121" s="26"/>
      <c r="F121" s="27" t="str">
        <f t="shared" si="1"/>
        <v/>
      </c>
      <c r="G121" s="29" t="str">
        <f t="array" ref="G121">IF($A121="","",IFERROR(INDEX('2. Plot &amp; Core Log'!$M$6:$M$35,MATCH($A121,'2. Plot &amp; Core Log'!$B$6:$B$35,0)),""))</f>
        <v/>
      </c>
      <c r="H121" s="30" t="str">
        <f t="array" ref="H121">IF($A121="","",IFERROR(INDEX('2. Plot &amp; Core Log'!$J$6:$J$35,MATCH($A121,'2. Plot &amp; Core Log'!$B$6:$B$35,0)),""))</f>
        <v/>
      </c>
      <c r="I121" s="27" t="str">
        <f t="shared" si="2"/>
        <v/>
      </c>
      <c r="J121" s="27" t="str">
        <f t="shared" si="3"/>
        <v/>
      </c>
      <c r="K121" s="27" t="str">
        <f t="shared" si="4"/>
        <v/>
      </c>
      <c r="L121" s="32"/>
      <c r="M121" s="32"/>
      <c r="N121" s="34"/>
      <c r="O121" s="27" t="str">
        <f t="shared" si="10"/>
        <v/>
      </c>
      <c r="P121" s="28" t="str">
        <f t="shared" si="5"/>
        <v/>
      </c>
      <c r="Q121" s="27" t="str">
        <f t="shared" si="6"/>
        <v/>
      </c>
      <c r="R121" s="35" t="str">
        <f t="shared" si="7"/>
        <v/>
      </c>
      <c r="S121" s="31" t="str">
        <f t="shared" si="8"/>
        <v/>
      </c>
      <c r="T121" s="28" t="str">
        <f t="shared" si="9"/>
        <v/>
      </c>
    </row>
    <row r="122" ht="15.75" customHeight="1">
      <c r="A122" s="23"/>
      <c r="B122" s="23"/>
      <c r="C122" s="24"/>
      <c r="D122" s="24"/>
      <c r="E122" s="26"/>
      <c r="F122" s="27" t="str">
        <f t="shared" si="1"/>
        <v/>
      </c>
      <c r="G122" s="29" t="str">
        <f t="array" ref="G122">IF($A122="","",IFERROR(INDEX('2. Plot &amp; Core Log'!$M$6:$M$35,MATCH($A122,'2. Plot &amp; Core Log'!$B$6:$B$35,0)),""))</f>
        <v/>
      </c>
      <c r="H122" s="30" t="str">
        <f t="array" ref="H122">IF($A122="","",IFERROR(INDEX('2. Plot &amp; Core Log'!$J$6:$J$35,MATCH($A122,'2. Plot &amp; Core Log'!$B$6:$B$35,0)),""))</f>
        <v/>
      </c>
      <c r="I122" s="27" t="str">
        <f t="shared" si="2"/>
        <v/>
      </c>
      <c r="J122" s="27" t="str">
        <f t="shared" si="3"/>
        <v/>
      </c>
      <c r="K122" s="27" t="str">
        <f t="shared" si="4"/>
        <v/>
      </c>
      <c r="L122" s="32"/>
      <c r="M122" s="32"/>
      <c r="N122" s="34"/>
      <c r="O122" s="27" t="str">
        <f t="shared" si="10"/>
        <v/>
      </c>
      <c r="P122" s="28" t="str">
        <f t="shared" si="5"/>
        <v/>
      </c>
      <c r="Q122" s="27" t="str">
        <f t="shared" si="6"/>
        <v/>
      </c>
      <c r="R122" s="35" t="str">
        <f t="shared" si="7"/>
        <v/>
      </c>
      <c r="S122" s="31" t="str">
        <f t="shared" si="8"/>
        <v/>
      </c>
      <c r="T122" s="28" t="str">
        <f t="shared" si="9"/>
        <v/>
      </c>
    </row>
    <row r="123" ht="15.75" customHeight="1">
      <c r="A123" s="23"/>
      <c r="B123" s="23"/>
      <c r="C123" s="24"/>
      <c r="D123" s="24"/>
      <c r="E123" s="26"/>
      <c r="F123" s="27" t="str">
        <f t="shared" si="1"/>
        <v/>
      </c>
      <c r="G123" s="29" t="str">
        <f t="array" ref="G123">IF($A123="","",IFERROR(INDEX('2. Plot &amp; Core Log'!$M$6:$M$35,MATCH($A123,'2. Plot &amp; Core Log'!$B$6:$B$35,0)),""))</f>
        <v/>
      </c>
      <c r="H123" s="30" t="str">
        <f t="array" ref="H123">IF($A123="","",IFERROR(INDEX('2. Plot &amp; Core Log'!$J$6:$J$35,MATCH($A123,'2. Plot &amp; Core Log'!$B$6:$B$35,0)),""))</f>
        <v/>
      </c>
      <c r="I123" s="27" t="str">
        <f t="shared" si="2"/>
        <v/>
      </c>
      <c r="J123" s="27" t="str">
        <f t="shared" si="3"/>
        <v/>
      </c>
      <c r="K123" s="27" t="str">
        <f t="shared" si="4"/>
        <v/>
      </c>
      <c r="L123" s="32"/>
      <c r="M123" s="32"/>
      <c r="N123" s="34"/>
      <c r="O123" s="27" t="str">
        <f t="shared" si="10"/>
        <v/>
      </c>
      <c r="P123" s="28" t="str">
        <f t="shared" si="5"/>
        <v/>
      </c>
      <c r="Q123" s="27" t="str">
        <f t="shared" si="6"/>
        <v/>
      </c>
      <c r="R123" s="35" t="str">
        <f t="shared" si="7"/>
        <v/>
      </c>
      <c r="S123" s="31" t="str">
        <f t="shared" si="8"/>
        <v/>
      </c>
      <c r="T123" s="28" t="str">
        <f t="shared" si="9"/>
        <v/>
      </c>
    </row>
    <row r="124" ht="15.75" customHeight="1">
      <c r="A124" s="23"/>
      <c r="B124" s="23"/>
      <c r="C124" s="24"/>
      <c r="D124" s="24"/>
      <c r="E124" s="26"/>
      <c r="F124" s="27" t="str">
        <f t="shared" si="1"/>
        <v/>
      </c>
      <c r="G124" s="29" t="str">
        <f t="array" ref="G124">IF($A124="","",IFERROR(INDEX('2. Plot &amp; Core Log'!$M$6:$M$35,MATCH($A124,'2. Plot &amp; Core Log'!$B$6:$B$35,0)),""))</f>
        <v/>
      </c>
      <c r="H124" s="30" t="str">
        <f t="array" ref="H124">IF($A124="","",IFERROR(INDEX('2. Plot &amp; Core Log'!$J$6:$J$35,MATCH($A124,'2. Plot &amp; Core Log'!$B$6:$B$35,0)),""))</f>
        <v/>
      </c>
      <c r="I124" s="27" t="str">
        <f t="shared" si="2"/>
        <v/>
      </c>
      <c r="J124" s="27" t="str">
        <f t="shared" si="3"/>
        <v/>
      </c>
      <c r="K124" s="27" t="str">
        <f t="shared" si="4"/>
        <v/>
      </c>
      <c r="L124" s="32"/>
      <c r="M124" s="32"/>
      <c r="N124" s="34"/>
      <c r="O124" s="27" t="str">
        <f t="shared" si="10"/>
        <v/>
      </c>
      <c r="P124" s="28" t="str">
        <f t="shared" si="5"/>
        <v/>
      </c>
      <c r="Q124" s="27" t="str">
        <f t="shared" si="6"/>
        <v/>
      </c>
      <c r="R124" s="35" t="str">
        <f t="shared" si="7"/>
        <v/>
      </c>
      <c r="S124" s="31" t="str">
        <f t="shared" si="8"/>
        <v/>
      </c>
      <c r="T124" s="28" t="str">
        <f t="shared" si="9"/>
        <v/>
      </c>
    </row>
    <row r="125" ht="15.75" customHeight="1">
      <c r="A125" s="23"/>
      <c r="B125" s="23"/>
      <c r="C125" s="24"/>
      <c r="D125" s="24"/>
      <c r="E125" s="26"/>
      <c r="F125" s="27" t="str">
        <f t="shared" si="1"/>
        <v/>
      </c>
      <c r="G125" s="29" t="str">
        <f t="array" ref="G125">IF($A125="","",IFERROR(INDEX('2. Plot &amp; Core Log'!$M$6:$M$35,MATCH($A125,'2. Plot &amp; Core Log'!$B$6:$B$35,0)),""))</f>
        <v/>
      </c>
      <c r="H125" s="30" t="str">
        <f t="array" ref="H125">IF($A125="","",IFERROR(INDEX('2. Plot &amp; Core Log'!$J$6:$J$35,MATCH($A125,'2. Plot &amp; Core Log'!$B$6:$B$35,0)),""))</f>
        <v/>
      </c>
      <c r="I125" s="27" t="str">
        <f t="shared" si="2"/>
        <v/>
      </c>
      <c r="J125" s="27" t="str">
        <f t="shared" si="3"/>
        <v/>
      </c>
      <c r="K125" s="27" t="str">
        <f t="shared" si="4"/>
        <v/>
      </c>
      <c r="L125" s="32"/>
      <c r="M125" s="32"/>
      <c r="N125" s="34"/>
      <c r="O125" s="27" t="str">
        <f t="shared" si="10"/>
        <v/>
      </c>
      <c r="P125" s="28" t="str">
        <f t="shared" si="5"/>
        <v/>
      </c>
      <c r="Q125" s="27" t="str">
        <f t="shared" si="6"/>
        <v/>
      </c>
      <c r="R125" s="35" t="str">
        <f t="shared" si="7"/>
        <v/>
      </c>
      <c r="S125" s="31" t="str">
        <f t="shared" si="8"/>
        <v/>
      </c>
      <c r="T125" s="28" t="str">
        <f t="shared" si="9"/>
        <v/>
      </c>
    </row>
    <row r="126" ht="15.75" customHeight="1">
      <c r="A126" s="23"/>
      <c r="B126" s="23"/>
      <c r="C126" s="24"/>
      <c r="D126" s="24"/>
      <c r="E126" s="26"/>
      <c r="F126" s="27" t="str">
        <f t="shared" si="1"/>
        <v/>
      </c>
      <c r="G126" s="29" t="str">
        <f t="array" ref="G126">IF($A126="","",IFERROR(INDEX('2. Plot &amp; Core Log'!$M$6:$M$35,MATCH($A126,'2. Plot &amp; Core Log'!$B$6:$B$35,0)),""))</f>
        <v/>
      </c>
      <c r="H126" s="30" t="str">
        <f t="array" ref="H126">IF($A126="","",IFERROR(INDEX('2. Plot &amp; Core Log'!$J$6:$J$35,MATCH($A126,'2. Plot &amp; Core Log'!$B$6:$B$35,0)),""))</f>
        <v/>
      </c>
      <c r="I126" s="27" t="str">
        <f t="shared" si="2"/>
        <v/>
      </c>
      <c r="J126" s="27" t="str">
        <f t="shared" si="3"/>
        <v/>
      </c>
      <c r="K126" s="27" t="str">
        <f t="shared" si="4"/>
        <v/>
      </c>
      <c r="L126" s="32"/>
      <c r="M126" s="32"/>
      <c r="N126" s="34"/>
      <c r="O126" s="27" t="str">
        <f t="shared" si="10"/>
        <v/>
      </c>
      <c r="P126" s="28" t="str">
        <f t="shared" si="5"/>
        <v/>
      </c>
      <c r="Q126" s="27" t="str">
        <f t="shared" si="6"/>
        <v/>
      </c>
      <c r="R126" s="35" t="str">
        <f t="shared" si="7"/>
        <v/>
      </c>
      <c r="S126" s="31" t="str">
        <f t="shared" si="8"/>
        <v/>
      </c>
      <c r="T126" s="28" t="str">
        <f t="shared" si="9"/>
        <v/>
      </c>
    </row>
    <row r="127" ht="15.75" customHeight="1">
      <c r="A127" s="23"/>
      <c r="B127" s="23"/>
      <c r="C127" s="24"/>
      <c r="D127" s="24"/>
      <c r="E127" s="26"/>
      <c r="F127" s="27" t="str">
        <f t="shared" si="1"/>
        <v/>
      </c>
      <c r="G127" s="29" t="str">
        <f t="array" ref="G127">IF($A127="","",IFERROR(INDEX('2. Plot &amp; Core Log'!$M$6:$M$35,MATCH($A127,'2. Plot &amp; Core Log'!$B$6:$B$35,0)),""))</f>
        <v/>
      </c>
      <c r="H127" s="30" t="str">
        <f t="array" ref="H127">IF($A127="","",IFERROR(INDEX('2. Plot &amp; Core Log'!$J$6:$J$35,MATCH($A127,'2. Plot &amp; Core Log'!$B$6:$B$35,0)),""))</f>
        <v/>
      </c>
      <c r="I127" s="27" t="str">
        <f t="shared" si="2"/>
        <v/>
      </c>
      <c r="J127" s="27" t="str">
        <f t="shared" si="3"/>
        <v/>
      </c>
      <c r="K127" s="27" t="str">
        <f t="shared" si="4"/>
        <v/>
      </c>
      <c r="L127" s="32"/>
      <c r="M127" s="32"/>
      <c r="N127" s="34"/>
      <c r="O127" s="27" t="str">
        <f t="shared" si="10"/>
        <v/>
      </c>
      <c r="P127" s="28" t="str">
        <f t="shared" si="5"/>
        <v/>
      </c>
      <c r="Q127" s="27" t="str">
        <f t="shared" si="6"/>
        <v/>
      </c>
      <c r="R127" s="35" t="str">
        <f t="shared" si="7"/>
        <v/>
      </c>
      <c r="S127" s="31" t="str">
        <f t="shared" si="8"/>
        <v/>
      </c>
      <c r="T127" s="28" t="str">
        <f t="shared" si="9"/>
        <v/>
      </c>
    </row>
    <row r="128" ht="15.75" customHeight="1">
      <c r="A128" s="23"/>
      <c r="B128" s="23"/>
      <c r="C128" s="24"/>
      <c r="D128" s="24"/>
      <c r="E128" s="26"/>
      <c r="F128" s="27" t="str">
        <f t="shared" si="1"/>
        <v/>
      </c>
      <c r="G128" s="29" t="str">
        <f t="array" ref="G128">IF($A128="","",IFERROR(INDEX('2. Plot &amp; Core Log'!$M$6:$M$35,MATCH($A128,'2. Plot &amp; Core Log'!$B$6:$B$35,0)),""))</f>
        <v/>
      </c>
      <c r="H128" s="30" t="str">
        <f t="array" ref="H128">IF($A128="","",IFERROR(INDEX('2. Plot &amp; Core Log'!$J$6:$J$35,MATCH($A128,'2. Plot &amp; Core Log'!$B$6:$B$35,0)),""))</f>
        <v/>
      </c>
      <c r="I128" s="27" t="str">
        <f t="shared" si="2"/>
        <v/>
      </c>
      <c r="J128" s="27" t="str">
        <f t="shared" si="3"/>
        <v/>
      </c>
      <c r="K128" s="27" t="str">
        <f t="shared" si="4"/>
        <v/>
      </c>
      <c r="L128" s="32"/>
      <c r="M128" s="32"/>
      <c r="N128" s="34"/>
      <c r="O128" s="27" t="str">
        <f t="shared" si="10"/>
        <v/>
      </c>
      <c r="P128" s="28" t="str">
        <f t="shared" si="5"/>
        <v/>
      </c>
      <c r="Q128" s="27" t="str">
        <f t="shared" si="6"/>
        <v/>
      </c>
      <c r="R128" s="35" t="str">
        <f t="shared" si="7"/>
        <v/>
      </c>
      <c r="S128" s="31" t="str">
        <f t="shared" si="8"/>
        <v/>
      </c>
      <c r="T128" s="28" t="str">
        <f t="shared" si="9"/>
        <v/>
      </c>
    </row>
    <row r="129" ht="15.75" customHeight="1">
      <c r="A129" s="23"/>
      <c r="B129" s="23"/>
      <c r="C129" s="24"/>
      <c r="D129" s="24"/>
      <c r="E129" s="26"/>
      <c r="F129" s="27" t="str">
        <f t="shared" si="1"/>
        <v/>
      </c>
      <c r="G129" s="29" t="str">
        <f t="array" ref="G129">IF($A129="","",IFERROR(INDEX('2. Plot &amp; Core Log'!$M$6:$M$35,MATCH($A129,'2. Plot &amp; Core Log'!$B$6:$B$35,0)),""))</f>
        <v/>
      </c>
      <c r="H129" s="30" t="str">
        <f t="array" ref="H129">IF($A129="","",IFERROR(INDEX('2. Plot &amp; Core Log'!$J$6:$J$35,MATCH($A129,'2. Plot &amp; Core Log'!$B$6:$B$35,0)),""))</f>
        <v/>
      </c>
      <c r="I129" s="27" t="str">
        <f t="shared" si="2"/>
        <v/>
      </c>
      <c r="J129" s="27" t="str">
        <f t="shared" si="3"/>
        <v/>
      </c>
      <c r="K129" s="27" t="str">
        <f t="shared" si="4"/>
        <v/>
      </c>
      <c r="L129" s="32"/>
      <c r="M129" s="32"/>
      <c r="N129" s="34"/>
      <c r="O129" s="27" t="str">
        <f t="shared" si="10"/>
        <v/>
      </c>
      <c r="P129" s="28" t="str">
        <f t="shared" si="5"/>
        <v/>
      </c>
      <c r="Q129" s="27" t="str">
        <f t="shared" si="6"/>
        <v/>
      </c>
      <c r="R129" s="35" t="str">
        <f t="shared" si="7"/>
        <v/>
      </c>
      <c r="S129" s="31" t="str">
        <f t="shared" si="8"/>
        <v/>
      </c>
      <c r="T129" s="28" t="str">
        <f t="shared" si="9"/>
        <v/>
      </c>
    </row>
    <row r="130" ht="15.75" customHeight="1">
      <c r="A130" s="23"/>
      <c r="B130" s="23"/>
      <c r="C130" s="24"/>
      <c r="D130" s="24"/>
      <c r="E130" s="26"/>
      <c r="F130" s="27" t="str">
        <f t="shared" si="1"/>
        <v/>
      </c>
      <c r="G130" s="29" t="str">
        <f t="array" ref="G130">IF($A130="","",IFERROR(INDEX('2. Plot &amp; Core Log'!$M$6:$M$35,MATCH($A130,'2. Plot &amp; Core Log'!$B$6:$B$35,0)),""))</f>
        <v/>
      </c>
      <c r="H130" s="30" t="str">
        <f t="array" ref="H130">IF($A130="","",IFERROR(INDEX('2. Plot &amp; Core Log'!$J$6:$J$35,MATCH($A130,'2. Plot &amp; Core Log'!$B$6:$B$35,0)),""))</f>
        <v/>
      </c>
      <c r="I130" s="27" t="str">
        <f t="shared" si="2"/>
        <v/>
      </c>
      <c r="J130" s="27" t="str">
        <f t="shared" si="3"/>
        <v/>
      </c>
      <c r="K130" s="27" t="str">
        <f t="shared" si="4"/>
        <v/>
      </c>
      <c r="L130" s="32"/>
      <c r="M130" s="32"/>
      <c r="N130" s="34"/>
      <c r="O130" s="27" t="str">
        <f t="shared" si="10"/>
        <v/>
      </c>
      <c r="P130" s="28" t="str">
        <f t="shared" si="5"/>
        <v/>
      </c>
      <c r="Q130" s="27" t="str">
        <f t="shared" si="6"/>
        <v/>
      </c>
      <c r="R130" s="35" t="str">
        <f t="shared" si="7"/>
        <v/>
      </c>
      <c r="S130" s="31" t="str">
        <f t="shared" si="8"/>
        <v/>
      </c>
      <c r="T130" s="28" t="str">
        <f t="shared" si="9"/>
        <v/>
      </c>
    </row>
    <row r="131" ht="15.75" customHeight="1">
      <c r="A131" s="23"/>
      <c r="B131" s="23"/>
      <c r="C131" s="24"/>
      <c r="D131" s="24"/>
      <c r="E131" s="26"/>
      <c r="F131" s="27" t="str">
        <f t="shared" si="1"/>
        <v/>
      </c>
      <c r="G131" s="29" t="str">
        <f t="array" ref="G131">IF($A131="","",IFERROR(INDEX('2. Plot &amp; Core Log'!$M$6:$M$35,MATCH($A131,'2. Plot &amp; Core Log'!$B$6:$B$35,0)),""))</f>
        <v/>
      </c>
      <c r="H131" s="30" t="str">
        <f t="array" ref="H131">IF($A131="","",IFERROR(INDEX('2. Plot &amp; Core Log'!$J$6:$J$35,MATCH($A131,'2. Plot &amp; Core Log'!$B$6:$B$35,0)),""))</f>
        <v/>
      </c>
      <c r="I131" s="27" t="str">
        <f t="shared" si="2"/>
        <v/>
      </c>
      <c r="J131" s="27" t="str">
        <f t="shared" si="3"/>
        <v/>
      </c>
      <c r="K131" s="27" t="str">
        <f t="shared" si="4"/>
        <v/>
      </c>
      <c r="L131" s="32"/>
      <c r="M131" s="32"/>
      <c r="N131" s="34"/>
      <c r="O131" s="27" t="str">
        <f t="shared" si="10"/>
        <v/>
      </c>
      <c r="P131" s="28" t="str">
        <f t="shared" si="5"/>
        <v/>
      </c>
      <c r="Q131" s="27" t="str">
        <f t="shared" si="6"/>
        <v/>
      </c>
      <c r="R131" s="35" t="str">
        <f t="shared" si="7"/>
        <v/>
      </c>
      <c r="S131" s="31" t="str">
        <f t="shared" si="8"/>
        <v/>
      </c>
      <c r="T131" s="28" t="str">
        <f t="shared" si="9"/>
        <v/>
      </c>
    </row>
    <row r="132" ht="15.75" customHeight="1">
      <c r="A132" s="23"/>
      <c r="B132" s="23"/>
      <c r="C132" s="24"/>
      <c r="D132" s="24"/>
      <c r="E132" s="26"/>
      <c r="F132" s="27" t="str">
        <f t="shared" si="1"/>
        <v/>
      </c>
      <c r="G132" s="29" t="str">
        <f t="array" ref="G132">IF($A132="","",IFERROR(INDEX('2. Plot &amp; Core Log'!$M$6:$M$35,MATCH($A132,'2. Plot &amp; Core Log'!$B$6:$B$35,0)),""))</f>
        <v/>
      </c>
      <c r="H132" s="30" t="str">
        <f t="array" ref="H132">IF($A132="","",IFERROR(INDEX('2. Plot &amp; Core Log'!$J$6:$J$35,MATCH($A132,'2. Plot &amp; Core Log'!$B$6:$B$35,0)),""))</f>
        <v/>
      </c>
      <c r="I132" s="27" t="str">
        <f t="shared" si="2"/>
        <v/>
      </c>
      <c r="J132" s="27" t="str">
        <f t="shared" si="3"/>
        <v/>
      </c>
      <c r="K132" s="27" t="str">
        <f t="shared" si="4"/>
        <v/>
      </c>
      <c r="L132" s="32"/>
      <c r="M132" s="32"/>
      <c r="N132" s="34"/>
      <c r="O132" s="27" t="str">
        <f t="shared" si="10"/>
        <v/>
      </c>
      <c r="P132" s="28" t="str">
        <f t="shared" si="5"/>
        <v/>
      </c>
      <c r="Q132" s="27" t="str">
        <f t="shared" si="6"/>
        <v/>
      </c>
      <c r="R132" s="35" t="str">
        <f t="shared" si="7"/>
        <v/>
      </c>
      <c r="S132" s="31" t="str">
        <f t="shared" si="8"/>
        <v/>
      </c>
      <c r="T132" s="28" t="str">
        <f t="shared" si="9"/>
        <v/>
      </c>
    </row>
    <row r="133" ht="15.75" customHeight="1">
      <c r="A133" s="23"/>
      <c r="B133" s="23"/>
      <c r="C133" s="24"/>
      <c r="D133" s="24"/>
      <c r="E133" s="26"/>
      <c r="F133" s="27" t="str">
        <f t="shared" si="1"/>
        <v/>
      </c>
      <c r="G133" s="29" t="str">
        <f t="array" ref="G133">IF($A133="","",IFERROR(INDEX('2. Plot &amp; Core Log'!$M$6:$M$35,MATCH($A133,'2. Plot &amp; Core Log'!$B$6:$B$35,0)),""))</f>
        <v/>
      </c>
      <c r="H133" s="30" t="str">
        <f t="array" ref="H133">IF($A133="","",IFERROR(INDEX('2. Plot &amp; Core Log'!$J$6:$J$35,MATCH($A133,'2. Plot &amp; Core Log'!$B$6:$B$35,0)),""))</f>
        <v/>
      </c>
      <c r="I133" s="27" t="str">
        <f t="shared" si="2"/>
        <v/>
      </c>
      <c r="J133" s="27" t="str">
        <f t="shared" si="3"/>
        <v/>
      </c>
      <c r="K133" s="27" t="str">
        <f t="shared" si="4"/>
        <v/>
      </c>
      <c r="L133" s="32"/>
      <c r="M133" s="32"/>
      <c r="N133" s="34"/>
      <c r="O133" s="27" t="str">
        <f t="shared" si="10"/>
        <v/>
      </c>
      <c r="P133" s="28" t="str">
        <f t="shared" si="5"/>
        <v/>
      </c>
      <c r="Q133" s="27" t="str">
        <f t="shared" si="6"/>
        <v/>
      </c>
      <c r="R133" s="35" t="str">
        <f t="shared" si="7"/>
        <v/>
      </c>
      <c r="S133" s="31" t="str">
        <f t="shared" si="8"/>
        <v/>
      </c>
      <c r="T133" s="28" t="str">
        <f t="shared" si="9"/>
        <v/>
      </c>
    </row>
    <row r="134" ht="15.75" customHeight="1">
      <c r="A134" s="23"/>
      <c r="B134" s="23"/>
      <c r="C134" s="24"/>
      <c r="D134" s="24"/>
      <c r="E134" s="26"/>
      <c r="F134" s="27" t="str">
        <f t="shared" si="1"/>
        <v/>
      </c>
      <c r="G134" s="29" t="str">
        <f t="array" ref="G134">IF($A134="","",IFERROR(INDEX('2. Plot &amp; Core Log'!$M$6:$M$35,MATCH($A134,'2. Plot &amp; Core Log'!$B$6:$B$35,0)),""))</f>
        <v/>
      </c>
      <c r="H134" s="30" t="str">
        <f t="array" ref="H134">IF($A134="","",IFERROR(INDEX('2. Plot &amp; Core Log'!$J$6:$J$35,MATCH($A134,'2. Plot &amp; Core Log'!$B$6:$B$35,0)),""))</f>
        <v/>
      </c>
      <c r="I134" s="27" t="str">
        <f t="shared" si="2"/>
        <v/>
      </c>
      <c r="J134" s="27" t="str">
        <f t="shared" si="3"/>
        <v/>
      </c>
      <c r="K134" s="27" t="str">
        <f t="shared" si="4"/>
        <v/>
      </c>
      <c r="L134" s="32"/>
      <c r="M134" s="32"/>
      <c r="N134" s="34"/>
      <c r="O134" s="27" t="str">
        <f t="shared" si="10"/>
        <v/>
      </c>
      <c r="P134" s="28" t="str">
        <f t="shared" si="5"/>
        <v/>
      </c>
      <c r="Q134" s="27" t="str">
        <f t="shared" si="6"/>
        <v/>
      </c>
      <c r="R134" s="35" t="str">
        <f t="shared" si="7"/>
        <v/>
      </c>
      <c r="S134" s="31" t="str">
        <f t="shared" si="8"/>
        <v/>
      </c>
      <c r="T134" s="28" t="str">
        <f t="shared" si="9"/>
        <v/>
      </c>
    </row>
    <row r="135" ht="15.75" customHeight="1">
      <c r="A135" s="23"/>
      <c r="B135" s="23"/>
      <c r="C135" s="24"/>
      <c r="D135" s="24"/>
      <c r="E135" s="26"/>
      <c r="F135" s="27" t="str">
        <f t="shared" si="1"/>
        <v/>
      </c>
      <c r="G135" s="29" t="str">
        <f t="array" ref="G135">IF($A135="","",IFERROR(INDEX('2. Plot &amp; Core Log'!$M$6:$M$35,MATCH($A135,'2. Plot &amp; Core Log'!$B$6:$B$35,0)),""))</f>
        <v/>
      </c>
      <c r="H135" s="30" t="str">
        <f t="array" ref="H135">IF($A135="","",IFERROR(INDEX('2. Plot &amp; Core Log'!$J$6:$J$35,MATCH($A135,'2. Plot &amp; Core Log'!$B$6:$B$35,0)),""))</f>
        <v/>
      </c>
      <c r="I135" s="27" t="str">
        <f t="shared" si="2"/>
        <v/>
      </c>
      <c r="J135" s="27" t="str">
        <f t="shared" si="3"/>
        <v/>
      </c>
      <c r="K135" s="27" t="str">
        <f t="shared" si="4"/>
        <v/>
      </c>
      <c r="L135" s="32"/>
      <c r="M135" s="32"/>
      <c r="N135" s="34"/>
      <c r="O135" s="27" t="str">
        <f t="shared" si="10"/>
        <v/>
      </c>
      <c r="P135" s="28" t="str">
        <f t="shared" si="5"/>
        <v/>
      </c>
      <c r="Q135" s="27" t="str">
        <f t="shared" si="6"/>
        <v/>
      </c>
      <c r="R135" s="35" t="str">
        <f t="shared" si="7"/>
        <v/>
      </c>
      <c r="S135" s="31" t="str">
        <f t="shared" si="8"/>
        <v/>
      </c>
      <c r="T135" s="28" t="str">
        <f t="shared" si="9"/>
        <v/>
      </c>
    </row>
    <row r="136" ht="15.75" customHeight="1">
      <c r="A136" s="23"/>
      <c r="B136" s="23"/>
      <c r="C136" s="24"/>
      <c r="D136" s="24"/>
      <c r="E136" s="26"/>
      <c r="F136" s="27" t="str">
        <f t="shared" si="1"/>
        <v/>
      </c>
      <c r="G136" s="29" t="str">
        <f t="array" ref="G136">IF($A136="","",IFERROR(INDEX('2. Plot &amp; Core Log'!$M$6:$M$35,MATCH($A136,'2. Plot &amp; Core Log'!$B$6:$B$35,0)),""))</f>
        <v/>
      </c>
      <c r="H136" s="30" t="str">
        <f t="array" ref="H136">IF($A136="","",IFERROR(INDEX('2. Plot &amp; Core Log'!$J$6:$J$35,MATCH($A136,'2. Plot &amp; Core Log'!$B$6:$B$35,0)),""))</f>
        <v/>
      </c>
      <c r="I136" s="27" t="str">
        <f t="shared" si="2"/>
        <v/>
      </c>
      <c r="J136" s="27" t="str">
        <f t="shared" si="3"/>
        <v/>
      </c>
      <c r="K136" s="27" t="str">
        <f t="shared" si="4"/>
        <v/>
      </c>
      <c r="L136" s="32"/>
      <c r="M136" s="32"/>
      <c r="N136" s="34"/>
      <c r="O136" s="27" t="str">
        <f t="shared" si="10"/>
        <v/>
      </c>
      <c r="P136" s="28" t="str">
        <f t="shared" si="5"/>
        <v/>
      </c>
      <c r="Q136" s="27" t="str">
        <f t="shared" si="6"/>
        <v/>
      </c>
      <c r="R136" s="35" t="str">
        <f t="shared" si="7"/>
        <v/>
      </c>
      <c r="S136" s="31" t="str">
        <f t="shared" si="8"/>
        <v/>
      </c>
      <c r="T136" s="28" t="str">
        <f t="shared" si="9"/>
        <v/>
      </c>
    </row>
    <row r="137" ht="15.75" customHeight="1">
      <c r="A137" s="23"/>
      <c r="B137" s="23"/>
      <c r="C137" s="24"/>
      <c r="D137" s="24"/>
      <c r="E137" s="26"/>
      <c r="F137" s="27" t="str">
        <f t="shared" si="1"/>
        <v/>
      </c>
      <c r="G137" s="29" t="str">
        <f t="array" ref="G137">IF($A137="","",IFERROR(INDEX('2. Plot &amp; Core Log'!$M$6:$M$35,MATCH($A137,'2. Plot &amp; Core Log'!$B$6:$B$35,0)),""))</f>
        <v/>
      </c>
      <c r="H137" s="30" t="str">
        <f t="array" ref="H137">IF($A137="","",IFERROR(INDEX('2. Plot &amp; Core Log'!$J$6:$J$35,MATCH($A137,'2. Plot &amp; Core Log'!$B$6:$B$35,0)),""))</f>
        <v/>
      </c>
      <c r="I137" s="27" t="str">
        <f t="shared" si="2"/>
        <v/>
      </c>
      <c r="J137" s="27" t="str">
        <f t="shared" si="3"/>
        <v/>
      </c>
      <c r="K137" s="27" t="str">
        <f t="shared" si="4"/>
        <v/>
      </c>
      <c r="L137" s="32"/>
      <c r="M137" s="32"/>
      <c r="N137" s="34"/>
      <c r="O137" s="27" t="str">
        <f t="shared" si="10"/>
        <v/>
      </c>
      <c r="P137" s="28" t="str">
        <f t="shared" si="5"/>
        <v/>
      </c>
      <c r="Q137" s="27" t="str">
        <f t="shared" si="6"/>
        <v/>
      </c>
      <c r="R137" s="35" t="str">
        <f t="shared" si="7"/>
        <v/>
      </c>
      <c r="S137" s="31" t="str">
        <f t="shared" si="8"/>
        <v/>
      </c>
      <c r="T137" s="28" t="str">
        <f t="shared" si="9"/>
        <v/>
      </c>
    </row>
    <row r="138" ht="15.75" customHeight="1">
      <c r="A138" s="23"/>
      <c r="B138" s="23"/>
      <c r="C138" s="24"/>
      <c r="D138" s="24"/>
      <c r="E138" s="26"/>
      <c r="F138" s="27" t="str">
        <f t="shared" si="1"/>
        <v/>
      </c>
      <c r="G138" s="29" t="str">
        <f t="array" ref="G138">IF($A138="","",IFERROR(INDEX('2. Plot &amp; Core Log'!$M$6:$M$35,MATCH($A138,'2. Plot &amp; Core Log'!$B$6:$B$35,0)),""))</f>
        <v/>
      </c>
      <c r="H138" s="30" t="str">
        <f t="array" ref="H138">IF($A138="","",IFERROR(INDEX('2. Plot &amp; Core Log'!$J$6:$J$35,MATCH($A138,'2. Plot &amp; Core Log'!$B$6:$B$35,0)),""))</f>
        <v/>
      </c>
      <c r="I138" s="27" t="str">
        <f t="shared" si="2"/>
        <v/>
      </c>
      <c r="J138" s="27" t="str">
        <f t="shared" si="3"/>
        <v/>
      </c>
      <c r="K138" s="27" t="str">
        <f t="shared" si="4"/>
        <v/>
      </c>
      <c r="L138" s="32"/>
      <c r="M138" s="32"/>
      <c r="N138" s="34"/>
      <c r="O138" s="27" t="str">
        <f t="shared" si="10"/>
        <v/>
      </c>
      <c r="P138" s="28" t="str">
        <f t="shared" si="5"/>
        <v/>
      </c>
      <c r="Q138" s="27" t="str">
        <f t="shared" si="6"/>
        <v/>
      </c>
      <c r="R138" s="35" t="str">
        <f t="shared" si="7"/>
        <v/>
      </c>
      <c r="S138" s="31" t="str">
        <f t="shared" si="8"/>
        <v/>
      </c>
      <c r="T138" s="28" t="str">
        <f t="shared" si="9"/>
        <v/>
      </c>
    </row>
    <row r="139" ht="15.75" customHeight="1">
      <c r="A139" s="23"/>
      <c r="B139" s="23"/>
      <c r="C139" s="24"/>
      <c r="D139" s="24"/>
      <c r="E139" s="26"/>
      <c r="F139" s="27" t="str">
        <f t="shared" si="1"/>
        <v/>
      </c>
      <c r="G139" s="29" t="str">
        <f t="array" ref="G139">IF($A139="","",IFERROR(INDEX('2. Plot &amp; Core Log'!$M$6:$M$35,MATCH($A139,'2. Plot &amp; Core Log'!$B$6:$B$35,0)),""))</f>
        <v/>
      </c>
      <c r="H139" s="30" t="str">
        <f t="array" ref="H139">IF($A139="","",IFERROR(INDEX('2. Plot &amp; Core Log'!$J$6:$J$35,MATCH($A139,'2. Plot &amp; Core Log'!$B$6:$B$35,0)),""))</f>
        <v/>
      </c>
      <c r="I139" s="27" t="str">
        <f t="shared" si="2"/>
        <v/>
      </c>
      <c r="J139" s="27" t="str">
        <f t="shared" si="3"/>
        <v/>
      </c>
      <c r="K139" s="27" t="str">
        <f t="shared" si="4"/>
        <v/>
      </c>
      <c r="L139" s="32"/>
      <c r="M139" s="32"/>
      <c r="N139" s="34"/>
      <c r="O139" s="27" t="str">
        <f t="shared" si="10"/>
        <v/>
      </c>
      <c r="P139" s="28" t="str">
        <f t="shared" si="5"/>
        <v/>
      </c>
      <c r="Q139" s="27" t="str">
        <f t="shared" si="6"/>
        <v/>
      </c>
      <c r="R139" s="35" t="str">
        <f t="shared" si="7"/>
        <v/>
      </c>
      <c r="S139" s="31" t="str">
        <f t="shared" si="8"/>
        <v/>
      </c>
      <c r="T139" s="28" t="str">
        <f t="shared" si="9"/>
        <v/>
      </c>
    </row>
    <row r="140" ht="15.75" customHeight="1">
      <c r="A140" s="23"/>
      <c r="B140" s="23"/>
      <c r="C140" s="24"/>
      <c r="D140" s="24"/>
      <c r="E140" s="26"/>
      <c r="F140" s="27" t="str">
        <f t="shared" si="1"/>
        <v/>
      </c>
      <c r="G140" s="29" t="str">
        <f t="array" ref="G140">IF($A140="","",IFERROR(INDEX('2. Plot &amp; Core Log'!$M$6:$M$35,MATCH($A140,'2. Plot &amp; Core Log'!$B$6:$B$35,0)),""))</f>
        <v/>
      </c>
      <c r="H140" s="30" t="str">
        <f t="array" ref="H140">IF($A140="","",IFERROR(INDEX('2. Plot &amp; Core Log'!$J$6:$J$35,MATCH($A140,'2. Plot &amp; Core Log'!$B$6:$B$35,0)),""))</f>
        <v/>
      </c>
      <c r="I140" s="27" t="str">
        <f t="shared" si="2"/>
        <v/>
      </c>
      <c r="J140" s="27" t="str">
        <f t="shared" si="3"/>
        <v/>
      </c>
      <c r="K140" s="27" t="str">
        <f t="shared" si="4"/>
        <v/>
      </c>
      <c r="L140" s="32"/>
      <c r="M140" s="32"/>
      <c r="N140" s="34"/>
      <c r="O140" s="27" t="str">
        <f t="shared" si="10"/>
        <v/>
      </c>
      <c r="P140" s="28" t="str">
        <f t="shared" si="5"/>
        <v/>
      </c>
      <c r="Q140" s="27" t="str">
        <f t="shared" si="6"/>
        <v/>
      </c>
      <c r="R140" s="35" t="str">
        <f t="shared" si="7"/>
        <v/>
      </c>
      <c r="S140" s="31" t="str">
        <f t="shared" si="8"/>
        <v/>
      </c>
      <c r="T140" s="28" t="str">
        <f t="shared" si="9"/>
        <v/>
      </c>
    </row>
    <row r="141" ht="15.75" customHeight="1">
      <c r="A141" s="23"/>
      <c r="B141" s="23"/>
      <c r="C141" s="24"/>
      <c r="D141" s="24"/>
      <c r="E141" s="26"/>
      <c r="F141" s="27" t="str">
        <f t="shared" si="1"/>
        <v/>
      </c>
      <c r="G141" s="29" t="str">
        <f t="array" ref="G141">IF($A141="","",IFERROR(INDEX('2. Plot &amp; Core Log'!$M$6:$M$35,MATCH($A141,'2. Plot &amp; Core Log'!$B$6:$B$35,0)),""))</f>
        <v/>
      </c>
      <c r="H141" s="30" t="str">
        <f t="array" ref="H141">IF($A141="","",IFERROR(INDEX('2. Plot &amp; Core Log'!$J$6:$J$35,MATCH($A141,'2. Plot &amp; Core Log'!$B$6:$B$35,0)),""))</f>
        <v/>
      </c>
      <c r="I141" s="27" t="str">
        <f t="shared" si="2"/>
        <v/>
      </c>
      <c r="J141" s="27" t="str">
        <f t="shared" si="3"/>
        <v/>
      </c>
      <c r="K141" s="27" t="str">
        <f t="shared" si="4"/>
        <v/>
      </c>
      <c r="L141" s="32"/>
      <c r="M141" s="32"/>
      <c r="N141" s="34"/>
      <c r="O141" s="27" t="str">
        <f t="shared" si="10"/>
        <v/>
      </c>
      <c r="P141" s="28" t="str">
        <f t="shared" si="5"/>
        <v/>
      </c>
      <c r="Q141" s="27" t="str">
        <f t="shared" si="6"/>
        <v/>
      </c>
      <c r="R141" s="35" t="str">
        <f t="shared" si="7"/>
        <v/>
      </c>
      <c r="S141" s="31" t="str">
        <f t="shared" si="8"/>
        <v/>
      </c>
      <c r="T141" s="28" t="str">
        <f t="shared" si="9"/>
        <v/>
      </c>
    </row>
    <row r="142" ht="15.75" customHeight="1">
      <c r="A142" s="23"/>
      <c r="B142" s="23"/>
      <c r="C142" s="24"/>
      <c r="D142" s="24"/>
      <c r="E142" s="26"/>
      <c r="F142" s="27" t="str">
        <f t="shared" si="1"/>
        <v/>
      </c>
      <c r="G142" s="29" t="str">
        <f t="array" ref="G142">IF($A142="","",IFERROR(INDEX('2. Plot &amp; Core Log'!$M$6:$M$35,MATCH($A142,'2. Plot &amp; Core Log'!$B$6:$B$35,0)),""))</f>
        <v/>
      </c>
      <c r="H142" s="30" t="str">
        <f t="array" ref="H142">IF($A142="","",IFERROR(INDEX('2. Plot &amp; Core Log'!$J$6:$J$35,MATCH($A142,'2. Plot &amp; Core Log'!$B$6:$B$35,0)),""))</f>
        <v/>
      </c>
      <c r="I142" s="27" t="str">
        <f t="shared" si="2"/>
        <v/>
      </c>
      <c r="J142" s="27" t="str">
        <f t="shared" si="3"/>
        <v/>
      </c>
      <c r="K142" s="27" t="str">
        <f t="shared" si="4"/>
        <v/>
      </c>
      <c r="L142" s="32"/>
      <c r="M142" s="32"/>
      <c r="N142" s="34"/>
      <c r="O142" s="27" t="str">
        <f t="shared" si="10"/>
        <v/>
      </c>
      <c r="P142" s="28" t="str">
        <f t="shared" si="5"/>
        <v/>
      </c>
      <c r="Q142" s="27" t="str">
        <f t="shared" si="6"/>
        <v/>
      </c>
      <c r="R142" s="35" t="str">
        <f t="shared" si="7"/>
        <v/>
      </c>
      <c r="S142" s="31" t="str">
        <f t="shared" si="8"/>
        <v/>
      </c>
      <c r="T142" s="28" t="str">
        <f t="shared" si="9"/>
        <v/>
      </c>
    </row>
    <row r="143" ht="15.75" customHeight="1">
      <c r="A143" s="23"/>
      <c r="B143" s="23"/>
      <c r="C143" s="24"/>
      <c r="D143" s="24"/>
      <c r="E143" s="26"/>
      <c r="F143" s="27" t="str">
        <f t="shared" si="1"/>
        <v/>
      </c>
      <c r="G143" s="29" t="str">
        <f t="array" ref="G143">IF($A143="","",IFERROR(INDEX('2. Plot &amp; Core Log'!$M$6:$M$35,MATCH($A143,'2. Plot &amp; Core Log'!$B$6:$B$35,0)),""))</f>
        <v/>
      </c>
      <c r="H143" s="30" t="str">
        <f t="array" ref="H143">IF($A143="","",IFERROR(INDEX('2. Plot &amp; Core Log'!$J$6:$J$35,MATCH($A143,'2. Plot &amp; Core Log'!$B$6:$B$35,0)),""))</f>
        <v/>
      </c>
      <c r="I143" s="27" t="str">
        <f t="shared" si="2"/>
        <v/>
      </c>
      <c r="J143" s="27" t="str">
        <f t="shared" si="3"/>
        <v/>
      </c>
      <c r="K143" s="27" t="str">
        <f t="shared" si="4"/>
        <v/>
      </c>
      <c r="L143" s="32"/>
      <c r="M143" s="32"/>
      <c r="N143" s="34"/>
      <c r="O143" s="27" t="str">
        <f t="shared" si="10"/>
        <v/>
      </c>
      <c r="P143" s="28" t="str">
        <f t="shared" si="5"/>
        <v/>
      </c>
      <c r="Q143" s="27" t="str">
        <f t="shared" si="6"/>
        <v/>
      </c>
      <c r="R143" s="35" t="str">
        <f t="shared" si="7"/>
        <v/>
      </c>
      <c r="S143" s="31" t="str">
        <f t="shared" si="8"/>
        <v/>
      </c>
      <c r="T143" s="28" t="str">
        <f t="shared" si="9"/>
        <v/>
      </c>
    </row>
    <row r="144" ht="15.75" customHeight="1">
      <c r="A144" s="23"/>
      <c r="B144" s="23"/>
      <c r="C144" s="24"/>
      <c r="D144" s="24"/>
      <c r="E144" s="26"/>
      <c r="F144" s="27" t="str">
        <f t="shared" si="1"/>
        <v/>
      </c>
      <c r="G144" s="29" t="str">
        <f t="array" ref="G144">IF($A144="","",IFERROR(INDEX('2. Plot &amp; Core Log'!$M$6:$M$35,MATCH($A144,'2. Plot &amp; Core Log'!$B$6:$B$35,0)),""))</f>
        <v/>
      </c>
      <c r="H144" s="30" t="str">
        <f t="array" ref="H144">IF($A144="","",IFERROR(INDEX('2. Plot &amp; Core Log'!$J$6:$J$35,MATCH($A144,'2. Plot &amp; Core Log'!$B$6:$B$35,0)),""))</f>
        <v/>
      </c>
      <c r="I144" s="27" t="str">
        <f t="shared" si="2"/>
        <v/>
      </c>
      <c r="J144" s="27" t="str">
        <f t="shared" si="3"/>
        <v/>
      </c>
      <c r="K144" s="27" t="str">
        <f t="shared" si="4"/>
        <v/>
      </c>
      <c r="L144" s="32"/>
      <c r="M144" s="32"/>
      <c r="N144" s="34"/>
      <c r="O144" s="27" t="str">
        <f t="shared" si="10"/>
        <v/>
      </c>
      <c r="P144" s="28" t="str">
        <f t="shared" si="5"/>
        <v/>
      </c>
      <c r="Q144" s="27" t="str">
        <f t="shared" si="6"/>
        <v/>
      </c>
      <c r="R144" s="35" t="str">
        <f t="shared" si="7"/>
        <v/>
      </c>
      <c r="S144" s="31" t="str">
        <f t="shared" si="8"/>
        <v/>
      </c>
      <c r="T144" s="28" t="str">
        <f t="shared" si="9"/>
        <v/>
      </c>
    </row>
    <row r="145" ht="15.75" customHeight="1">
      <c r="A145" s="23"/>
      <c r="B145" s="23"/>
      <c r="C145" s="24"/>
      <c r="D145" s="24"/>
      <c r="E145" s="26"/>
      <c r="F145" s="27" t="str">
        <f t="shared" si="1"/>
        <v/>
      </c>
      <c r="G145" s="29" t="str">
        <f t="array" ref="G145">IF($A145="","",IFERROR(INDEX('2. Plot &amp; Core Log'!$M$6:$M$35,MATCH($A145,'2. Plot &amp; Core Log'!$B$6:$B$35,0)),""))</f>
        <v/>
      </c>
      <c r="H145" s="30" t="str">
        <f t="array" ref="H145">IF($A145="","",IFERROR(INDEX('2. Plot &amp; Core Log'!$J$6:$J$35,MATCH($A145,'2. Plot &amp; Core Log'!$B$6:$B$35,0)),""))</f>
        <v/>
      </c>
      <c r="I145" s="27" t="str">
        <f t="shared" si="2"/>
        <v/>
      </c>
      <c r="J145" s="27" t="str">
        <f t="shared" si="3"/>
        <v/>
      </c>
      <c r="K145" s="27" t="str">
        <f t="shared" si="4"/>
        <v/>
      </c>
      <c r="L145" s="32"/>
      <c r="M145" s="32"/>
      <c r="N145" s="34"/>
      <c r="O145" s="27" t="str">
        <f t="shared" si="10"/>
        <v/>
      </c>
      <c r="P145" s="28" t="str">
        <f t="shared" si="5"/>
        <v/>
      </c>
      <c r="Q145" s="27" t="str">
        <f t="shared" si="6"/>
        <v/>
      </c>
      <c r="R145" s="35" t="str">
        <f t="shared" si="7"/>
        <v/>
      </c>
      <c r="S145" s="31" t="str">
        <f t="shared" si="8"/>
        <v/>
      </c>
      <c r="T145" s="28" t="str">
        <f t="shared" si="9"/>
        <v/>
      </c>
    </row>
    <row r="146" ht="15.75" customHeight="1">
      <c r="A146" s="23"/>
      <c r="B146" s="23"/>
      <c r="C146" s="24"/>
      <c r="D146" s="24"/>
      <c r="E146" s="26"/>
      <c r="F146" s="27" t="str">
        <f t="shared" si="1"/>
        <v/>
      </c>
      <c r="G146" s="29" t="str">
        <f t="array" ref="G146">IF($A146="","",IFERROR(INDEX('2. Plot &amp; Core Log'!$M$6:$M$35,MATCH($A146,'2. Plot &amp; Core Log'!$B$6:$B$35,0)),""))</f>
        <v/>
      </c>
      <c r="H146" s="30" t="str">
        <f t="array" ref="H146">IF($A146="","",IFERROR(INDEX('2. Plot &amp; Core Log'!$J$6:$J$35,MATCH($A146,'2. Plot &amp; Core Log'!$B$6:$B$35,0)),""))</f>
        <v/>
      </c>
      <c r="I146" s="27" t="str">
        <f t="shared" si="2"/>
        <v/>
      </c>
      <c r="J146" s="27" t="str">
        <f t="shared" si="3"/>
        <v/>
      </c>
      <c r="K146" s="27" t="str">
        <f t="shared" si="4"/>
        <v/>
      </c>
      <c r="L146" s="32"/>
      <c r="M146" s="32"/>
      <c r="N146" s="34"/>
      <c r="O146" s="27" t="str">
        <f t="shared" si="10"/>
        <v/>
      </c>
      <c r="P146" s="28" t="str">
        <f t="shared" si="5"/>
        <v/>
      </c>
      <c r="Q146" s="27" t="str">
        <f t="shared" si="6"/>
        <v/>
      </c>
      <c r="R146" s="35" t="str">
        <f t="shared" si="7"/>
        <v/>
      </c>
      <c r="S146" s="31" t="str">
        <f t="shared" si="8"/>
        <v/>
      </c>
      <c r="T146" s="28" t="str">
        <f t="shared" si="9"/>
        <v/>
      </c>
    </row>
    <row r="147" ht="15.75" customHeight="1">
      <c r="A147" s="23"/>
      <c r="B147" s="23"/>
      <c r="C147" s="24"/>
      <c r="D147" s="24"/>
      <c r="E147" s="26"/>
      <c r="F147" s="27" t="str">
        <f t="shared" si="1"/>
        <v/>
      </c>
      <c r="G147" s="29" t="str">
        <f t="array" ref="G147">IF($A147="","",IFERROR(INDEX('2. Plot &amp; Core Log'!$M$6:$M$35,MATCH($A147,'2. Plot &amp; Core Log'!$B$6:$B$35,0)),""))</f>
        <v/>
      </c>
      <c r="H147" s="30" t="str">
        <f t="array" ref="H147">IF($A147="","",IFERROR(INDEX('2. Plot &amp; Core Log'!$J$6:$J$35,MATCH($A147,'2. Plot &amp; Core Log'!$B$6:$B$35,0)),""))</f>
        <v/>
      </c>
      <c r="I147" s="27" t="str">
        <f t="shared" si="2"/>
        <v/>
      </c>
      <c r="J147" s="27" t="str">
        <f t="shared" si="3"/>
        <v/>
      </c>
      <c r="K147" s="27" t="str">
        <f t="shared" si="4"/>
        <v/>
      </c>
      <c r="L147" s="32"/>
      <c r="M147" s="32"/>
      <c r="N147" s="34"/>
      <c r="O147" s="27" t="str">
        <f t="shared" si="10"/>
        <v/>
      </c>
      <c r="P147" s="28" t="str">
        <f t="shared" si="5"/>
        <v/>
      </c>
      <c r="Q147" s="27" t="str">
        <f t="shared" si="6"/>
        <v/>
      </c>
      <c r="R147" s="35" t="str">
        <f t="shared" si="7"/>
        <v/>
      </c>
      <c r="S147" s="31" t="str">
        <f t="shared" si="8"/>
        <v/>
      </c>
      <c r="T147" s="28" t="str">
        <f t="shared" si="9"/>
        <v/>
      </c>
    </row>
    <row r="148" ht="15.75" customHeight="1">
      <c r="A148" s="23"/>
      <c r="B148" s="23"/>
      <c r="C148" s="24"/>
      <c r="D148" s="24"/>
      <c r="E148" s="26"/>
      <c r="F148" s="27" t="str">
        <f t="shared" si="1"/>
        <v/>
      </c>
      <c r="G148" s="29" t="str">
        <f t="array" ref="G148">IF($A148="","",IFERROR(INDEX('2. Plot &amp; Core Log'!$M$6:$M$35,MATCH($A148,'2. Plot &amp; Core Log'!$B$6:$B$35,0)),""))</f>
        <v/>
      </c>
      <c r="H148" s="30" t="str">
        <f t="array" ref="H148">IF($A148="","",IFERROR(INDEX('2. Plot &amp; Core Log'!$J$6:$J$35,MATCH($A148,'2. Plot &amp; Core Log'!$B$6:$B$35,0)),""))</f>
        <v/>
      </c>
      <c r="I148" s="27" t="str">
        <f t="shared" si="2"/>
        <v/>
      </c>
      <c r="J148" s="27" t="str">
        <f t="shared" si="3"/>
        <v/>
      </c>
      <c r="K148" s="27" t="str">
        <f t="shared" si="4"/>
        <v/>
      </c>
      <c r="L148" s="32"/>
      <c r="M148" s="32"/>
      <c r="N148" s="34"/>
      <c r="O148" s="27" t="str">
        <f t="shared" si="10"/>
        <v/>
      </c>
      <c r="P148" s="28" t="str">
        <f t="shared" si="5"/>
        <v/>
      </c>
      <c r="Q148" s="27" t="str">
        <f t="shared" si="6"/>
        <v/>
      </c>
      <c r="R148" s="35" t="str">
        <f t="shared" si="7"/>
        <v/>
      </c>
      <c r="S148" s="31" t="str">
        <f t="shared" si="8"/>
        <v/>
      </c>
      <c r="T148" s="28" t="str">
        <f t="shared" si="9"/>
        <v/>
      </c>
    </row>
    <row r="149" ht="15.75" customHeight="1">
      <c r="A149" s="23"/>
      <c r="B149" s="23"/>
      <c r="C149" s="24"/>
      <c r="D149" s="24"/>
      <c r="E149" s="26"/>
      <c r="F149" s="27" t="str">
        <f t="shared" si="1"/>
        <v/>
      </c>
      <c r="G149" s="29" t="str">
        <f t="array" ref="G149">IF($A149="","",IFERROR(INDEX('2. Plot &amp; Core Log'!$M$6:$M$35,MATCH($A149,'2. Plot &amp; Core Log'!$B$6:$B$35,0)),""))</f>
        <v/>
      </c>
      <c r="H149" s="30" t="str">
        <f t="array" ref="H149">IF($A149="","",IFERROR(INDEX('2. Plot &amp; Core Log'!$J$6:$J$35,MATCH($A149,'2. Plot &amp; Core Log'!$B$6:$B$35,0)),""))</f>
        <v/>
      </c>
      <c r="I149" s="27" t="str">
        <f t="shared" si="2"/>
        <v/>
      </c>
      <c r="J149" s="27" t="str">
        <f t="shared" si="3"/>
        <v/>
      </c>
      <c r="K149" s="27" t="str">
        <f t="shared" si="4"/>
        <v/>
      </c>
      <c r="L149" s="32"/>
      <c r="M149" s="32"/>
      <c r="N149" s="34"/>
      <c r="O149" s="27" t="str">
        <f t="shared" si="10"/>
        <v/>
      </c>
      <c r="P149" s="28" t="str">
        <f t="shared" si="5"/>
        <v/>
      </c>
      <c r="Q149" s="27" t="str">
        <f t="shared" si="6"/>
        <v/>
      </c>
      <c r="R149" s="35" t="str">
        <f t="shared" si="7"/>
        <v/>
      </c>
      <c r="S149" s="31" t="str">
        <f t="shared" si="8"/>
        <v/>
      </c>
      <c r="T149" s="28" t="str">
        <f t="shared" si="9"/>
        <v/>
      </c>
    </row>
    <row r="150" ht="15.75" customHeight="1">
      <c r="A150" s="23"/>
      <c r="B150" s="23"/>
      <c r="C150" s="24"/>
      <c r="D150" s="24"/>
      <c r="E150" s="26"/>
      <c r="F150" s="27" t="str">
        <f t="shared" si="1"/>
        <v/>
      </c>
      <c r="G150" s="29" t="str">
        <f t="array" ref="G150">IF($A150="","",IFERROR(INDEX('2. Plot &amp; Core Log'!$M$6:$M$35,MATCH($A150,'2. Plot &amp; Core Log'!$B$6:$B$35,0)),""))</f>
        <v/>
      </c>
      <c r="H150" s="30" t="str">
        <f t="array" ref="H150">IF($A150="","",IFERROR(INDEX('2. Plot &amp; Core Log'!$J$6:$J$35,MATCH($A150,'2. Plot &amp; Core Log'!$B$6:$B$35,0)),""))</f>
        <v/>
      </c>
      <c r="I150" s="27" t="str">
        <f t="shared" si="2"/>
        <v/>
      </c>
      <c r="J150" s="27" t="str">
        <f t="shared" si="3"/>
        <v/>
      </c>
      <c r="K150" s="27" t="str">
        <f t="shared" si="4"/>
        <v/>
      </c>
      <c r="L150" s="32"/>
      <c r="M150" s="32"/>
      <c r="N150" s="34"/>
      <c r="O150" s="27" t="str">
        <f t="shared" si="10"/>
        <v/>
      </c>
      <c r="P150" s="28" t="str">
        <f t="shared" si="5"/>
        <v/>
      </c>
      <c r="Q150" s="27" t="str">
        <f t="shared" si="6"/>
        <v/>
      </c>
      <c r="R150" s="35" t="str">
        <f t="shared" si="7"/>
        <v/>
      </c>
      <c r="S150" s="31" t="str">
        <f t="shared" si="8"/>
        <v/>
      </c>
      <c r="T150" s="28" t="str">
        <f t="shared" si="9"/>
        <v/>
      </c>
    </row>
    <row r="151" ht="15.75" customHeight="1">
      <c r="A151" s="23"/>
      <c r="B151" s="23"/>
      <c r="C151" s="24"/>
      <c r="D151" s="24"/>
      <c r="E151" s="26"/>
      <c r="F151" s="27" t="str">
        <f t="shared" si="1"/>
        <v/>
      </c>
      <c r="G151" s="29" t="str">
        <f t="array" ref="G151">IF($A151="","",IFERROR(INDEX('2. Plot &amp; Core Log'!$M$6:$M$35,MATCH($A151,'2. Plot &amp; Core Log'!$B$6:$B$35,0)),""))</f>
        <v/>
      </c>
      <c r="H151" s="30" t="str">
        <f t="array" ref="H151">IF($A151="","",IFERROR(INDEX('2. Plot &amp; Core Log'!$J$6:$J$35,MATCH($A151,'2. Plot &amp; Core Log'!$B$6:$B$35,0)),""))</f>
        <v/>
      </c>
      <c r="I151" s="27" t="str">
        <f t="shared" si="2"/>
        <v/>
      </c>
      <c r="J151" s="27" t="str">
        <f t="shared" si="3"/>
        <v/>
      </c>
      <c r="K151" s="27" t="str">
        <f t="shared" si="4"/>
        <v/>
      </c>
      <c r="L151" s="32"/>
      <c r="M151" s="32"/>
      <c r="N151" s="34"/>
      <c r="O151" s="27" t="str">
        <f t="shared" si="10"/>
        <v/>
      </c>
      <c r="P151" s="28" t="str">
        <f t="shared" si="5"/>
        <v/>
      </c>
      <c r="Q151" s="27" t="str">
        <f t="shared" si="6"/>
        <v/>
      </c>
      <c r="R151" s="35" t="str">
        <f t="shared" si="7"/>
        <v/>
      </c>
      <c r="S151" s="31" t="str">
        <f t="shared" si="8"/>
        <v/>
      </c>
      <c r="T151" s="28" t="str">
        <f t="shared" si="9"/>
        <v/>
      </c>
    </row>
    <row r="152" ht="15.75" customHeight="1">
      <c r="A152" s="23"/>
      <c r="B152" s="23"/>
      <c r="C152" s="24"/>
      <c r="D152" s="24"/>
      <c r="E152" s="26"/>
      <c r="F152" s="27" t="str">
        <f t="shared" si="1"/>
        <v/>
      </c>
      <c r="G152" s="29" t="str">
        <f t="array" ref="G152">IF($A152="","",IFERROR(INDEX('2. Plot &amp; Core Log'!$M$6:$M$35,MATCH($A152,'2. Plot &amp; Core Log'!$B$6:$B$35,0)),""))</f>
        <v/>
      </c>
      <c r="H152" s="30" t="str">
        <f t="array" ref="H152">IF($A152="","",IFERROR(INDEX('2. Plot &amp; Core Log'!$J$6:$J$35,MATCH($A152,'2. Plot &amp; Core Log'!$B$6:$B$35,0)),""))</f>
        <v/>
      </c>
      <c r="I152" s="27" t="str">
        <f t="shared" si="2"/>
        <v/>
      </c>
      <c r="J152" s="27" t="str">
        <f t="shared" si="3"/>
        <v/>
      </c>
      <c r="K152" s="27" t="str">
        <f t="shared" si="4"/>
        <v/>
      </c>
      <c r="L152" s="32"/>
      <c r="M152" s="32"/>
      <c r="N152" s="34"/>
      <c r="O152" s="27" t="str">
        <f t="shared" si="10"/>
        <v/>
      </c>
      <c r="P152" s="28" t="str">
        <f t="shared" si="5"/>
        <v/>
      </c>
      <c r="Q152" s="27" t="str">
        <f t="shared" si="6"/>
        <v/>
      </c>
      <c r="R152" s="35" t="str">
        <f t="shared" si="7"/>
        <v/>
      </c>
      <c r="S152" s="31" t="str">
        <f t="shared" si="8"/>
        <v/>
      </c>
      <c r="T152" s="28" t="str">
        <f t="shared" si="9"/>
        <v/>
      </c>
    </row>
    <row r="153" ht="15.75" customHeight="1">
      <c r="A153" s="23"/>
      <c r="B153" s="23"/>
      <c r="C153" s="24"/>
      <c r="D153" s="24"/>
      <c r="E153" s="26"/>
      <c r="F153" s="27" t="str">
        <f t="shared" si="1"/>
        <v/>
      </c>
      <c r="G153" s="29" t="str">
        <f t="array" ref="G153">IF($A153="","",IFERROR(INDEX('2. Plot &amp; Core Log'!$M$6:$M$35,MATCH($A153,'2. Plot &amp; Core Log'!$B$6:$B$35,0)),""))</f>
        <v/>
      </c>
      <c r="H153" s="30" t="str">
        <f t="array" ref="H153">IF($A153="","",IFERROR(INDEX('2. Plot &amp; Core Log'!$J$6:$J$35,MATCH($A153,'2. Plot &amp; Core Log'!$B$6:$B$35,0)),""))</f>
        <v/>
      </c>
      <c r="I153" s="27" t="str">
        <f t="shared" si="2"/>
        <v/>
      </c>
      <c r="J153" s="27" t="str">
        <f t="shared" si="3"/>
        <v/>
      </c>
      <c r="K153" s="27" t="str">
        <f t="shared" si="4"/>
        <v/>
      </c>
      <c r="L153" s="32"/>
      <c r="M153" s="32"/>
      <c r="N153" s="34"/>
      <c r="O153" s="27" t="str">
        <f t="shared" si="10"/>
        <v/>
      </c>
      <c r="P153" s="28" t="str">
        <f t="shared" si="5"/>
        <v/>
      </c>
      <c r="Q153" s="27" t="str">
        <f t="shared" si="6"/>
        <v/>
      </c>
      <c r="R153" s="35" t="str">
        <f t="shared" si="7"/>
        <v/>
      </c>
      <c r="S153" s="31" t="str">
        <f t="shared" si="8"/>
        <v/>
      </c>
      <c r="T153" s="28" t="str">
        <f t="shared" si="9"/>
        <v/>
      </c>
    </row>
    <row r="154" ht="15.75" customHeight="1">
      <c r="A154" s="23"/>
      <c r="B154" s="23"/>
      <c r="C154" s="24"/>
      <c r="D154" s="24"/>
      <c r="E154" s="26"/>
      <c r="F154" s="27" t="str">
        <f t="shared" si="1"/>
        <v/>
      </c>
      <c r="G154" s="29" t="str">
        <f t="array" ref="G154">IF($A154="","",IFERROR(INDEX('2. Plot &amp; Core Log'!$M$6:$M$35,MATCH($A154,'2. Plot &amp; Core Log'!$B$6:$B$35,0)),""))</f>
        <v/>
      </c>
      <c r="H154" s="30" t="str">
        <f t="array" ref="H154">IF($A154="","",IFERROR(INDEX('2. Plot &amp; Core Log'!$J$6:$J$35,MATCH($A154,'2. Plot &amp; Core Log'!$B$6:$B$35,0)),""))</f>
        <v/>
      </c>
      <c r="I154" s="27" t="str">
        <f t="shared" si="2"/>
        <v/>
      </c>
      <c r="J154" s="27" t="str">
        <f t="shared" si="3"/>
        <v/>
      </c>
      <c r="K154" s="27" t="str">
        <f t="shared" si="4"/>
        <v/>
      </c>
      <c r="L154" s="32"/>
      <c r="M154" s="32"/>
      <c r="N154" s="34"/>
      <c r="O154" s="27" t="str">
        <f t="shared" si="10"/>
        <v/>
      </c>
      <c r="P154" s="28" t="str">
        <f t="shared" si="5"/>
        <v/>
      </c>
      <c r="Q154" s="27" t="str">
        <f t="shared" si="6"/>
        <v/>
      </c>
      <c r="R154" s="35" t="str">
        <f t="shared" si="7"/>
        <v/>
      </c>
      <c r="S154" s="31" t="str">
        <f t="shared" si="8"/>
        <v/>
      </c>
      <c r="T154" s="28" t="str">
        <f t="shared" si="9"/>
        <v/>
      </c>
    </row>
    <row r="155" ht="15.75" customHeight="1">
      <c r="A155" s="23"/>
      <c r="B155" s="23"/>
      <c r="C155" s="24"/>
      <c r="D155" s="24"/>
      <c r="E155" s="26"/>
      <c r="F155" s="27" t="str">
        <f t="shared" si="1"/>
        <v/>
      </c>
      <c r="G155" s="29" t="str">
        <f t="array" ref="G155">IF($A155="","",IFERROR(INDEX('2. Plot &amp; Core Log'!$M$6:$M$35,MATCH($A155,'2. Plot &amp; Core Log'!$B$6:$B$35,0)),""))</f>
        <v/>
      </c>
      <c r="H155" s="30" t="str">
        <f t="array" ref="H155">IF($A155="","",IFERROR(INDEX('2. Plot &amp; Core Log'!$J$6:$J$35,MATCH($A155,'2. Plot &amp; Core Log'!$B$6:$B$35,0)),""))</f>
        <v/>
      </c>
      <c r="I155" s="27" t="str">
        <f t="shared" si="2"/>
        <v/>
      </c>
      <c r="J155" s="27" t="str">
        <f t="shared" si="3"/>
        <v/>
      </c>
      <c r="K155" s="27" t="str">
        <f t="shared" si="4"/>
        <v/>
      </c>
      <c r="L155" s="32"/>
      <c r="M155" s="32"/>
      <c r="N155" s="34"/>
      <c r="O155" s="27" t="str">
        <f t="shared" si="10"/>
        <v/>
      </c>
      <c r="P155" s="28" t="str">
        <f t="shared" si="5"/>
        <v/>
      </c>
      <c r="Q155" s="27" t="str">
        <f t="shared" si="6"/>
        <v/>
      </c>
      <c r="R155" s="35" t="str">
        <f t="shared" si="7"/>
        <v/>
      </c>
      <c r="S155" s="31" t="str">
        <f t="shared" si="8"/>
        <v/>
      </c>
      <c r="T155" s="28" t="str">
        <f t="shared" si="9"/>
        <v/>
      </c>
    </row>
    <row r="156" ht="15.75" customHeight="1">
      <c r="A156" s="23"/>
      <c r="B156" s="23"/>
      <c r="C156" s="24"/>
      <c r="D156" s="24"/>
      <c r="E156" s="26"/>
      <c r="F156" s="27" t="str">
        <f t="shared" si="1"/>
        <v/>
      </c>
      <c r="G156" s="29" t="str">
        <f t="array" ref="G156">IF($A156="","",IFERROR(INDEX('2. Plot &amp; Core Log'!$M$6:$M$35,MATCH($A156,'2. Plot &amp; Core Log'!$B$6:$B$35,0)),""))</f>
        <v/>
      </c>
      <c r="H156" s="30" t="str">
        <f t="array" ref="H156">IF($A156="","",IFERROR(INDEX('2. Plot &amp; Core Log'!$J$6:$J$35,MATCH($A156,'2. Plot &amp; Core Log'!$B$6:$B$35,0)),""))</f>
        <v/>
      </c>
      <c r="I156" s="27" t="str">
        <f t="shared" si="2"/>
        <v/>
      </c>
      <c r="J156" s="27" t="str">
        <f t="shared" si="3"/>
        <v/>
      </c>
      <c r="K156" s="27" t="str">
        <f t="shared" si="4"/>
        <v/>
      </c>
      <c r="L156" s="32"/>
      <c r="M156" s="32"/>
      <c r="N156" s="34"/>
      <c r="O156" s="27" t="str">
        <f t="shared" si="10"/>
        <v/>
      </c>
      <c r="P156" s="28" t="str">
        <f t="shared" si="5"/>
        <v/>
      </c>
      <c r="Q156" s="27" t="str">
        <f t="shared" si="6"/>
        <v/>
      </c>
      <c r="R156" s="35" t="str">
        <f t="shared" si="7"/>
        <v/>
      </c>
      <c r="S156" s="31" t="str">
        <f t="shared" si="8"/>
        <v/>
      </c>
      <c r="T156" s="28" t="str">
        <f t="shared" si="9"/>
        <v/>
      </c>
    </row>
    <row r="157" ht="15.75" customHeight="1">
      <c r="A157" s="23"/>
      <c r="B157" s="23"/>
      <c r="C157" s="24"/>
      <c r="D157" s="24"/>
      <c r="E157" s="26"/>
      <c r="F157" s="27" t="str">
        <f t="shared" si="1"/>
        <v/>
      </c>
      <c r="G157" s="29" t="str">
        <f t="array" ref="G157">IF($A157="","",IFERROR(INDEX('2. Plot &amp; Core Log'!$M$6:$M$35,MATCH($A157,'2. Plot &amp; Core Log'!$B$6:$B$35,0)),""))</f>
        <v/>
      </c>
      <c r="H157" s="30" t="str">
        <f t="array" ref="H157">IF($A157="","",IFERROR(INDEX('2. Plot &amp; Core Log'!$J$6:$J$35,MATCH($A157,'2. Plot &amp; Core Log'!$B$6:$B$35,0)),""))</f>
        <v/>
      </c>
      <c r="I157" s="27" t="str">
        <f t="shared" si="2"/>
        <v/>
      </c>
      <c r="J157" s="27" t="str">
        <f t="shared" si="3"/>
        <v/>
      </c>
      <c r="K157" s="27" t="str">
        <f t="shared" si="4"/>
        <v/>
      </c>
      <c r="L157" s="32"/>
      <c r="M157" s="32"/>
      <c r="N157" s="34"/>
      <c r="O157" s="27" t="str">
        <f t="shared" si="10"/>
        <v/>
      </c>
      <c r="P157" s="28" t="str">
        <f t="shared" si="5"/>
        <v/>
      </c>
      <c r="Q157" s="27" t="str">
        <f t="shared" si="6"/>
        <v/>
      </c>
      <c r="R157" s="35" t="str">
        <f t="shared" si="7"/>
        <v/>
      </c>
      <c r="S157" s="31" t="str">
        <f t="shared" si="8"/>
        <v/>
      </c>
      <c r="T157" s="28" t="str">
        <f t="shared" si="9"/>
        <v/>
      </c>
    </row>
    <row r="158" ht="15.75" customHeight="1">
      <c r="A158" s="23"/>
      <c r="B158" s="23"/>
      <c r="C158" s="24"/>
      <c r="D158" s="24"/>
      <c r="E158" s="26"/>
      <c r="F158" s="27" t="str">
        <f t="shared" si="1"/>
        <v/>
      </c>
      <c r="G158" s="29" t="str">
        <f t="array" ref="G158">IF($A158="","",IFERROR(INDEX('2. Plot &amp; Core Log'!$M$6:$M$35,MATCH($A158,'2. Plot &amp; Core Log'!$B$6:$B$35,0)),""))</f>
        <v/>
      </c>
      <c r="H158" s="30" t="str">
        <f t="array" ref="H158">IF($A158="","",IFERROR(INDEX('2. Plot &amp; Core Log'!$J$6:$J$35,MATCH($A158,'2. Plot &amp; Core Log'!$B$6:$B$35,0)),""))</f>
        <v/>
      </c>
      <c r="I158" s="27" t="str">
        <f t="shared" si="2"/>
        <v/>
      </c>
      <c r="J158" s="27" t="str">
        <f t="shared" si="3"/>
        <v/>
      </c>
      <c r="K158" s="27" t="str">
        <f t="shared" si="4"/>
        <v/>
      </c>
      <c r="L158" s="32"/>
      <c r="M158" s="32"/>
      <c r="N158" s="34"/>
      <c r="O158" s="27" t="str">
        <f t="shared" si="10"/>
        <v/>
      </c>
      <c r="P158" s="28" t="str">
        <f t="shared" si="5"/>
        <v/>
      </c>
      <c r="Q158" s="27" t="str">
        <f t="shared" si="6"/>
        <v/>
      </c>
      <c r="R158" s="35" t="str">
        <f t="shared" si="7"/>
        <v/>
      </c>
      <c r="S158" s="31" t="str">
        <f t="shared" si="8"/>
        <v/>
      </c>
      <c r="T158" s="28" t="str">
        <f t="shared" si="9"/>
        <v/>
      </c>
    </row>
    <row r="159" ht="15.75" customHeight="1">
      <c r="A159" s="23"/>
      <c r="B159" s="23"/>
      <c r="C159" s="24"/>
      <c r="D159" s="24"/>
      <c r="E159" s="26"/>
      <c r="F159" s="27" t="str">
        <f t="shared" si="1"/>
        <v/>
      </c>
      <c r="G159" s="29" t="str">
        <f t="array" ref="G159">IF($A159="","",IFERROR(INDEX('2. Plot &amp; Core Log'!$M$6:$M$35,MATCH($A159,'2. Plot &amp; Core Log'!$B$6:$B$35,0)),""))</f>
        <v/>
      </c>
      <c r="H159" s="30" t="str">
        <f t="array" ref="H159">IF($A159="","",IFERROR(INDEX('2. Plot &amp; Core Log'!$J$6:$J$35,MATCH($A159,'2. Plot &amp; Core Log'!$B$6:$B$35,0)),""))</f>
        <v/>
      </c>
      <c r="I159" s="27" t="str">
        <f t="shared" si="2"/>
        <v/>
      </c>
      <c r="J159" s="27" t="str">
        <f t="shared" si="3"/>
        <v/>
      </c>
      <c r="K159" s="27" t="str">
        <f t="shared" si="4"/>
        <v/>
      </c>
      <c r="L159" s="32"/>
      <c r="M159" s="32"/>
      <c r="N159" s="34"/>
      <c r="O159" s="27" t="str">
        <f t="shared" si="10"/>
        <v/>
      </c>
      <c r="P159" s="28" t="str">
        <f t="shared" si="5"/>
        <v/>
      </c>
      <c r="Q159" s="27" t="str">
        <f t="shared" si="6"/>
        <v/>
      </c>
      <c r="R159" s="35" t="str">
        <f t="shared" si="7"/>
        <v/>
      </c>
      <c r="S159" s="31" t="str">
        <f t="shared" si="8"/>
        <v/>
      </c>
      <c r="T159" s="28" t="str">
        <f t="shared" si="9"/>
        <v/>
      </c>
    </row>
    <row r="160" ht="15.75" customHeight="1">
      <c r="A160" s="23"/>
      <c r="B160" s="23"/>
      <c r="C160" s="24"/>
      <c r="D160" s="24"/>
      <c r="E160" s="26"/>
      <c r="F160" s="27" t="str">
        <f t="shared" si="1"/>
        <v/>
      </c>
      <c r="G160" s="29" t="str">
        <f t="array" ref="G160">IF($A160="","",IFERROR(INDEX('2. Plot &amp; Core Log'!$M$6:$M$35,MATCH($A160,'2. Plot &amp; Core Log'!$B$6:$B$35,0)),""))</f>
        <v/>
      </c>
      <c r="H160" s="30" t="str">
        <f t="array" ref="H160">IF($A160="","",IFERROR(INDEX('2. Plot &amp; Core Log'!$J$6:$J$35,MATCH($A160,'2. Plot &amp; Core Log'!$B$6:$B$35,0)),""))</f>
        <v/>
      </c>
      <c r="I160" s="27" t="str">
        <f t="shared" si="2"/>
        <v/>
      </c>
      <c r="J160" s="27" t="str">
        <f t="shared" si="3"/>
        <v/>
      </c>
      <c r="K160" s="27" t="str">
        <f t="shared" si="4"/>
        <v/>
      </c>
      <c r="L160" s="32"/>
      <c r="M160" s="32"/>
      <c r="N160" s="34"/>
      <c r="O160" s="27" t="str">
        <f t="shared" si="10"/>
        <v/>
      </c>
      <c r="P160" s="28" t="str">
        <f t="shared" si="5"/>
        <v/>
      </c>
      <c r="Q160" s="27" t="str">
        <f t="shared" si="6"/>
        <v/>
      </c>
      <c r="R160" s="35" t="str">
        <f t="shared" si="7"/>
        <v/>
      </c>
      <c r="S160" s="31" t="str">
        <f t="shared" si="8"/>
        <v/>
      </c>
      <c r="T160" s="28" t="str">
        <f t="shared" si="9"/>
        <v/>
      </c>
    </row>
    <row r="161" ht="15.75" customHeight="1">
      <c r="A161" s="23"/>
      <c r="B161" s="23"/>
      <c r="C161" s="24"/>
      <c r="D161" s="24"/>
      <c r="E161" s="26"/>
      <c r="F161" s="27" t="str">
        <f t="shared" si="1"/>
        <v/>
      </c>
      <c r="G161" s="29" t="str">
        <f t="array" ref="G161">IF($A161="","",IFERROR(INDEX('2. Plot &amp; Core Log'!$M$6:$M$35,MATCH($A161,'2. Plot &amp; Core Log'!$B$6:$B$35,0)),""))</f>
        <v/>
      </c>
      <c r="H161" s="30" t="str">
        <f t="array" ref="H161">IF($A161="","",IFERROR(INDEX('2. Plot &amp; Core Log'!$J$6:$J$35,MATCH($A161,'2. Plot &amp; Core Log'!$B$6:$B$35,0)),""))</f>
        <v/>
      </c>
      <c r="I161" s="27" t="str">
        <f t="shared" si="2"/>
        <v/>
      </c>
      <c r="J161" s="27" t="str">
        <f t="shared" si="3"/>
        <v/>
      </c>
      <c r="K161" s="27" t="str">
        <f t="shared" si="4"/>
        <v/>
      </c>
      <c r="L161" s="32"/>
      <c r="M161" s="32"/>
      <c r="N161" s="34"/>
      <c r="O161" s="27" t="str">
        <f t="shared" si="10"/>
        <v/>
      </c>
      <c r="P161" s="28" t="str">
        <f t="shared" si="5"/>
        <v/>
      </c>
      <c r="Q161" s="27" t="str">
        <f t="shared" si="6"/>
        <v/>
      </c>
      <c r="R161" s="35" t="str">
        <f t="shared" si="7"/>
        <v/>
      </c>
      <c r="S161" s="31" t="str">
        <f t="shared" si="8"/>
        <v/>
      </c>
      <c r="T161" s="28" t="str">
        <f t="shared" si="9"/>
        <v/>
      </c>
    </row>
    <row r="162" ht="15.75" customHeight="1">
      <c r="A162" s="23"/>
      <c r="B162" s="23"/>
      <c r="C162" s="24"/>
      <c r="D162" s="24"/>
      <c r="E162" s="26"/>
      <c r="F162" s="27" t="str">
        <f t="shared" si="1"/>
        <v/>
      </c>
      <c r="G162" s="29" t="str">
        <f t="array" ref="G162">IF($A162="","",IFERROR(INDEX('2. Plot &amp; Core Log'!$M$6:$M$35,MATCH($A162,'2. Plot &amp; Core Log'!$B$6:$B$35,0)),""))</f>
        <v/>
      </c>
      <c r="H162" s="30" t="str">
        <f t="array" ref="H162">IF($A162="","",IFERROR(INDEX('2. Plot &amp; Core Log'!$J$6:$J$35,MATCH($A162,'2. Plot &amp; Core Log'!$B$6:$B$35,0)),""))</f>
        <v/>
      </c>
      <c r="I162" s="27" t="str">
        <f t="shared" si="2"/>
        <v/>
      </c>
      <c r="J162" s="27" t="str">
        <f t="shared" si="3"/>
        <v/>
      </c>
      <c r="K162" s="27" t="str">
        <f t="shared" si="4"/>
        <v/>
      </c>
      <c r="L162" s="32"/>
      <c r="M162" s="32"/>
      <c r="N162" s="34"/>
      <c r="O162" s="27" t="str">
        <f t="shared" si="10"/>
        <v/>
      </c>
      <c r="P162" s="28" t="str">
        <f t="shared" si="5"/>
        <v/>
      </c>
      <c r="Q162" s="27" t="str">
        <f t="shared" si="6"/>
        <v/>
      </c>
      <c r="R162" s="35" t="str">
        <f t="shared" si="7"/>
        <v/>
      </c>
      <c r="S162" s="31" t="str">
        <f t="shared" si="8"/>
        <v/>
      </c>
      <c r="T162" s="28" t="str">
        <f t="shared" si="9"/>
        <v/>
      </c>
    </row>
    <row r="163" ht="15.75" customHeight="1">
      <c r="A163" s="23"/>
      <c r="B163" s="23"/>
      <c r="C163" s="24"/>
      <c r="D163" s="24"/>
      <c r="E163" s="26"/>
      <c r="F163" s="27" t="str">
        <f t="shared" si="1"/>
        <v/>
      </c>
      <c r="G163" s="29" t="str">
        <f t="array" ref="G163">IF($A163="","",IFERROR(INDEX('2. Plot &amp; Core Log'!$M$6:$M$35,MATCH($A163,'2. Plot &amp; Core Log'!$B$6:$B$35,0)),""))</f>
        <v/>
      </c>
      <c r="H163" s="30" t="str">
        <f t="array" ref="H163">IF($A163="","",IFERROR(INDEX('2. Plot &amp; Core Log'!$J$6:$J$35,MATCH($A163,'2. Plot &amp; Core Log'!$B$6:$B$35,0)),""))</f>
        <v/>
      </c>
      <c r="I163" s="27" t="str">
        <f t="shared" si="2"/>
        <v/>
      </c>
      <c r="J163" s="27" t="str">
        <f t="shared" si="3"/>
        <v/>
      </c>
      <c r="K163" s="27" t="str">
        <f t="shared" si="4"/>
        <v/>
      </c>
      <c r="L163" s="32"/>
      <c r="M163" s="32"/>
      <c r="N163" s="34"/>
      <c r="O163" s="27" t="str">
        <f t="shared" si="10"/>
        <v/>
      </c>
      <c r="P163" s="28" t="str">
        <f t="shared" si="5"/>
        <v/>
      </c>
      <c r="Q163" s="27" t="str">
        <f t="shared" si="6"/>
        <v/>
      </c>
      <c r="R163" s="35" t="str">
        <f t="shared" si="7"/>
        <v/>
      </c>
      <c r="S163" s="31" t="str">
        <f t="shared" si="8"/>
        <v/>
      </c>
      <c r="T163" s="28" t="str">
        <f t="shared" si="9"/>
        <v/>
      </c>
    </row>
    <row r="164" ht="15.75" customHeight="1">
      <c r="A164" s="23"/>
      <c r="B164" s="23"/>
      <c r="C164" s="24"/>
      <c r="D164" s="24"/>
      <c r="E164" s="26"/>
      <c r="F164" s="27" t="str">
        <f t="shared" si="1"/>
        <v/>
      </c>
      <c r="G164" s="29" t="str">
        <f t="array" ref="G164">IF($A164="","",IFERROR(INDEX('2. Plot &amp; Core Log'!$M$6:$M$35,MATCH($A164,'2. Plot &amp; Core Log'!$B$6:$B$35,0)),""))</f>
        <v/>
      </c>
      <c r="H164" s="30" t="str">
        <f t="array" ref="H164">IF($A164="","",IFERROR(INDEX('2. Plot &amp; Core Log'!$J$6:$J$35,MATCH($A164,'2. Plot &amp; Core Log'!$B$6:$B$35,0)),""))</f>
        <v/>
      </c>
      <c r="I164" s="27" t="str">
        <f t="shared" si="2"/>
        <v/>
      </c>
      <c r="J164" s="27" t="str">
        <f t="shared" si="3"/>
        <v/>
      </c>
      <c r="K164" s="27" t="str">
        <f t="shared" si="4"/>
        <v/>
      </c>
      <c r="L164" s="32"/>
      <c r="M164" s="32"/>
      <c r="N164" s="34"/>
      <c r="O164" s="27" t="str">
        <f t="shared" si="10"/>
        <v/>
      </c>
      <c r="P164" s="28" t="str">
        <f t="shared" si="5"/>
        <v/>
      </c>
      <c r="Q164" s="27" t="str">
        <f t="shared" si="6"/>
        <v/>
      </c>
      <c r="R164" s="35" t="str">
        <f t="shared" si="7"/>
        <v/>
      </c>
      <c r="S164" s="31" t="str">
        <f t="shared" si="8"/>
        <v/>
      </c>
      <c r="T164" s="28" t="str">
        <f t="shared" si="9"/>
        <v/>
      </c>
    </row>
    <row r="165" ht="15.75" customHeight="1">
      <c r="A165" s="23"/>
      <c r="B165" s="23"/>
      <c r="C165" s="24"/>
      <c r="D165" s="24"/>
      <c r="E165" s="26"/>
      <c r="F165" s="27" t="str">
        <f t="shared" si="1"/>
        <v/>
      </c>
      <c r="G165" s="29" t="str">
        <f t="array" ref="G165">IF($A165="","",IFERROR(INDEX('2. Plot &amp; Core Log'!$M$6:$M$35,MATCH($A165,'2. Plot &amp; Core Log'!$B$6:$B$35,0)),""))</f>
        <v/>
      </c>
      <c r="H165" s="30" t="str">
        <f t="array" ref="H165">IF($A165="","",IFERROR(INDEX('2. Plot &amp; Core Log'!$J$6:$J$35,MATCH($A165,'2. Plot &amp; Core Log'!$B$6:$B$35,0)),""))</f>
        <v/>
      </c>
      <c r="I165" s="27" t="str">
        <f t="shared" si="2"/>
        <v/>
      </c>
      <c r="J165" s="27" t="str">
        <f t="shared" si="3"/>
        <v/>
      </c>
      <c r="K165" s="27" t="str">
        <f t="shared" si="4"/>
        <v/>
      </c>
      <c r="L165" s="32"/>
      <c r="M165" s="32"/>
      <c r="N165" s="34"/>
      <c r="O165" s="27" t="str">
        <f t="shared" si="10"/>
        <v/>
      </c>
      <c r="P165" s="28" t="str">
        <f t="shared" si="5"/>
        <v/>
      </c>
      <c r="Q165" s="27" t="str">
        <f t="shared" si="6"/>
        <v/>
      </c>
      <c r="R165" s="35" t="str">
        <f t="shared" si="7"/>
        <v/>
      </c>
      <c r="S165" s="31" t="str">
        <f t="shared" si="8"/>
        <v/>
      </c>
      <c r="T165" s="28" t="str">
        <f t="shared" si="9"/>
        <v/>
      </c>
    </row>
    <row r="166" ht="15.75" customHeight="1">
      <c r="A166" s="23"/>
      <c r="B166" s="23"/>
      <c r="C166" s="24"/>
      <c r="D166" s="24"/>
      <c r="E166" s="26"/>
      <c r="F166" s="27" t="str">
        <f t="shared" si="1"/>
        <v/>
      </c>
      <c r="G166" s="29" t="str">
        <f t="array" ref="G166">IF($A166="","",IFERROR(INDEX('2. Plot &amp; Core Log'!$M$6:$M$35,MATCH($A166,'2. Plot &amp; Core Log'!$B$6:$B$35,0)),""))</f>
        <v/>
      </c>
      <c r="H166" s="30" t="str">
        <f t="array" ref="H166">IF($A166="","",IFERROR(INDEX('2. Plot &amp; Core Log'!$J$6:$J$35,MATCH($A166,'2. Plot &amp; Core Log'!$B$6:$B$35,0)),""))</f>
        <v/>
      </c>
      <c r="I166" s="27" t="str">
        <f t="shared" si="2"/>
        <v/>
      </c>
      <c r="J166" s="27" t="str">
        <f t="shared" si="3"/>
        <v/>
      </c>
      <c r="K166" s="27" t="str">
        <f t="shared" si="4"/>
        <v/>
      </c>
      <c r="L166" s="32"/>
      <c r="M166" s="32"/>
      <c r="N166" s="34"/>
      <c r="O166" s="27" t="str">
        <f t="shared" si="10"/>
        <v/>
      </c>
      <c r="P166" s="28" t="str">
        <f t="shared" si="5"/>
        <v/>
      </c>
      <c r="Q166" s="27" t="str">
        <f t="shared" si="6"/>
        <v/>
      </c>
      <c r="R166" s="35" t="str">
        <f t="shared" si="7"/>
        <v/>
      </c>
      <c r="S166" s="31" t="str">
        <f t="shared" si="8"/>
        <v/>
      </c>
      <c r="T166" s="28" t="str">
        <f t="shared" si="9"/>
        <v/>
      </c>
    </row>
    <row r="167" ht="15.75" customHeight="1">
      <c r="A167" s="23"/>
      <c r="B167" s="23"/>
      <c r="C167" s="24"/>
      <c r="D167" s="24"/>
      <c r="E167" s="26"/>
      <c r="F167" s="27" t="str">
        <f t="shared" si="1"/>
        <v/>
      </c>
      <c r="G167" s="29" t="str">
        <f t="array" ref="G167">IF($A167="","",IFERROR(INDEX('2. Plot &amp; Core Log'!$M$6:$M$35,MATCH($A167,'2. Plot &amp; Core Log'!$B$6:$B$35,0)),""))</f>
        <v/>
      </c>
      <c r="H167" s="30" t="str">
        <f t="array" ref="H167">IF($A167="","",IFERROR(INDEX('2. Plot &amp; Core Log'!$J$6:$J$35,MATCH($A167,'2. Plot &amp; Core Log'!$B$6:$B$35,0)),""))</f>
        <v/>
      </c>
      <c r="I167" s="27" t="str">
        <f t="shared" si="2"/>
        <v/>
      </c>
      <c r="J167" s="27" t="str">
        <f t="shared" si="3"/>
        <v/>
      </c>
      <c r="K167" s="27" t="str">
        <f t="shared" si="4"/>
        <v/>
      </c>
      <c r="L167" s="32"/>
      <c r="M167" s="32"/>
      <c r="N167" s="34"/>
      <c r="O167" s="27" t="str">
        <f t="shared" si="10"/>
        <v/>
      </c>
      <c r="P167" s="28" t="str">
        <f t="shared" si="5"/>
        <v/>
      </c>
      <c r="Q167" s="27" t="str">
        <f t="shared" si="6"/>
        <v/>
      </c>
      <c r="R167" s="35" t="str">
        <f t="shared" si="7"/>
        <v/>
      </c>
      <c r="S167" s="31" t="str">
        <f t="shared" si="8"/>
        <v/>
      </c>
      <c r="T167" s="28" t="str">
        <f t="shared" si="9"/>
        <v/>
      </c>
    </row>
    <row r="168" ht="15.75" customHeight="1">
      <c r="A168" s="23"/>
      <c r="B168" s="23"/>
      <c r="C168" s="24"/>
      <c r="D168" s="24"/>
      <c r="E168" s="26"/>
      <c r="F168" s="27" t="str">
        <f t="shared" si="1"/>
        <v/>
      </c>
      <c r="G168" s="29" t="str">
        <f t="array" ref="G168">IF($A168="","",IFERROR(INDEX('2. Plot &amp; Core Log'!$M$6:$M$35,MATCH($A168,'2. Plot &amp; Core Log'!$B$6:$B$35,0)),""))</f>
        <v/>
      </c>
      <c r="H168" s="30" t="str">
        <f t="array" ref="H168">IF($A168="","",IFERROR(INDEX('2. Plot &amp; Core Log'!$J$6:$J$35,MATCH($A168,'2. Plot &amp; Core Log'!$B$6:$B$35,0)),""))</f>
        <v/>
      </c>
      <c r="I168" s="27" t="str">
        <f t="shared" si="2"/>
        <v/>
      </c>
      <c r="J168" s="27" t="str">
        <f t="shared" si="3"/>
        <v/>
      </c>
      <c r="K168" s="27" t="str">
        <f t="shared" si="4"/>
        <v/>
      </c>
      <c r="L168" s="32"/>
      <c r="M168" s="32"/>
      <c r="N168" s="34"/>
      <c r="O168" s="27" t="str">
        <f t="shared" si="10"/>
        <v/>
      </c>
      <c r="P168" s="28" t="str">
        <f t="shared" si="5"/>
        <v/>
      </c>
      <c r="Q168" s="27" t="str">
        <f t="shared" si="6"/>
        <v/>
      </c>
      <c r="R168" s="35" t="str">
        <f t="shared" si="7"/>
        <v/>
      </c>
      <c r="S168" s="31" t="str">
        <f t="shared" si="8"/>
        <v/>
      </c>
      <c r="T168" s="28" t="str">
        <f t="shared" si="9"/>
        <v/>
      </c>
    </row>
    <row r="169" ht="15.75" customHeight="1">
      <c r="A169" s="23"/>
      <c r="B169" s="23"/>
      <c r="C169" s="24"/>
      <c r="D169" s="24"/>
      <c r="E169" s="26"/>
      <c r="F169" s="27" t="str">
        <f t="shared" si="1"/>
        <v/>
      </c>
      <c r="G169" s="29" t="str">
        <f t="array" ref="G169">IF($A169="","",IFERROR(INDEX('2. Plot &amp; Core Log'!$M$6:$M$35,MATCH($A169,'2. Plot &amp; Core Log'!$B$6:$B$35,0)),""))</f>
        <v/>
      </c>
      <c r="H169" s="30" t="str">
        <f t="array" ref="H169">IF($A169="","",IFERROR(INDEX('2. Plot &amp; Core Log'!$J$6:$J$35,MATCH($A169,'2. Plot &amp; Core Log'!$B$6:$B$35,0)),""))</f>
        <v/>
      </c>
      <c r="I169" s="27" t="str">
        <f t="shared" si="2"/>
        <v/>
      </c>
      <c r="J169" s="27" t="str">
        <f t="shared" si="3"/>
        <v/>
      </c>
      <c r="K169" s="27" t="str">
        <f t="shared" si="4"/>
        <v/>
      </c>
      <c r="L169" s="32"/>
      <c r="M169" s="32"/>
      <c r="N169" s="34"/>
      <c r="O169" s="27" t="str">
        <f t="shared" si="10"/>
        <v/>
      </c>
      <c r="P169" s="28" t="str">
        <f t="shared" si="5"/>
        <v/>
      </c>
      <c r="Q169" s="27" t="str">
        <f t="shared" si="6"/>
        <v/>
      </c>
      <c r="R169" s="35" t="str">
        <f t="shared" si="7"/>
        <v/>
      </c>
      <c r="S169" s="31" t="str">
        <f t="shared" si="8"/>
        <v/>
      </c>
      <c r="T169" s="28" t="str">
        <f t="shared" si="9"/>
        <v/>
      </c>
    </row>
    <row r="170" ht="15.75" customHeight="1">
      <c r="A170" s="23"/>
      <c r="B170" s="23"/>
      <c r="C170" s="24"/>
      <c r="D170" s="24"/>
      <c r="E170" s="26"/>
      <c r="F170" s="27" t="str">
        <f t="shared" si="1"/>
        <v/>
      </c>
      <c r="G170" s="29" t="str">
        <f t="array" ref="G170">IF($A170="","",IFERROR(INDEX('2. Plot &amp; Core Log'!$M$6:$M$35,MATCH($A170,'2. Plot &amp; Core Log'!$B$6:$B$35,0)),""))</f>
        <v/>
      </c>
      <c r="H170" s="30" t="str">
        <f t="array" ref="H170">IF($A170="","",IFERROR(INDEX('2. Plot &amp; Core Log'!$J$6:$J$35,MATCH($A170,'2. Plot &amp; Core Log'!$B$6:$B$35,0)),""))</f>
        <v/>
      </c>
      <c r="I170" s="27" t="str">
        <f t="shared" si="2"/>
        <v/>
      </c>
      <c r="J170" s="27" t="str">
        <f t="shared" si="3"/>
        <v/>
      </c>
      <c r="K170" s="27" t="str">
        <f t="shared" si="4"/>
        <v/>
      </c>
      <c r="L170" s="32"/>
      <c r="M170" s="32"/>
      <c r="N170" s="34"/>
      <c r="O170" s="27" t="str">
        <f t="shared" si="10"/>
        <v/>
      </c>
      <c r="P170" s="28" t="str">
        <f t="shared" si="5"/>
        <v/>
      </c>
      <c r="Q170" s="27" t="str">
        <f t="shared" si="6"/>
        <v/>
      </c>
      <c r="R170" s="35" t="str">
        <f t="shared" si="7"/>
        <v/>
      </c>
      <c r="S170" s="31" t="str">
        <f t="shared" si="8"/>
        <v/>
      </c>
      <c r="T170" s="28" t="str">
        <f t="shared" si="9"/>
        <v/>
      </c>
    </row>
    <row r="171" ht="15.75" customHeight="1">
      <c r="A171" s="23"/>
      <c r="B171" s="23"/>
      <c r="C171" s="24"/>
      <c r="D171" s="24"/>
      <c r="E171" s="26"/>
      <c r="F171" s="27" t="str">
        <f t="shared" si="1"/>
        <v/>
      </c>
      <c r="G171" s="29" t="str">
        <f t="array" ref="G171">IF($A171="","",IFERROR(INDEX('2. Plot &amp; Core Log'!$M$6:$M$35,MATCH($A171,'2. Plot &amp; Core Log'!$B$6:$B$35,0)),""))</f>
        <v/>
      </c>
      <c r="H171" s="30" t="str">
        <f t="array" ref="H171">IF($A171="","",IFERROR(INDEX('2. Plot &amp; Core Log'!$J$6:$J$35,MATCH($A171,'2. Plot &amp; Core Log'!$B$6:$B$35,0)),""))</f>
        <v/>
      </c>
      <c r="I171" s="27" t="str">
        <f t="shared" si="2"/>
        <v/>
      </c>
      <c r="J171" s="27" t="str">
        <f t="shared" si="3"/>
        <v/>
      </c>
      <c r="K171" s="27" t="str">
        <f t="shared" si="4"/>
        <v/>
      </c>
      <c r="L171" s="32"/>
      <c r="M171" s="32"/>
      <c r="N171" s="34"/>
      <c r="O171" s="27" t="str">
        <f t="shared" si="10"/>
        <v/>
      </c>
      <c r="P171" s="28" t="str">
        <f t="shared" si="5"/>
        <v/>
      </c>
      <c r="Q171" s="27" t="str">
        <f t="shared" si="6"/>
        <v/>
      </c>
      <c r="R171" s="35" t="str">
        <f t="shared" si="7"/>
        <v/>
      </c>
      <c r="S171" s="31" t="str">
        <f t="shared" si="8"/>
        <v/>
      </c>
      <c r="T171" s="28" t="str">
        <f t="shared" si="9"/>
        <v/>
      </c>
    </row>
    <row r="172" ht="15.75" customHeight="1">
      <c r="A172" s="23"/>
      <c r="B172" s="23"/>
      <c r="C172" s="24"/>
      <c r="D172" s="24"/>
      <c r="E172" s="26"/>
      <c r="F172" s="27" t="str">
        <f t="shared" si="1"/>
        <v/>
      </c>
      <c r="G172" s="29" t="str">
        <f t="array" ref="G172">IF($A172="","",IFERROR(INDEX('2. Plot &amp; Core Log'!$M$6:$M$35,MATCH($A172,'2. Plot &amp; Core Log'!$B$6:$B$35,0)),""))</f>
        <v/>
      </c>
      <c r="H172" s="30" t="str">
        <f t="array" ref="H172">IF($A172="","",IFERROR(INDEX('2. Plot &amp; Core Log'!$J$6:$J$35,MATCH($A172,'2. Plot &amp; Core Log'!$B$6:$B$35,0)),""))</f>
        <v/>
      </c>
      <c r="I172" s="27" t="str">
        <f t="shared" si="2"/>
        <v/>
      </c>
      <c r="J172" s="27" t="str">
        <f t="shared" si="3"/>
        <v/>
      </c>
      <c r="K172" s="27" t="str">
        <f t="shared" si="4"/>
        <v/>
      </c>
      <c r="L172" s="32"/>
      <c r="M172" s="32"/>
      <c r="N172" s="34"/>
      <c r="O172" s="27" t="str">
        <f t="shared" si="10"/>
        <v/>
      </c>
      <c r="P172" s="28" t="str">
        <f t="shared" si="5"/>
        <v/>
      </c>
      <c r="Q172" s="27" t="str">
        <f t="shared" si="6"/>
        <v/>
      </c>
      <c r="R172" s="35" t="str">
        <f t="shared" si="7"/>
        <v/>
      </c>
      <c r="S172" s="31" t="str">
        <f t="shared" si="8"/>
        <v/>
      </c>
      <c r="T172" s="28" t="str">
        <f t="shared" si="9"/>
        <v/>
      </c>
    </row>
    <row r="173" ht="15.75" customHeight="1">
      <c r="A173" s="23"/>
      <c r="B173" s="23"/>
      <c r="C173" s="24"/>
      <c r="D173" s="24"/>
      <c r="E173" s="26"/>
      <c r="F173" s="27" t="str">
        <f t="shared" si="1"/>
        <v/>
      </c>
      <c r="G173" s="29" t="str">
        <f t="array" ref="G173">IF($A173="","",IFERROR(INDEX('2. Plot &amp; Core Log'!$M$6:$M$35,MATCH($A173,'2. Plot &amp; Core Log'!$B$6:$B$35,0)),""))</f>
        <v/>
      </c>
      <c r="H173" s="30" t="str">
        <f t="array" ref="H173">IF($A173="","",IFERROR(INDEX('2. Plot &amp; Core Log'!$J$6:$J$35,MATCH($A173,'2. Plot &amp; Core Log'!$B$6:$B$35,0)),""))</f>
        <v/>
      </c>
      <c r="I173" s="27" t="str">
        <f t="shared" si="2"/>
        <v/>
      </c>
      <c r="J173" s="27" t="str">
        <f t="shared" si="3"/>
        <v/>
      </c>
      <c r="K173" s="27" t="str">
        <f t="shared" si="4"/>
        <v/>
      </c>
      <c r="L173" s="32"/>
      <c r="M173" s="32"/>
      <c r="N173" s="34"/>
      <c r="O173" s="27" t="str">
        <f t="shared" si="10"/>
        <v/>
      </c>
      <c r="P173" s="28" t="str">
        <f t="shared" si="5"/>
        <v/>
      </c>
      <c r="Q173" s="27" t="str">
        <f t="shared" si="6"/>
        <v/>
      </c>
      <c r="R173" s="35" t="str">
        <f t="shared" si="7"/>
        <v/>
      </c>
      <c r="S173" s="31" t="str">
        <f t="shared" si="8"/>
        <v/>
      </c>
      <c r="T173" s="28" t="str">
        <f t="shared" si="9"/>
        <v/>
      </c>
    </row>
    <row r="174" ht="15.75" customHeight="1">
      <c r="A174" s="23"/>
      <c r="B174" s="23"/>
      <c r="C174" s="24"/>
      <c r="D174" s="24"/>
      <c r="E174" s="26"/>
      <c r="F174" s="27" t="str">
        <f t="shared" si="1"/>
        <v/>
      </c>
      <c r="G174" s="29" t="str">
        <f t="array" ref="G174">IF($A174="","",IFERROR(INDEX('2. Plot &amp; Core Log'!$M$6:$M$35,MATCH($A174,'2. Plot &amp; Core Log'!$B$6:$B$35,0)),""))</f>
        <v/>
      </c>
      <c r="H174" s="30" t="str">
        <f t="array" ref="H174">IF($A174="","",IFERROR(INDEX('2. Plot &amp; Core Log'!$J$6:$J$35,MATCH($A174,'2. Plot &amp; Core Log'!$B$6:$B$35,0)),""))</f>
        <v/>
      </c>
      <c r="I174" s="27" t="str">
        <f t="shared" si="2"/>
        <v/>
      </c>
      <c r="J174" s="27" t="str">
        <f t="shared" si="3"/>
        <v/>
      </c>
      <c r="K174" s="27" t="str">
        <f t="shared" si="4"/>
        <v/>
      </c>
      <c r="L174" s="32"/>
      <c r="M174" s="32"/>
      <c r="N174" s="34"/>
      <c r="O174" s="27" t="str">
        <f t="shared" si="10"/>
        <v/>
      </c>
      <c r="P174" s="28" t="str">
        <f t="shared" si="5"/>
        <v/>
      </c>
      <c r="Q174" s="27" t="str">
        <f t="shared" si="6"/>
        <v/>
      </c>
      <c r="R174" s="35" t="str">
        <f t="shared" si="7"/>
        <v/>
      </c>
      <c r="S174" s="31" t="str">
        <f t="shared" si="8"/>
        <v/>
      </c>
      <c r="T174" s="28" t="str">
        <f t="shared" si="9"/>
        <v/>
      </c>
    </row>
    <row r="175" ht="15.75" customHeight="1">
      <c r="A175" s="23"/>
      <c r="B175" s="23"/>
      <c r="C175" s="24"/>
      <c r="D175" s="24"/>
      <c r="E175" s="26"/>
      <c r="F175" s="27" t="str">
        <f t="shared" si="1"/>
        <v/>
      </c>
      <c r="G175" s="29" t="str">
        <f t="array" ref="G175">IF($A175="","",IFERROR(INDEX('2. Plot &amp; Core Log'!$M$6:$M$35,MATCH($A175,'2. Plot &amp; Core Log'!$B$6:$B$35,0)),""))</f>
        <v/>
      </c>
      <c r="H175" s="30" t="str">
        <f t="array" ref="H175">IF($A175="","",IFERROR(INDEX('2. Plot &amp; Core Log'!$J$6:$J$35,MATCH($A175,'2. Plot &amp; Core Log'!$B$6:$B$35,0)),""))</f>
        <v/>
      </c>
      <c r="I175" s="27" t="str">
        <f t="shared" si="2"/>
        <v/>
      </c>
      <c r="J175" s="27" t="str">
        <f t="shared" si="3"/>
        <v/>
      </c>
      <c r="K175" s="27" t="str">
        <f t="shared" si="4"/>
        <v/>
      </c>
      <c r="L175" s="32"/>
      <c r="M175" s="32"/>
      <c r="N175" s="34"/>
      <c r="O175" s="27" t="str">
        <f t="shared" si="10"/>
        <v/>
      </c>
      <c r="P175" s="28" t="str">
        <f t="shared" si="5"/>
        <v/>
      </c>
      <c r="Q175" s="27" t="str">
        <f t="shared" si="6"/>
        <v/>
      </c>
      <c r="R175" s="35" t="str">
        <f t="shared" si="7"/>
        <v/>
      </c>
      <c r="S175" s="31" t="str">
        <f t="shared" si="8"/>
        <v/>
      </c>
      <c r="T175" s="28" t="str">
        <f t="shared" si="9"/>
        <v/>
      </c>
    </row>
    <row r="176" ht="15.75" customHeight="1">
      <c r="A176" s="23"/>
      <c r="B176" s="23"/>
      <c r="C176" s="24"/>
      <c r="D176" s="24"/>
      <c r="E176" s="26"/>
      <c r="F176" s="27" t="str">
        <f t="shared" si="1"/>
        <v/>
      </c>
      <c r="G176" s="29" t="str">
        <f t="array" ref="G176">IF($A176="","",IFERROR(INDEX('2. Plot &amp; Core Log'!$M$6:$M$35,MATCH($A176,'2. Plot &amp; Core Log'!$B$6:$B$35,0)),""))</f>
        <v/>
      </c>
      <c r="H176" s="30" t="str">
        <f t="array" ref="H176">IF($A176="","",IFERROR(INDEX('2. Plot &amp; Core Log'!$J$6:$J$35,MATCH($A176,'2. Plot &amp; Core Log'!$B$6:$B$35,0)),""))</f>
        <v/>
      </c>
      <c r="I176" s="27" t="str">
        <f t="shared" si="2"/>
        <v/>
      </c>
      <c r="J176" s="27" t="str">
        <f t="shared" si="3"/>
        <v/>
      </c>
      <c r="K176" s="27" t="str">
        <f t="shared" si="4"/>
        <v/>
      </c>
      <c r="L176" s="32"/>
      <c r="M176" s="32"/>
      <c r="N176" s="34"/>
      <c r="O176" s="27" t="str">
        <f t="shared" si="10"/>
        <v/>
      </c>
      <c r="P176" s="28" t="str">
        <f t="shared" si="5"/>
        <v/>
      </c>
      <c r="Q176" s="27" t="str">
        <f t="shared" si="6"/>
        <v/>
      </c>
      <c r="R176" s="35" t="str">
        <f t="shared" si="7"/>
        <v/>
      </c>
      <c r="S176" s="31" t="str">
        <f t="shared" si="8"/>
        <v/>
      </c>
      <c r="T176" s="28" t="str">
        <f t="shared" si="9"/>
        <v/>
      </c>
    </row>
    <row r="177" ht="15.75" customHeight="1">
      <c r="A177" s="23"/>
      <c r="B177" s="23"/>
      <c r="C177" s="24"/>
      <c r="D177" s="24"/>
      <c r="E177" s="26"/>
      <c r="F177" s="27" t="str">
        <f t="shared" si="1"/>
        <v/>
      </c>
      <c r="G177" s="29" t="str">
        <f t="array" ref="G177">IF($A177="","",IFERROR(INDEX('2. Plot &amp; Core Log'!$M$6:$M$35,MATCH($A177,'2. Plot &amp; Core Log'!$B$6:$B$35,0)),""))</f>
        <v/>
      </c>
      <c r="H177" s="30" t="str">
        <f t="array" ref="H177">IF($A177="","",IFERROR(INDEX('2. Plot &amp; Core Log'!$J$6:$J$35,MATCH($A177,'2. Plot &amp; Core Log'!$B$6:$B$35,0)),""))</f>
        <v/>
      </c>
      <c r="I177" s="27" t="str">
        <f t="shared" si="2"/>
        <v/>
      </c>
      <c r="J177" s="27" t="str">
        <f t="shared" si="3"/>
        <v/>
      </c>
      <c r="K177" s="27" t="str">
        <f t="shared" si="4"/>
        <v/>
      </c>
      <c r="L177" s="32"/>
      <c r="M177" s="32"/>
      <c r="N177" s="34"/>
      <c r="O177" s="27" t="str">
        <f t="shared" si="10"/>
        <v/>
      </c>
      <c r="P177" s="28" t="str">
        <f t="shared" si="5"/>
        <v/>
      </c>
      <c r="Q177" s="27" t="str">
        <f t="shared" si="6"/>
        <v/>
      </c>
      <c r="R177" s="35" t="str">
        <f t="shared" si="7"/>
        <v/>
      </c>
      <c r="S177" s="31" t="str">
        <f t="shared" si="8"/>
        <v/>
      </c>
      <c r="T177" s="28" t="str">
        <f t="shared" si="9"/>
        <v/>
      </c>
    </row>
    <row r="178" ht="15.75" customHeight="1">
      <c r="A178" s="23"/>
      <c r="B178" s="23"/>
      <c r="C178" s="24"/>
      <c r="D178" s="24"/>
      <c r="E178" s="26"/>
      <c r="F178" s="27" t="str">
        <f t="shared" si="1"/>
        <v/>
      </c>
      <c r="G178" s="29" t="str">
        <f t="array" ref="G178">IF($A178="","",IFERROR(INDEX('2. Plot &amp; Core Log'!$M$6:$M$35,MATCH($A178,'2. Plot &amp; Core Log'!$B$6:$B$35,0)),""))</f>
        <v/>
      </c>
      <c r="H178" s="30" t="str">
        <f t="array" ref="H178">IF($A178="","",IFERROR(INDEX('2. Plot &amp; Core Log'!$J$6:$J$35,MATCH($A178,'2. Plot &amp; Core Log'!$B$6:$B$35,0)),""))</f>
        <v/>
      </c>
      <c r="I178" s="27" t="str">
        <f t="shared" si="2"/>
        <v/>
      </c>
      <c r="J178" s="27" t="str">
        <f t="shared" si="3"/>
        <v/>
      </c>
      <c r="K178" s="27" t="str">
        <f t="shared" si="4"/>
        <v/>
      </c>
      <c r="L178" s="32"/>
      <c r="M178" s="32"/>
      <c r="N178" s="34"/>
      <c r="O178" s="27" t="str">
        <f t="shared" si="10"/>
        <v/>
      </c>
      <c r="P178" s="28" t="str">
        <f t="shared" si="5"/>
        <v/>
      </c>
      <c r="Q178" s="27" t="str">
        <f t="shared" si="6"/>
        <v/>
      </c>
      <c r="R178" s="35" t="str">
        <f t="shared" si="7"/>
        <v/>
      </c>
      <c r="S178" s="31" t="str">
        <f t="shared" si="8"/>
        <v/>
      </c>
      <c r="T178" s="28" t="str">
        <f t="shared" si="9"/>
        <v/>
      </c>
    </row>
    <row r="179" ht="15.75" customHeight="1">
      <c r="A179" s="23"/>
      <c r="B179" s="23"/>
      <c r="C179" s="24"/>
      <c r="D179" s="24"/>
      <c r="E179" s="26"/>
      <c r="F179" s="27" t="str">
        <f t="shared" si="1"/>
        <v/>
      </c>
      <c r="G179" s="29" t="str">
        <f t="array" ref="G179">IF($A179="","",IFERROR(INDEX('2. Plot &amp; Core Log'!$M$6:$M$35,MATCH($A179,'2. Plot &amp; Core Log'!$B$6:$B$35,0)),""))</f>
        <v/>
      </c>
      <c r="H179" s="30" t="str">
        <f t="array" ref="H179">IF($A179="","",IFERROR(INDEX('2. Plot &amp; Core Log'!$J$6:$J$35,MATCH($A179,'2. Plot &amp; Core Log'!$B$6:$B$35,0)),""))</f>
        <v/>
      </c>
      <c r="I179" s="27" t="str">
        <f t="shared" si="2"/>
        <v/>
      </c>
      <c r="J179" s="27" t="str">
        <f t="shared" si="3"/>
        <v/>
      </c>
      <c r="K179" s="27" t="str">
        <f t="shared" si="4"/>
        <v/>
      </c>
      <c r="L179" s="32"/>
      <c r="M179" s="32"/>
      <c r="N179" s="34"/>
      <c r="O179" s="27" t="str">
        <f t="shared" si="10"/>
        <v/>
      </c>
      <c r="P179" s="28" t="str">
        <f t="shared" si="5"/>
        <v/>
      </c>
      <c r="Q179" s="27" t="str">
        <f t="shared" si="6"/>
        <v/>
      </c>
      <c r="R179" s="35" t="str">
        <f t="shared" si="7"/>
        <v/>
      </c>
      <c r="S179" s="31" t="str">
        <f t="shared" si="8"/>
        <v/>
      </c>
      <c r="T179" s="28" t="str">
        <f t="shared" si="9"/>
        <v/>
      </c>
    </row>
    <row r="180" ht="15.75" customHeight="1">
      <c r="A180" s="23"/>
      <c r="B180" s="23"/>
      <c r="C180" s="24"/>
      <c r="D180" s="24"/>
      <c r="E180" s="26"/>
      <c r="F180" s="27" t="str">
        <f t="shared" si="1"/>
        <v/>
      </c>
      <c r="G180" s="29" t="str">
        <f t="array" ref="G180">IF($A180="","",IFERROR(INDEX('2. Plot &amp; Core Log'!$M$6:$M$35,MATCH($A180,'2. Plot &amp; Core Log'!$B$6:$B$35,0)),""))</f>
        <v/>
      </c>
      <c r="H180" s="30" t="str">
        <f t="array" ref="H180">IF($A180="","",IFERROR(INDEX('2. Plot &amp; Core Log'!$J$6:$J$35,MATCH($A180,'2. Plot &amp; Core Log'!$B$6:$B$35,0)),""))</f>
        <v/>
      </c>
      <c r="I180" s="27" t="str">
        <f t="shared" si="2"/>
        <v/>
      </c>
      <c r="J180" s="27" t="str">
        <f t="shared" si="3"/>
        <v/>
      </c>
      <c r="K180" s="27" t="str">
        <f t="shared" si="4"/>
        <v/>
      </c>
      <c r="L180" s="32"/>
      <c r="M180" s="32"/>
      <c r="N180" s="34"/>
      <c r="O180" s="27" t="str">
        <f t="shared" si="10"/>
        <v/>
      </c>
      <c r="P180" s="28" t="str">
        <f t="shared" si="5"/>
        <v/>
      </c>
      <c r="Q180" s="27" t="str">
        <f t="shared" si="6"/>
        <v/>
      </c>
      <c r="R180" s="35" t="str">
        <f t="shared" si="7"/>
        <v/>
      </c>
      <c r="S180" s="31" t="str">
        <f t="shared" si="8"/>
        <v/>
      </c>
      <c r="T180" s="28" t="str">
        <f t="shared" si="9"/>
        <v/>
      </c>
    </row>
    <row r="181" ht="15.75" customHeight="1">
      <c r="A181" s="23"/>
      <c r="B181" s="23"/>
      <c r="C181" s="24"/>
      <c r="D181" s="24"/>
      <c r="E181" s="26"/>
      <c r="F181" s="27" t="str">
        <f t="shared" si="1"/>
        <v/>
      </c>
      <c r="G181" s="29" t="str">
        <f t="array" ref="G181">IF($A181="","",IFERROR(INDEX('2. Plot &amp; Core Log'!$M$6:$M$35,MATCH($A181,'2. Plot &amp; Core Log'!$B$6:$B$35,0)),""))</f>
        <v/>
      </c>
      <c r="H181" s="30" t="str">
        <f t="array" ref="H181">IF($A181="","",IFERROR(INDEX('2. Plot &amp; Core Log'!$J$6:$J$35,MATCH($A181,'2. Plot &amp; Core Log'!$B$6:$B$35,0)),""))</f>
        <v/>
      </c>
      <c r="I181" s="27" t="str">
        <f t="shared" si="2"/>
        <v/>
      </c>
      <c r="J181" s="27" t="str">
        <f t="shared" si="3"/>
        <v/>
      </c>
      <c r="K181" s="27" t="str">
        <f t="shared" si="4"/>
        <v/>
      </c>
      <c r="L181" s="32"/>
      <c r="M181" s="32"/>
      <c r="N181" s="34"/>
      <c r="O181" s="27" t="str">
        <f t="shared" si="10"/>
        <v/>
      </c>
      <c r="P181" s="28" t="str">
        <f t="shared" si="5"/>
        <v/>
      </c>
      <c r="Q181" s="27" t="str">
        <f t="shared" si="6"/>
        <v/>
      </c>
      <c r="R181" s="35" t="str">
        <f t="shared" si="7"/>
        <v/>
      </c>
      <c r="S181" s="31" t="str">
        <f t="shared" si="8"/>
        <v/>
      </c>
      <c r="T181" s="28" t="str">
        <f t="shared" si="9"/>
        <v/>
      </c>
    </row>
    <row r="182" ht="15.75" customHeight="1">
      <c r="A182" s="23"/>
      <c r="B182" s="23"/>
      <c r="C182" s="24"/>
      <c r="D182" s="24"/>
      <c r="E182" s="26"/>
      <c r="F182" s="27" t="str">
        <f t="shared" si="1"/>
        <v/>
      </c>
      <c r="G182" s="29" t="str">
        <f t="array" ref="G182">IF($A182="","",IFERROR(INDEX('2. Plot &amp; Core Log'!$M$6:$M$35,MATCH($A182,'2. Plot &amp; Core Log'!$B$6:$B$35,0)),""))</f>
        <v/>
      </c>
      <c r="H182" s="30" t="str">
        <f t="array" ref="H182">IF($A182="","",IFERROR(INDEX('2. Plot &amp; Core Log'!$J$6:$J$35,MATCH($A182,'2. Plot &amp; Core Log'!$B$6:$B$35,0)),""))</f>
        <v/>
      </c>
      <c r="I182" s="27" t="str">
        <f t="shared" si="2"/>
        <v/>
      </c>
      <c r="J182" s="27" t="str">
        <f t="shared" si="3"/>
        <v/>
      </c>
      <c r="K182" s="27" t="str">
        <f t="shared" si="4"/>
        <v/>
      </c>
      <c r="L182" s="32"/>
      <c r="M182" s="32"/>
      <c r="N182" s="34"/>
      <c r="O182" s="27" t="str">
        <f t="shared" si="10"/>
        <v/>
      </c>
      <c r="P182" s="28" t="str">
        <f t="shared" si="5"/>
        <v/>
      </c>
      <c r="Q182" s="27" t="str">
        <f t="shared" si="6"/>
        <v/>
      </c>
      <c r="R182" s="35" t="str">
        <f t="shared" si="7"/>
        <v/>
      </c>
      <c r="S182" s="31" t="str">
        <f t="shared" si="8"/>
        <v/>
      </c>
      <c r="T182" s="28" t="str">
        <f t="shared" si="9"/>
        <v/>
      </c>
    </row>
    <row r="183" ht="15.75" customHeight="1">
      <c r="A183" s="23"/>
      <c r="B183" s="23"/>
      <c r="C183" s="24"/>
      <c r="D183" s="24"/>
      <c r="E183" s="26"/>
      <c r="F183" s="27" t="str">
        <f t="shared" si="1"/>
        <v/>
      </c>
      <c r="G183" s="29" t="str">
        <f t="array" ref="G183">IF($A183="","",IFERROR(INDEX('2. Plot &amp; Core Log'!$M$6:$M$35,MATCH($A183,'2. Plot &amp; Core Log'!$B$6:$B$35,0)),""))</f>
        <v/>
      </c>
      <c r="H183" s="30" t="str">
        <f t="array" ref="H183">IF($A183="","",IFERROR(INDEX('2. Plot &amp; Core Log'!$J$6:$J$35,MATCH($A183,'2. Plot &amp; Core Log'!$B$6:$B$35,0)),""))</f>
        <v/>
      </c>
      <c r="I183" s="27" t="str">
        <f t="shared" si="2"/>
        <v/>
      </c>
      <c r="J183" s="27" t="str">
        <f t="shared" si="3"/>
        <v/>
      </c>
      <c r="K183" s="27" t="str">
        <f t="shared" si="4"/>
        <v/>
      </c>
      <c r="L183" s="32"/>
      <c r="M183" s="32"/>
      <c r="N183" s="34"/>
      <c r="O183" s="27" t="str">
        <f t="shared" si="10"/>
        <v/>
      </c>
      <c r="P183" s="28" t="str">
        <f t="shared" si="5"/>
        <v/>
      </c>
      <c r="Q183" s="27" t="str">
        <f t="shared" si="6"/>
        <v/>
      </c>
      <c r="R183" s="35" t="str">
        <f t="shared" si="7"/>
        <v/>
      </c>
      <c r="S183" s="31" t="str">
        <f t="shared" si="8"/>
        <v/>
      </c>
      <c r="T183" s="28" t="str">
        <f t="shared" si="9"/>
        <v/>
      </c>
    </row>
    <row r="184" ht="15.75" customHeight="1">
      <c r="A184" s="23"/>
      <c r="B184" s="23"/>
      <c r="C184" s="24"/>
      <c r="D184" s="24"/>
      <c r="E184" s="26"/>
      <c r="F184" s="27" t="str">
        <f t="shared" si="1"/>
        <v/>
      </c>
      <c r="G184" s="29" t="str">
        <f t="array" ref="G184">IF($A184="","",IFERROR(INDEX('2. Plot &amp; Core Log'!$M$6:$M$35,MATCH($A184,'2. Plot &amp; Core Log'!$B$6:$B$35,0)),""))</f>
        <v/>
      </c>
      <c r="H184" s="30" t="str">
        <f t="array" ref="H184">IF($A184="","",IFERROR(INDEX('2. Plot &amp; Core Log'!$J$6:$J$35,MATCH($A184,'2. Plot &amp; Core Log'!$B$6:$B$35,0)),""))</f>
        <v/>
      </c>
      <c r="I184" s="27" t="str">
        <f t="shared" si="2"/>
        <v/>
      </c>
      <c r="J184" s="27" t="str">
        <f t="shared" si="3"/>
        <v/>
      </c>
      <c r="K184" s="27" t="str">
        <f t="shared" si="4"/>
        <v/>
      </c>
      <c r="L184" s="32"/>
      <c r="M184" s="32"/>
      <c r="N184" s="34"/>
      <c r="O184" s="27" t="str">
        <f t="shared" si="10"/>
        <v/>
      </c>
      <c r="P184" s="28" t="str">
        <f t="shared" si="5"/>
        <v/>
      </c>
      <c r="Q184" s="27" t="str">
        <f t="shared" si="6"/>
        <v/>
      </c>
      <c r="R184" s="35" t="str">
        <f t="shared" si="7"/>
        <v/>
      </c>
      <c r="S184" s="31" t="str">
        <f t="shared" si="8"/>
        <v/>
      </c>
      <c r="T184" s="28" t="str">
        <f t="shared" si="9"/>
        <v/>
      </c>
    </row>
    <row r="185" ht="15.75" customHeight="1">
      <c r="A185" s="23"/>
      <c r="B185" s="23"/>
      <c r="C185" s="24"/>
      <c r="D185" s="24"/>
      <c r="E185" s="26"/>
      <c r="F185" s="27" t="str">
        <f t="shared" si="1"/>
        <v/>
      </c>
      <c r="G185" s="29" t="str">
        <f t="array" ref="G185">IF($A185="","",IFERROR(INDEX('2. Plot &amp; Core Log'!$M$6:$M$35,MATCH($A185,'2. Plot &amp; Core Log'!$B$6:$B$35,0)),""))</f>
        <v/>
      </c>
      <c r="H185" s="30" t="str">
        <f t="array" ref="H185">IF($A185="","",IFERROR(INDEX('2. Plot &amp; Core Log'!$J$6:$J$35,MATCH($A185,'2. Plot &amp; Core Log'!$B$6:$B$35,0)),""))</f>
        <v/>
      </c>
      <c r="I185" s="27" t="str">
        <f t="shared" si="2"/>
        <v/>
      </c>
      <c r="J185" s="27" t="str">
        <f t="shared" si="3"/>
        <v/>
      </c>
      <c r="K185" s="27" t="str">
        <f t="shared" si="4"/>
        <v/>
      </c>
      <c r="L185" s="32"/>
      <c r="M185" s="32"/>
      <c r="N185" s="34"/>
      <c r="O185" s="27" t="str">
        <f t="shared" si="10"/>
        <v/>
      </c>
      <c r="P185" s="28" t="str">
        <f t="shared" si="5"/>
        <v/>
      </c>
      <c r="Q185" s="27" t="str">
        <f t="shared" si="6"/>
        <v/>
      </c>
      <c r="R185" s="35" t="str">
        <f t="shared" si="7"/>
        <v/>
      </c>
      <c r="S185" s="31" t="str">
        <f t="shared" si="8"/>
        <v/>
      </c>
      <c r="T185" s="28" t="str">
        <f t="shared" si="9"/>
        <v/>
      </c>
    </row>
    <row r="186" ht="15.75" customHeight="1">
      <c r="A186" s="23"/>
      <c r="B186" s="23"/>
      <c r="C186" s="24"/>
      <c r="D186" s="24"/>
      <c r="E186" s="26"/>
      <c r="F186" s="27" t="str">
        <f t="shared" si="1"/>
        <v/>
      </c>
      <c r="G186" s="29" t="str">
        <f t="array" ref="G186">IF($A186="","",IFERROR(INDEX('2. Plot &amp; Core Log'!$M$6:$M$35,MATCH($A186,'2. Plot &amp; Core Log'!$B$6:$B$35,0)),""))</f>
        <v/>
      </c>
      <c r="H186" s="30" t="str">
        <f t="array" ref="H186">IF($A186="","",IFERROR(INDEX('2. Plot &amp; Core Log'!$J$6:$J$35,MATCH($A186,'2. Plot &amp; Core Log'!$B$6:$B$35,0)),""))</f>
        <v/>
      </c>
      <c r="I186" s="27" t="str">
        <f t="shared" si="2"/>
        <v/>
      </c>
      <c r="J186" s="27" t="str">
        <f t="shared" si="3"/>
        <v/>
      </c>
      <c r="K186" s="27" t="str">
        <f t="shared" si="4"/>
        <v/>
      </c>
      <c r="L186" s="32"/>
      <c r="M186" s="32"/>
      <c r="N186" s="34"/>
      <c r="O186" s="27" t="str">
        <f t="shared" si="10"/>
        <v/>
      </c>
      <c r="P186" s="28" t="str">
        <f t="shared" si="5"/>
        <v/>
      </c>
      <c r="Q186" s="27" t="str">
        <f t="shared" si="6"/>
        <v/>
      </c>
      <c r="R186" s="35" t="str">
        <f t="shared" si="7"/>
        <v/>
      </c>
      <c r="S186" s="31" t="str">
        <f t="shared" si="8"/>
        <v/>
      </c>
      <c r="T186" s="28" t="str">
        <f t="shared" si="9"/>
        <v/>
      </c>
    </row>
    <row r="187" ht="15.75" customHeight="1">
      <c r="A187" s="23"/>
      <c r="B187" s="23"/>
      <c r="C187" s="24"/>
      <c r="D187" s="24"/>
      <c r="E187" s="26"/>
      <c r="F187" s="27" t="str">
        <f t="shared" si="1"/>
        <v/>
      </c>
      <c r="G187" s="29" t="str">
        <f t="array" ref="G187">IF($A187="","",IFERROR(INDEX('2. Plot &amp; Core Log'!$M$6:$M$35,MATCH($A187,'2. Plot &amp; Core Log'!$B$6:$B$35,0)),""))</f>
        <v/>
      </c>
      <c r="H187" s="30" t="str">
        <f t="array" ref="H187">IF($A187="","",IFERROR(INDEX('2. Plot &amp; Core Log'!$J$6:$J$35,MATCH($A187,'2. Plot &amp; Core Log'!$B$6:$B$35,0)),""))</f>
        <v/>
      </c>
      <c r="I187" s="27" t="str">
        <f t="shared" si="2"/>
        <v/>
      </c>
      <c r="J187" s="27" t="str">
        <f t="shared" si="3"/>
        <v/>
      </c>
      <c r="K187" s="27" t="str">
        <f t="shared" si="4"/>
        <v/>
      </c>
      <c r="L187" s="32"/>
      <c r="M187" s="32"/>
      <c r="N187" s="34"/>
      <c r="O187" s="27" t="str">
        <f t="shared" si="10"/>
        <v/>
      </c>
      <c r="P187" s="28" t="str">
        <f t="shared" si="5"/>
        <v/>
      </c>
      <c r="Q187" s="27" t="str">
        <f t="shared" si="6"/>
        <v/>
      </c>
      <c r="R187" s="35" t="str">
        <f t="shared" si="7"/>
        <v/>
      </c>
      <c r="S187" s="31" t="str">
        <f t="shared" si="8"/>
        <v/>
      </c>
      <c r="T187" s="28" t="str">
        <f t="shared" si="9"/>
        <v/>
      </c>
    </row>
    <row r="188" ht="15.75" customHeight="1">
      <c r="A188" s="23"/>
      <c r="B188" s="23"/>
      <c r="C188" s="24"/>
      <c r="D188" s="24"/>
      <c r="E188" s="26"/>
      <c r="F188" s="27" t="str">
        <f t="shared" si="1"/>
        <v/>
      </c>
      <c r="G188" s="29" t="str">
        <f t="array" ref="G188">IF($A188="","",IFERROR(INDEX('2. Plot &amp; Core Log'!$M$6:$M$35,MATCH($A188,'2. Plot &amp; Core Log'!$B$6:$B$35,0)),""))</f>
        <v/>
      </c>
      <c r="H188" s="30" t="str">
        <f t="array" ref="H188">IF($A188="","",IFERROR(INDEX('2. Plot &amp; Core Log'!$J$6:$J$35,MATCH($A188,'2. Plot &amp; Core Log'!$B$6:$B$35,0)),""))</f>
        <v/>
      </c>
      <c r="I188" s="27" t="str">
        <f t="shared" si="2"/>
        <v/>
      </c>
      <c r="J188" s="27" t="str">
        <f t="shared" si="3"/>
        <v/>
      </c>
      <c r="K188" s="27" t="str">
        <f t="shared" si="4"/>
        <v/>
      </c>
      <c r="L188" s="32"/>
      <c r="M188" s="32"/>
      <c r="N188" s="34"/>
      <c r="O188" s="27" t="str">
        <f t="shared" si="10"/>
        <v/>
      </c>
      <c r="P188" s="28" t="str">
        <f t="shared" si="5"/>
        <v/>
      </c>
      <c r="Q188" s="27" t="str">
        <f t="shared" si="6"/>
        <v/>
      </c>
      <c r="R188" s="35" t="str">
        <f t="shared" si="7"/>
        <v/>
      </c>
      <c r="S188" s="31" t="str">
        <f t="shared" si="8"/>
        <v/>
      </c>
      <c r="T188" s="28" t="str">
        <f t="shared" si="9"/>
        <v/>
      </c>
    </row>
    <row r="189" ht="15.75" customHeight="1">
      <c r="A189" s="23"/>
      <c r="B189" s="23"/>
      <c r="C189" s="24"/>
      <c r="D189" s="24"/>
      <c r="E189" s="26"/>
      <c r="F189" s="27" t="str">
        <f t="shared" si="1"/>
        <v/>
      </c>
      <c r="G189" s="29" t="str">
        <f t="array" ref="G189">IF($A189="","",IFERROR(INDEX('2. Plot &amp; Core Log'!$M$6:$M$35,MATCH($A189,'2. Plot &amp; Core Log'!$B$6:$B$35,0)),""))</f>
        <v/>
      </c>
      <c r="H189" s="30" t="str">
        <f t="array" ref="H189">IF($A189="","",IFERROR(INDEX('2. Plot &amp; Core Log'!$J$6:$J$35,MATCH($A189,'2. Plot &amp; Core Log'!$B$6:$B$35,0)),""))</f>
        <v/>
      </c>
      <c r="I189" s="27" t="str">
        <f t="shared" si="2"/>
        <v/>
      </c>
      <c r="J189" s="27" t="str">
        <f t="shared" si="3"/>
        <v/>
      </c>
      <c r="K189" s="27" t="str">
        <f t="shared" si="4"/>
        <v/>
      </c>
      <c r="L189" s="32"/>
      <c r="M189" s="32"/>
      <c r="N189" s="34"/>
      <c r="O189" s="27" t="str">
        <f t="shared" si="10"/>
        <v/>
      </c>
      <c r="P189" s="28" t="str">
        <f t="shared" si="5"/>
        <v/>
      </c>
      <c r="Q189" s="27" t="str">
        <f t="shared" si="6"/>
        <v/>
      </c>
      <c r="R189" s="35" t="str">
        <f t="shared" si="7"/>
        <v/>
      </c>
      <c r="S189" s="31" t="str">
        <f t="shared" si="8"/>
        <v/>
      </c>
      <c r="T189" s="28" t="str">
        <f t="shared" si="9"/>
        <v/>
      </c>
    </row>
    <row r="190" ht="15.75" customHeight="1">
      <c r="A190" s="23"/>
      <c r="B190" s="23"/>
      <c r="C190" s="24"/>
      <c r="D190" s="24"/>
      <c r="E190" s="26"/>
      <c r="F190" s="27" t="str">
        <f t="shared" si="1"/>
        <v/>
      </c>
      <c r="G190" s="29" t="str">
        <f t="array" ref="G190">IF($A190="","",IFERROR(INDEX('2. Plot &amp; Core Log'!$M$6:$M$35,MATCH($A190,'2. Plot &amp; Core Log'!$B$6:$B$35,0)),""))</f>
        <v/>
      </c>
      <c r="H190" s="30" t="str">
        <f t="array" ref="H190">IF($A190="","",IFERROR(INDEX('2. Plot &amp; Core Log'!$J$6:$J$35,MATCH($A190,'2. Plot &amp; Core Log'!$B$6:$B$35,0)),""))</f>
        <v/>
      </c>
      <c r="I190" s="27" t="str">
        <f t="shared" si="2"/>
        <v/>
      </c>
      <c r="J190" s="27" t="str">
        <f t="shared" si="3"/>
        <v/>
      </c>
      <c r="K190" s="27" t="str">
        <f t="shared" si="4"/>
        <v/>
      </c>
      <c r="L190" s="32"/>
      <c r="M190" s="32"/>
      <c r="N190" s="34"/>
      <c r="O190" s="27" t="str">
        <f t="shared" si="10"/>
        <v/>
      </c>
      <c r="P190" s="28" t="str">
        <f t="shared" si="5"/>
        <v/>
      </c>
      <c r="Q190" s="27" t="str">
        <f t="shared" si="6"/>
        <v/>
      </c>
      <c r="R190" s="35" t="str">
        <f t="shared" si="7"/>
        <v/>
      </c>
      <c r="S190" s="31" t="str">
        <f t="shared" si="8"/>
        <v/>
      </c>
      <c r="T190" s="28" t="str">
        <f t="shared" si="9"/>
        <v/>
      </c>
    </row>
    <row r="191" ht="15.75" customHeight="1">
      <c r="A191" s="23"/>
      <c r="B191" s="23"/>
      <c r="C191" s="24"/>
      <c r="D191" s="24"/>
      <c r="E191" s="26"/>
      <c r="F191" s="27" t="str">
        <f t="shared" si="1"/>
        <v/>
      </c>
      <c r="G191" s="29" t="str">
        <f t="array" ref="G191">IF($A191="","",IFERROR(INDEX('2. Plot &amp; Core Log'!$M$6:$M$35,MATCH($A191,'2. Plot &amp; Core Log'!$B$6:$B$35,0)),""))</f>
        <v/>
      </c>
      <c r="H191" s="30" t="str">
        <f t="array" ref="H191">IF($A191="","",IFERROR(INDEX('2. Plot &amp; Core Log'!$J$6:$J$35,MATCH($A191,'2. Plot &amp; Core Log'!$B$6:$B$35,0)),""))</f>
        <v/>
      </c>
      <c r="I191" s="27" t="str">
        <f t="shared" si="2"/>
        <v/>
      </c>
      <c r="J191" s="27" t="str">
        <f t="shared" si="3"/>
        <v/>
      </c>
      <c r="K191" s="27" t="str">
        <f t="shared" si="4"/>
        <v/>
      </c>
      <c r="L191" s="32"/>
      <c r="M191" s="32"/>
      <c r="N191" s="34"/>
      <c r="O191" s="27" t="str">
        <f t="shared" si="10"/>
        <v/>
      </c>
      <c r="P191" s="28" t="str">
        <f t="shared" si="5"/>
        <v/>
      </c>
      <c r="Q191" s="27" t="str">
        <f t="shared" si="6"/>
        <v/>
      </c>
      <c r="R191" s="35" t="str">
        <f t="shared" si="7"/>
        <v/>
      </c>
      <c r="S191" s="31" t="str">
        <f t="shared" si="8"/>
        <v/>
      </c>
      <c r="T191" s="28" t="str">
        <f t="shared" si="9"/>
        <v/>
      </c>
    </row>
    <row r="192" ht="15.75" customHeight="1">
      <c r="A192" s="23"/>
      <c r="B192" s="23"/>
      <c r="C192" s="24"/>
      <c r="D192" s="24"/>
      <c r="E192" s="26"/>
      <c r="F192" s="27" t="str">
        <f t="shared" si="1"/>
        <v/>
      </c>
      <c r="G192" s="29" t="str">
        <f t="array" ref="G192">IF($A192="","",IFERROR(INDEX('2. Plot &amp; Core Log'!$M$6:$M$35,MATCH($A192,'2. Plot &amp; Core Log'!$B$6:$B$35,0)),""))</f>
        <v/>
      </c>
      <c r="H192" s="30" t="str">
        <f t="array" ref="H192">IF($A192="","",IFERROR(INDEX('2. Plot &amp; Core Log'!$J$6:$J$35,MATCH($A192,'2. Plot &amp; Core Log'!$B$6:$B$35,0)),""))</f>
        <v/>
      </c>
      <c r="I192" s="27" t="str">
        <f t="shared" si="2"/>
        <v/>
      </c>
      <c r="J192" s="27" t="str">
        <f t="shared" si="3"/>
        <v/>
      </c>
      <c r="K192" s="27" t="str">
        <f t="shared" si="4"/>
        <v/>
      </c>
      <c r="L192" s="32"/>
      <c r="M192" s="32"/>
      <c r="N192" s="34"/>
      <c r="O192" s="27" t="str">
        <f t="shared" si="10"/>
        <v/>
      </c>
      <c r="P192" s="28" t="str">
        <f t="shared" si="5"/>
        <v/>
      </c>
      <c r="Q192" s="27" t="str">
        <f t="shared" si="6"/>
        <v/>
      </c>
      <c r="R192" s="35" t="str">
        <f t="shared" si="7"/>
        <v/>
      </c>
      <c r="S192" s="31" t="str">
        <f t="shared" si="8"/>
        <v/>
      </c>
      <c r="T192" s="28" t="str">
        <f t="shared" si="9"/>
        <v/>
      </c>
    </row>
    <row r="193" ht="15.75" customHeight="1">
      <c r="A193" s="23"/>
      <c r="B193" s="23"/>
      <c r="C193" s="24"/>
      <c r="D193" s="24"/>
      <c r="E193" s="26"/>
      <c r="F193" s="27" t="str">
        <f t="shared" si="1"/>
        <v/>
      </c>
      <c r="G193" s="29" t="str">
        <f t="array" ref="G193">IF($A193="","",IFERROR(INDEX('2. Plot &amp; Core Log'!$M$6:$M$35,MATCH($A193,'2. Plot &amp; Core Log'!$B$6:$B$35,0)),""))</f>
        <v/>
      </c>
      <c r="H193" s="30" t="str">
        <f t="array" ref="H193">IF($A193="","",IFERROR(INDEX('2. Plot &amp; Core Log'!$J$6:$J$35,MATCH($A193,'2. Plot &amp; Core Log'!$B$6:$B$35,0)),""))</f>
        <v/>
      </c>
      <c r="I193" s="27" t="str">
        <f t="shared" si="2"/>
        <v/>
      </c>
      <c r="J193" s="27" t="str">
        <f t="shared" si="3"/>
        <v/>
      </c>
      <c r="K193" s="27" t="str">
        <f t="shared" si="4"/>
        <v/>
      </c>
      <c r="L193" s="32"/>
      <c r="M193" s="32"/>
      <c r="N193" s="34"/>
      <c r="O193" s="27" t="str">
        <f t="shared" si="10"/>
        <v/>
      </c>
      <c r="P193" s="28" t="str">
        <f t="shared" si="5"/>
        <v/>
      </c>
      <c r="Q193" s="27" t="str">
        <f t="shared" si="6"/>
        <v/>
      </c>
      <c r="R193" s="35" t="str">
        <f t="shared" si="7"/>
        <v/>
      </c>
      <c r="S193" s="31" t="str">
        <f t="shared" si="8"/>
        <v/>
      </c>
      <c r="T193" s="28" t="str">
        <f t="shared" si="9"/>
        <v/>
      </c>
    </row>
    <row r="194" ht="15.75" customHeight="1">
      <c r="A194" s="23"/>
      <c r="B194" s="23"/>
      <c r="C194" s="24"/>
      <c r="D194" s="24"/>
      <c r="E194" s="26"/>
      <c r="F194" s="27" t="str">
        <f t="shared" si="1"/>
        <v/>
      </c>
      <c r="G194" s="29" t="str">
        <f t="array" ref="G194">IF($A194="","",IFERROR(INDEX('2. Plot &amp; Core Log'!$M$6:$M$35,MATCH($A194,'2. Plot &amp; Core Log'!$B$6:$B$35,0)),""))</f>
        <v/>
      </c>
      <c r="H194" s="30" t="str">
        <f t="array" ref="H194">IF($A194="","",IFERROR(INDEX('2. Plot &amp; Core Log'!$J$6:$J$35,MATCH($A194,'2. Plot &amp; Core Log'!$B$6:$B$35,0)),""))</f>
        <v/>
      </c>
      <c r="I194" s="27" t="str">
        <f t="shared" si="2"/>
        <v/>
      </c>
      <c r="J194" s="27" t="str">
        <f t="shared" si="3"/>
        <v/>
      </c>
      <c r="K194" s="27" t="str">
        <f t="shared" si="4"/>
        <v/>
      </c>
      <c r="L194" s="32"/>
      <c r="M194" s="32"/>
      <c r="N194" s="34"/>
      <c r="O194" s="27" t="str">
        <f t="shared" si="10"/>
        <v/>
      </c>
      <c r="P194" s="28" t="str">
        <f t="shared" si="5"/>
        <v/>
      </c>
      <c r="Q194" s="27" t="str">
        <f t="shared" si="6"/>
        <v/>
      </c>
      <c r="R194" s="35" t="str">
        <f t="shared" si="7"/>
        <v/>
      </c>
      <c r="S194" s="31" t="str">
        <f t="shared" si="8"/>
        <v/>
      </c>
      <c r="T194" s="28" t="str">
        <f t="shared" si="9"/>
        <v/>
      </c>
    </row>
    <row r="195" ht="15.75" customHeight="1">
      <c r="A195" s="23"/>
      <c r="B195" s="23"/>
      <c r="C195" s="24"/>
      <c r="D195" s="24"/>
      <c r="E195" s="26"/>
      <c r="F195" s="27" t="str">
        <f t="shared" si="1"/>
        <v/>
      </c>
      <c r="G195" s="29" t="str">
        <f t="array" ref="G195">IF($A195="","",IFERROR(INDEX('2. Plot &amp; Core Log'!$M$6:$M$35,MATCH($A195,'2. Plot &amp; Core Log'!$B$6:$B$35,0)),""))</f>
        <v/>
      </c>
      <c r="H195" s="30" t="str">
        <f t="array" ref="H195">IF($A195="","",IFERROR(INDEX('2. Plot &amp; Core Log'!$J$6:$J$35,MATCH($A195,'2. Plot &amp; Core Log'!$B$6:$B$35,0)),""))</f>
        <v/>
      </c>
      <c r="I195" s="27" t="str">
        <f t="shared" si="2"/>
        <v/>
      </c>
      <c r="J195" s="27" t="str">
        <f t="shared" si="3"/>
        <v/>
      </c>
      <c r="K195" s="27" t="str">
        <f t="shared" si="4"/>
        <v/>
      </c>
      <c r="L195" s="32"/>
      <c r="M195" s="32"/>
      <c r="N195" s="34"/>
      <c r="O195" s="27" t="str">
        <f t="shared" si="10"/>
        <v/>
      </c>
      <c r="P195" s="28" t="str">
        <f t="shared" si="5"/>
        <v/>
      </c>
      <c r="Q195" s="27" t="str">
        <f t="shared" si="6"/>
        <v/>
      </c>
      <c r="R195" s="35" t="str">
        <f t="shared" si="7"/>
        <v/>
      </c>
      <c r="S195" s="31" t="str">
        <f t="shared" si="8"/>
        <v/>
      </c>
      <c r="T195" s="28" t="str">
        <f t="shared" si="9"/>
        <v/>
      </c>
    </row>
    <row r="196" ht="15.75" customHeight="1">
      <c r="A196" s="23"/>
      <c r="B196" s="23"/>
      <c r="C196" s="24"/>
      <c r="D196" s="24"/>
      <c r="E196" s="26"/>
      <c r="F196" s="27" t="str">
        <f t="shared" si="1"/>
        <v/>
      </c>
      <c r="G196" s="29" t="str">
        <f t="array" ref="G196">IF($A196="","",IFERROR(INDEX('2. Plot &amp; Core Log'!$M$6:$M$35,MATCH($A196,'2. Plot &amp; Core Log'!$B$6:$B$35,0)),""))</f>
        <v/>
      </c>
      <c r="H196" s="30" t="str">
        <f t="array" ref="H196">IF($A196="","",IFERROR(INDEX('2. Plot &amp; Core Log'!$J$6:$J$35,MATCH($A196,'2. Plot &amp; Core Log'!$B$6:$B$35,0)),""))</f>
        <v/>
      </c>
      <c r="I196" s="27" t="str">
        <f t="shared" si="2"/>
        <v/>
      </c>
      <c r="J196" s="27" t="str">
        <f t="shared" si="3"/>
        <v/>
      </c>
      <c r="K196" s="27" t="str">
        <f t="shared" si="4"/>
        <v/>
      </c>
      <c r="L196" s="32"/>
      <c r="M196" s="32"/>
      <c r="N196" s="34"/>
      <c r="O196" s="27" t="str">
        <f t="shared" si="10"/>
        <v/>
      </c>
      <c r="P196" s="28" t="str">
        <f t="shared" si="5"/>
        <v/>
      </c>
      <c r="Q196" s="27" t="str">
        <f t="shared" si="6"/>
        <v/>
      </c>
      <c r="R196" s="35" t="str">
        <f t="shared" si="7"/>
        <v/>
      </c>
      <c r="S196" s="31" t="str">
        <f t="shared" si="8"/>
        <v/>
      </c>
      <c r="T196" s="28" t="str">
        <f t="shared" si="9"/>
        <v/>
      </c>
    </row>
    <row r="197" ht="15.75" customHeight="1">
      <c r="A197" s="23"/>
      <c r="B197" s="23"/>
      <c r="C197" s="24"/>
      <c r="D197" s="24"/>
      <c r="E197" s="26"/>
      <c r="F197" s="27" t="str">
        <f t="shared" si="1"/>
        <v/>
      </c>
      <c r="G197" s="29" t="str">
        <f t="array" ref="G197">IF($A197="","",IFERROR(INDEX('2. Plot &amp; Core Log'!$M$6:$M$35,MATCH($A197,'2. Plot &amp; Core Log'!$B$6:$B$35,0)),""))</f>
        <v/>
      </c>
      <c r="H197" s="30" t="str">
        <f t="array" ref="H197">IF($A197="","",IFERROR(INDEX('2. Plot &amp; Core Log'!$J$6:$J$35,MATCH($A197,'2. Plot &amp; Core Log'!$B$6:$B$35,0)),""))</f>
        <v/>
      </c>
      <c r="I197" s="27" t="str">
        <f t="shared" si="2"/>
        <v/>
      </c>
      <c r="J197" s="27" t="str">
        <f t="shared" si="3"/>
        <v/>
      </c>
      <c r="K197" s="27" t="str">
        <f t="shared" si="4"/>
        <v/>
      </c>
      <c r="L197" s="32"/>
      <c r="M197" s="32"/>
      <c r="N197" s="34"/>
      <c r="O197" s="27" t="str">
        <f t="shared" si="10"/>
        <v/>
      </c>
      <c r="P197" s="28" t="str">
        <f t="shared" si="5"/>
        <v/>
      </c>
      <c r="Q197" s="27" t="str">
        <f t="shared" si="6"/>
        <v/>
      </c>
      <c r="R197" s="35" t="str">
        <f t="shared" si="7"/>
        <v/>
      </c>
      <c r="S197" s="31" t="str">
        <f t="shared" si="8"/>
        <v/>
      </c>
      <c r="T197" s="28" t="str">
        <f t="shared" si="9"/>
        <v/>
      </c>
    </row>
    <row r="198" ht="15.75" customHeight="1">
      <c r="A198" s="23"/>
      <c r="B198" s="23"/>
      <c r="C198" s="24"/>
      <c r="D198" s="24"/>
      <c r="E198" s="26"/>
      <c r="F198" s="27" t="str">
        <f t="shared" si="1"/>
        <v/>
      </c>
      <c r="G198" s="29" t="str">
        <f t="array" ref="G198">IF($A198="","",IFERROR(INDEX('2. Plot &amp; Core Log'!$M$6:$M$35,MATCH($A198,'2. Plot &amp; Core Log'!$B$6:$B$35,0)),""))</f>
        <v/>
      </c>
      <c r="H198" s="30" t="str">
        <f t="array" ref="H198">IF($A198="","",IFERROR(INDEX('2. Plot &amp; Core Log'!$J$6:$J$35,MATCH($A198,'2. Plot &amp; Core Log'!$B$6:$B$35,0)),""))</f>
        <v/>
      </c>
      <c r="I198" s="27" t="str">
        <f t="shared" si="2"/>
        <v/>
      </c>
      <c r="J198" s="27" t="str">
        <f t="shared" si="3"/>
        <v/>
      </c>
      <c r="K198" s="27" t="str">
        <f t="shared" si="4"/>
        <v/>
      </c>
      <c r="L198" s="32"/>
      <c r="M198" s="32"/>
      <c r="N198" s="34"/>
      <c r="O198" s="27" t="str">
        <f t="shared" si="10"/>
        <v/>
      </c>
      <c r="P198" s="28" t="str">
        <f t="shared" si="5"/>
        <v/>
      </c>
      <c r="Q198" s="27" t="str">
        <f t="shared" si="6"/>
        <v/>
      </c>
      <c r="R198" s="35" t="str">
        <f t="shared" si="7"/>
        <v/>
      </c>
      <c r="S198" s="31" t="str">
        <f t="shared" si="8"/>
        <v/>
      </c>
      <c r="T198" s="28" t="str">
        <f t="shared" si="9"/>
        <v/>
      </c>
    </row>
    <row r="199" ht="15.75" customHeight="1">
      <c r="A199" s="23"/>
      <c r="B199" s="23"/>
      <c r="C199" s="24"/>
      <c r="D199" s="24"/>
      <c r="E199" s="26"/>
      <c r="F199" s="27" t="str">
        <f t="shared" si="1"/>
        <v/>
      </c>
      <c r="G199" s="29" t="str">
        <f t="array" ref="G199">IF($A199="","",IFERROR(INDEX('2. Plot &amp; Core Log'!$M$6:$M$35,MATCH($A199,'2. Plot &amp; Core Log'!$B$6:$B$35,0)),""))</f>
        <v/>
      </c>
      <c r="H199" s="30" t="str">
        <f t="array" ref="H199">IF($A199="","",IFERROR(INDEX('2. Plot &amp; Core Log'!$J$6:$J$35,MATCH($A199,'2. Plot &amp; Core Log'!$B$6:$B$35,0)),""))</f>
        <v/>
      </c>
      <c r="I199" s="27" t="str">
        <f t="shared" si="2"/>
        <v/>
      </c>
      <c r="J199" s="27" t="str">
        <f t="shared" si="3"/>
        <v/>
      </c>
      <c r="K199" s="27" t="str">
        <f t="shared" si="4"/>
        <v/>
      </c>
      <c r="L199" s="32"/>
      <c r="M199" s="32"/>
      <c r="N199" s="34"/>
      <c r="O199" s="27" t="str">
        <f t="shared" si="10"/>
        <v/>
      </c>
      <c r="P199" s="28" t="str">
        <f t="shared" si="5"/>
        <v/>
      </c>
      <c r="Q199" s="27" t="str">
        <f t="shared" si="6"/>
        <v/>
      </c>
      <c r="R199" s="35" t="str">
        <f t="shared" si="7"/>
        <v/>
      </c>
      <c r="S199" s="31" t="str">
        <f t="shared" si="8"/>
        <v/>
      </c>
      <c r="T199" s="28" t="str">
        <f t="shared" si="9"/>
        <v/>
      </c>
    </row>
    <row r="200" ht="15.75" customHeight="1">
      <c r="A200" s="23"/>
      <c r="B200" s="23"/>
      <c r="C200" s="24"/>
      <c r="D200" s="24"/>
      <c r="E200" s="26"/>
      <c r="F200" s="27" t="str">
        <f t="shared" si="1"/>
        <v/>
      </c>
      <c r="G200" s="29" t="str">
        <f t="array" ref="G200">IF($A200="","",IFERROR(INDEX('2. Plot &amp; Core Log'!$M$6:$M$35,MATCH($A200,'2. Plot &amp; Core Log'!$B$6:$B$35,0)),""))</f>
        <v/>
      </c>
      <c r="H200" s="30" t="str">
        <f t="array" ref="H200">IF($A200="","",IFERROR(INDEX('2. Plot &amp; Core Log'!$J$6:$J$35,MATCH($A200,'2. Plot &amp; Core Log'!$B$6:$B$35,0)),""))</f>
        <v/>
      </c>
      <c r="I200" s="27" t="str">
        <f t="shared" si="2"/>
        <v/>
      </c>
      <c r="J200" s="27" t="str">
        <f t="shared" si="3"/>
        <v/>
      </c>
      <c r="K200" s="27" t="str">
        <f t="shared" si="4"/>
        <v/>
      </c>
      <c r="L200" s="32"/>
      <c r="M200" s="32"/>
      <c r="N200" s="34"/>
      <c r="O200" s="27" t="str">
        <f t="shared" si="10"/>
        <v/>
      </c>
      <c r="P200" s="28" t="str">
        <f t="shared" si="5"/>
        <v/>
      </c>
      <c r="Q200" s="27" t="str">
        <f t="shared" si="6"/>
        <v/>
      </c>
      <c r="R200" s="35" t="str">
        <f t="shared" si="7"/>
        <v/>
      </c>
      <c r="S200" s="31" t="str">
        <f t="shared" si="8"/>
        <v/>
      </c>
      <c r="T200" s="28" t="str">
        <f t="shared" si="9"/>
        <v/>
      </c>
    </row>
    <row r="201" ht="15.75" customHeight="1">
      <c r="A201" s="23"/>
      <c r="B201" s="23"/>
      <c r="C201" s="24"/>
      <c r="D201" s="24"/>
      <c r="E201" s="26"/>
      <c r="F201" s="27" t="str">
        <f t="shared" si="1"/>
        <v/>
      </c>
      <c r="G201" s="29" t="str">
        <f t="array" ref="G201">IF($A201="","",IFERROR(INDEX('2. Plot &amp; Core Log'!$M$6:$M$35,MATCH($A201,'2. Plot &amp; Core Log'!$B$6:$B$35,0)),""))</f>
        <v/>
      </c>
      <c r="H201" s="30" t="str">
        <f t="array" ref="H201">IF($A201="","",IFERROR(INDEX('2. Plot &amp; Core Log'!$J$6:$J$35,MATCH($A201,'2. Plot &amp; Core Log'!$B$6:$B$35,0)),""))</f>
        <v/>
      </c>
      <c r="I201" s="27" t="str">
        <f t="shared" si="2"/>
        <v/>
      </c>
      <c r="J201" s="27" t="str">
        <f t="shared" si="3"/>
        <v/>
      </c>
      <c r="K201" s="27" t="str">
        <f t="shared" si="4"/>
        <v/>
      </c>
      <c r="L201" s="32"/>
      <c r="M201" s="32"/>
      <c r="N201" s="34"/>
      <c r="O201" s="27" t="str">
        <f t="shared" si="10"/>
        <v/>
      </c>
      <c r="P201" s="28" t="str">
        <f t="shared" si="5"/>
        <v/>
      </c>
      <c r="Q201" s="27" t="str">
        <f t="shared" si="6"/>
        <v/>
      </c>
      <c r="R201" s="35" t="str">
        <f t="shared" si="7"/>
        <v/>
      </c>
      <c r="S201" s="31" t="str">
        <f t="shared" si="8"/>
        <v/>
      </c>
      <c r="T201" s="28" t="str">
        <f t="shared" si="9"/>
        <v/>
      </c>
    </row>
    <row r="202" ht="15.75" customHeight="1">
      <c r="A202" s="23"/>
      <c r="B202" s="23"/>
      <c r="C202" s="24"/>
      <c r="D202" s="24"/>
      <c r="E202" s="26"/>
      <c r="F202" s="27" t="str">
        <f t="shared" si="1"/>
        <v/>
      </c>
      <c r="G202" s="29" t="str">
        <f t="array" ref="G202">IF($A202="","",IFERROR(INDEX('2. Plot &amp; Core Log'!$M$6:$M$35,MATCH($A202,'2. Plot &amp; Core Log'!$B$6:$B$35,0)),""))</f>
        <v/>
      </c>
      <c r="H202" s="30" t="str">
        <f t="array" ref="H202">IF($A202="","",IFERROR(INDEX('2. Plot &amp; Core Log'!$J$6:$J$35,MATCH($A202,'2. Plot &amp; Core Log'!$B$6:$B$35,0)),""))</f>
        <v/>
      </c>
      <c r="I202" s="27" t="str">
        <f t="shared" si="2"/>
        <v/>
      </c>
      <c r="J202" s="27" t="str">
        <f t="shared" si="3"/>
        <v/>
      </c>
      <c r="K202" s="27" t="str">
        <f t="shared" si="4"/>
        <v/>
      </c>
      <c r="L202" s="32"/>
      <c r="M202" s="32"/>
      <c r="N202" s="34"/>
      <c r="O202" s="27" t="str">
        <f t="shared" si="10"/>
        <v/>
      </c>
      <c r="P202" s="28" t="str">
        <f t="shared" si="5"/>
        <v/>
      </c>
      <c r="Q202" s="27" t="str">
        <f t="shared" si="6"/>
        <v/>
      </c>
      <c r="R202" s="35" t="str">
        <f t="shared" si="7"/>
        <v/>
      </c>
      <c r="S202" s="31" t="str">
        <f t="shared" si="8"/>
        <v/>
      </c>
      <c r="T202" s="28" t="str">
        <f t="shared" si="9"/>
        <v/>
      </c>
    </row>
    <row r="203" ht="15.75" customHeight="1">
      <c r="A203" s="23"/>
      <c r="B203" s="23"/>
      <c r="C203" s="24"/>
      <c r="D203" s="24"/>
      <c r="E203" s="26"/>
      <c r="F203" s="27" t="str">
        <f t="shared" si="1"/>
        <v/>
      </c>
      <c r="G203" s="29" t="str">
        <f t="array" ref="G203">IF($A203="","",IFERROR(INDEX('2. Plot &amp; Core Log'!$M$6:$M$35,MATCH($A203,'2. Plot &amp; Core Log'!$B$6:$B$35,0)),""))</f>
        <v/>
      </c>
      <c r="H203" s="30" t="str">
        <f t="array" ref="H203">IF($A203="","",IFERROR(INDEX('2. Plot &amp; Core Log'!$J$6:$J$35,MATCH($A203,'2. Plot &amp; Core Log'!$B$6:$B$35,0)),""))</f>
        <v/>
      </c>
      <c r="I203" s="27" t="str">
        <f t="shared" si="2"/>
        <v/>
      </c>
      <c r="J203" s="27" t="str">
        <f t="shared" si="3"/>
        <v/>
      </c>
      <c r="K203" s="27" t="str">
        <f t="shared" si="4"/>
        <v/>
      </c>
      <c r="L203" s="32"/>
      <c r="M203" s="32"/>
      <c r="N203" s="34"/>
      <c r="O203" s="27" t="str">
        <f t="shared" si="10"/>
        <v/>
      </c>
      <c r="P203" s="28" t="str">
        <f t="shared" si="5"/>
        <v/>
      </c>
      <c r="Q203" s="27" t="str">
        <f t="shared" si="6"/>
        <v/>
      </c>
      <c r="R203" s="35" t="str">
        <f t="shared" si="7"/>
        <v/>
      </c>
      <c r="S203" s="31" t="str">
        <f t="shared" si="8"/>
        <v/>
      </c>
      <c r="T203" s="28" t="str">
        <f t="shared" si="9"/>
        <v/>
      </c>
    </row>
    <row r="204" ht="15.75" customHeight="1">
      <c r="A204" s="23"/>
      <c r="B204" s="23"/>
      <c r="C204" s="24"/>
      <c r="D204" s="24"/>
      <c r="E204" s="26"/>
      <c r="F204" s="27" t="str">
        <f t="shared" si="1"/>
        <v/>
      </c>
      <c r="G204" s="29" t="str">
        <f t="array" ref="G204">IF($A204="","",IFERROR(INDEX('2. Plot &amp; Core Log'!$M$6:$M$35,MATCH($A204,'2. Plot &amp; Core Log'!$B$6:$B$35,0)),""))</f>
        <v/>
      </c>
      <c r="H204" s="30" t="str">
        <f t="array" ref="H204">IF($A204="","",IFERROR(INDEX('2. Plot &amp; Core Log'!$J$6:$J$35,MATCH($A204,'2. Plot &amp; Core Log'!$B$6:$B$35,0)),""))</f>
        <v/>
      </c>
      <c r="I204" s="27" t="str">
        <f t="shared" si="2"/>
        <v/>
      </c>
      <c r="J204" s="27" t="str">
        <f t="shared" si="3"/>
        <v/>
      </c>
      <c r="K204" s="27" t="str">
        <f t="shared" si="4"/>
        <v/>
      </c>
      <c r="L204" s="32"/>
      <c r="M204" s="32"/>
      <c r="N204" s="34"/>
      <c r="O204" s="27" t="str">
        <f t="shared" si="10"/>
        <v/>
      </c>
      <c r="P204" s="28" t="str">
        <f t="shared" si="5"/>
        <v/>
      </c>
      <c r="Q204" s="27" t="str">
        <f t="shared" si="6"/>
        <v/>
      </c>
      <c r="R204" s="35" t="str">
        <f t="shared" si="7"/>
        <v/>
      </c>
      <c r="S204" s="31" t="str">
        <f t="shared" si="8"/>
        <v/>
      </c>
      <c r="T204" s="28" t="str">
        <f t="shared" si="9"/>
        <v/>
      </c>
    </row>
    <row r="205" ht="15.75" customHeight="1">
      <c r="A205" s="23"/>
      <c r="B205" s="23"/>
      <c r="C205" s="24"/>
      <c r="D205" s="24"/>
      <c r="E205" s="26"/>
      <c r="F205" s="27" t="str">
        <f t="shared" si="1"/>
        <v/>
      </c>
      <c r="G205" s="29" t="str">
        <f t="array" ref="G205">IF($A205="","",IFERROR(INDEX('2. Plot &amp; Core Log'!$M$6:$M$35,MATCH($A205,'2. Plot &amp; Core Log'!$B$6:$B$35,0)),""))</f>
        <v/>
      </c>
      <c r="H205" s="30" t="str">
        <f t="array" ref="H205">IF($A205="","",IFERROR(INDEX('2. Plot &amp; Core Log'!$J$6:$J$35,MATCH($A205,'2. Plot &amp; Core Log'!$B$6:$B$35,0)),""))</f>
        <v/>
      </c>
      <c r="I205" s="27" t="str">
        <f t="shared" si="2"/>
        <v/>
      </c>
      <c r="J205" s="27" t="str">
        <f t="shared" si="3"/>
        <v/>
      </c>
      <c r="K205" s="27" t="str">
        <f t="shared" si="4"/>
        <v/>
      </c>
      <c r="L205" s="32"/>
      <c r="M205" s="32"/>
      <c r="N205" s="34"/>
      <c r="O205" s="27" t="str">
        <f t="shared" si="10"/>
        <v/>
      </c>
      <c r="P205" s="28" t="str">
        <f t="shared" si="5"/>
        <v/>
      </c>
      <c r="Q205" s="27" t="str">
        <f t="shared" si="6"/>
        <v/>
      </c>
      <c r="R205" s="35" t="str">
        <f t="shared" si="7"/>
        <v/>
      </c>
      <c r="S205" s="31" t="str">
        <f t="shared" si="8"/>
        <v/>
      </c>
      <c r="T205" s="28" t="str">
        <f t="shared" si="9"/>
        <v/>
      </c>
    </row>
    <row r="206" ht="15.75" customHeight="1"/>
    <row r="207" ht="15.75" customHeight="1">
      <c r="A207" s="38" t="s">
        <v>104</v>
      </c>
    </row>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2:T2"/>
    <mergeCell ref="A4:E4"/>
    <mergeCell ref="F4:K4"/>
    <mergeCell ref="L4:N4"/>
    <mergeCell ref="O4:T4"/>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4.0"/>
    <col customWidth="1" min="2" max="2" width="13.0"/>
    <col customWidth="1" min="3" max="3" width="17.0"/>
    <col customWidth="1" min="4" max="4" width="20.0"/>
    <col customWidth="1" min="5" max="5" width="16.0"/>
    <col customWidth="1" min="6" max="7" width="19.0"/>
    <col customWidth="1" min="8" max="8" width="26.0"/>
    <col customWidth="1" min="9" max="26" width="8.71"/>
  </cols>
  <sheetData>
    <row r="1">
      <c r="A1" s="2" t="s">
        <v>8</v>
      </c>
    </row>
    <row r="2">
      <c r="A2" s="4" t="s">
        <v>12</v>
      </c>
    </row>
    <row r="4" ht="39.75" customHeight="1">
      <c r="A4" s="12" t="s">
        <v>18</v>
      </c>
      <c r="B4" s="12" t="s">
        <v>23</v>
      </c>
      <c r="C4" s="12" t="s">
        <v>27</v>
      </c>
      <c r="D4" s="12" t="s">
        <v>29</v>
      </c>
      <c r="E4" s="12" t="s">
        <v>32</v>
      </c>
      <c r="F4" s="12" t="s">
        <v>36</v>
      </c>
      <c r="G4" s="12" t="s">
        <v>39</v>
      </c>
      <c r="H4" s="12" t="s">
        <v>43</v>
      </c>
    </row>
    <row r="5">
      <c r="A5" s="20" t="str">
        <f>IF('2. Plot &amp; Core Log'!$B$6="","",'2. Plot &amp; Core Log'!$B$6)</f>
        <v/>
      </c>
      <c r="B5" s="22" t="str">
        <f>IF($A5="","",COUNTIFS('3. Sample Data'!$A$6:$A$205,$A5))</f>
        <v/>
      </c>
      <c r="C5" s="27" t="str">
        <f>IF($A5="","",IFERROR(MAXIFS('3. Sample Data'!$J$6:$J$205,'3. Sample Data'!$A$6:$A$205,$A5),""))</f>
        <v/>
      </c>
      <c r="D5" s="28" t="str">
        <f>IF(OR($A5="",$B5=0),"",IFERROR(AVERAGEIFS('3. Sample Data'!$P$6:$P$205,'3. Sample Data'!$A$6:$A$205,$A5),""))</f>
        <v/>
      </c>
      <c r="E5" s="28" t="str">
        <f>IF(OR($A5="",$B5=0),"",IFERROR(AVERAGEIFS('3. Sample Data'!$N$6:$N$205,'3. Sample Data'!$A$6:$A$205,$A5),""))</f>
        <v/>
      </c>
      <c r="F5" s="31" t="str">
        <f>IF($A5="","",SUMIFS('3. Sample Data'!$S$6:$S$205,'3. Sample Data'!$A$6:$A$205,$A5))</f>
        <v/>
      </c>
      <c r="G5" s="28" t="str">
        <f>IF($A5="","",SUMIFS('3. Sample Data'!$T$6:$T$205,'3. Sample Data'!$A$6:$A$205,$A5))</f>
        <v/>
      </c>
      <c r="H5" s="33" t="str">
        <f>IF($A5="","",IF($B5=0,"No slices entered",IF(COUNTIFS('3. Sample Data'!$A$6:$A$205,$A5,'3. Sample Data'!$P$6:$P$205,"")&gt;0,"Awaiting lab results","Complete")))</f>
        <v/>
      </c>
    </row>
    <row r="6">
      <c r="A6" s="20" t="str">
        <f>IF('2. Plot &amp; Core Log'!$B$7="","",'2. Plot &amp; Core Log'!$B$7)</f>
        <v/>
      </c>
      <c r="B6" s="22" t="str">
        <f>IF($A6="","",COUNTIFS('3. Sample Data'!$A$6:$A$205,$A6))</f>
        <v/>
      </c>
      <c r="C6" s="27" t="str">
        <f>IF($A6="","",IFERROR(MAXIFS('3. Sample Data'!$J$6:$J$205,'3. Sample Data'!$A$6:$A$205,$A6),""))</f>
        <v/>
      </c>
      <c r="D6" s="28" t="str">
        <f>IF(OR($A6="",$B6=0),"",IFERROR(AVERAGEIFS('3. Sample Data'!$P$6:$P$205,'3. Sample Data'!$A$6:$A$205,$A6),""))</f>
        <v/>
      </c>
      <c r="E6" s="28" t="str">
        <f>IF(OR($A6="",$B6=0),"",IFERROR(AVERAGEIFS('3. Sample Data'!$N$6:$N$205,'3. Sample Data'!$A$6:$A$205,$A6),""))</f>
        <v/>
      </c>
      <c r="F6" s="31" t="str">
        <f>IF($A6="","",SUMIFS('3. Sample Data'!$S$6:$S$205,'3. Sample Data'!$A$6:$A$205,$A6))</f>
        <v/>
      </c>
      <c r="G6" s="28" t="str">
        <f>IF($A6="","",SUMIFS('3. Sample Data'!$T$6:$T$205,'3. Sample Data'!$A$6:$A$205,$A6))</f>
        <v/>
      </c>
      <c r="H6" s="33" t="str">
        <f>IF($A6="","",IF($B6=0,"No slices entered",IF(COUNTIFS('3. Sample Data'!$A$6:$A$205,$A6,'3. Sample Data'!$P$6:$P$205,"")&gt;0,"Awaiting lab results","Complete")))</f>
        <v/>
      </c>
    </row>
    <row r="7">
      <c r="A7" s="20" t="str">
        <f>IF('2. Plot &amp; Core Log'!$B$8="","",'2. Plot &amp; Core Log'!$B$8)</f>
        <v/>
      </c>
      <c r="B7" s="22" t="str">
        <f>IF($A7="","",COUNTIFS('3. Sample Data'!$A$6:$A$205,$A7))</f>
        <v/>
      </c>
      <c r="C7" s="27" t="str">
        <f>IF($A7="","",IFERROR(MAXIFS('3. Sample Data'!$J$6:$J$205,'3. Sample Data'!$A$6:$A$205,$A7),""))</f>
        <v/>
      </c>
      <c r="D7" s="28" t="str">
        <f>IF(OR($A7="",$B7=0),"",IFERROR(AVERAGEIFS('3. Sample Data'!$P$6:$P$205,'3. Sample Data'!$A$6:$A$205,$A7),""))</f>
        <v/>
      </c>
      <c r="E7" s="28" t="str">
        <f>IF(OR($A7="",$B7=0),"",IFERROR(AVERAGEIFS('3. Sample Data'!$N$6:$N$205,'3. Sample Data'!$A$6:$A$205,$A7),""))</f>
        <v/>
      </c>
      <c r="F7" s="31" t="str">
        <f>IF($A7="","",SUMIFS('3. Sample Data'!$S$6:$S$205,'3. Sample Data'!$A$6:$A$205,$A7))</f>
        <v/>
      </c>
      <c r="G7" s="28" t="str">
        <f>IF($A7="","",SUMIFS('3. Sample Data'!$T$6:$T$205,'3. Sample Data'!$A$6:$A$205,$A7))</f>
        <v/>
      </c>
      <c r="H7" s="33" t="str">
        <f>IF($A7="","",IF($B7=0,"No slices entered",IF(COUNTIFS('3. Sample Data'!$A$6:$A$205,$A7,'3. Sample Data'!$P$6:$P$205,"")&gt;0,"Awaiting lab results","Complete")))</f>
        <v/>
      </c>
    </row>
    <row r="8">
      <c r="A8" s="20" t="str">
        <f>IF('2. Plot &amp; Core Log'!$B$9="","",'2. Plot &amp; Core Log'!$B$9)</f>
        <v/>
      </c>
      <c r="B8" s="22" t="str">
        <f>IF($A8="","",COUNTIFS('3. Sample Data'!$A$6:$A$205,$A8))</f>
        <v/>
      </c>
      <c r="C8" s="27" t="str">
        <f>IF($A8="","",IFERROR(MAXIFS('3. Sample Data'!$J$6:$J$205,'3. Sample Data'!$A$6:$A$205,$A8),""))</f>
        <v/>
      </c>
      <c r="D8" s="28" t="str">
        <f>IF(OR($A8="",$B8=0),"",IFERROR(AVERAGEIFS('3. Sample Data'!$P$6:$P$205,'3. Sample Data'!$A$6:$A$205,$A8),""))</f>
        <v/>
      </c>
      <c r="E8" s="28" t="str">
        <f>IF(OR($A8="",$B8=0),"",IFERROR(AVERAGEIFS('3. Sample Data'!$N$6:$N$205,'3. Sample Data'!$A$6:$A$205,$A8),""))</f>
        <v/>
      </c>
      <c r="F8" s="31" t="str">
        <f>IF($A8="","",SUMIFS('3. Sample Data'!$S$6:$S$205,'3. Sample Data'!$A$6:$A$205,$A8))</f>
        <v/>
      </c>
      <c r="G8" s="28" t="str">
        <f>IF($A8="","",SUMIFS('3. Sample Data'!$T$6:$T$205,'3. Sample Data'!$A$6:$A$205,$A8))</f>
        <v/>
      </c>
      <c r="H8" s="33" t="str">
        <f>IF($A8="","",IF($B8=0,"No slices entered",IF(COUNTIFS('3. Sample Data'!$A$6:$A$205,$A8,'3. Sample Data'!$P$6:$P$205,"")&gt;0,"Awaiting lab results","Complete")))</f>
        <v/>
      </c>
    </row>
    <row r="9">
      <c r="A9" s="20" t="str">
        <f>IF('2. Plot &amp; Core Log'!$B$10="","",'2. Plot &amp; Core Log'!$B$10)</f>
        <v/>
      </c>
      <c r="B9" s="22" t="str">
        <f>IF($A9="","",COUNTIFS('3. Sample Data'!$A$6:$A$205,$A9))</f>
        <v/>
      </c>
      <c r="C9" s="27" t="str">
        <f>IF($A9="","",IFERROR(MAXIFS('3. Sample Data'!$J$6:$J$205,'3. Sample Data'!$A$6:$A$205,$A9),""))</f>
        <v/>
      </c>
      <c r="D9" s="28" t="str">
        <f>IF(OR($A9="",$B9=0),"",IFERROR(AVERAGEIFS('3. Sample Data'!$P$6:$P$205,'3. Sample Data'!$A$6:$A$205,$A9),""))</f>
        <v/>
      </c>
      <c r="E9" s="28" t="str">
        <f>IF(OR($A9="",$B9=0),"",IFERROR(AVERAGEIFS('3. Sample Data'!$N$6:$N$205,'3. Sample Data'!$A$6:$A$205,$A9),""))</f>
        <v/>
      </c>
      <c r="F9" s="31" t="str">
        <f>IF($A9="","",SUMIFS('3. Sample Data'!$S$6:$S$205,'3. Sample Data'!$A$6:$A$205,$A9))</f>
        <v/>
      </c>
      <c r="G9" s="28" t="str">
        <f>IF($A9="","",SUMIFS('3. Sample Data'!$T$6:$T$205,'3. Sample Data'!$A$6:$A$205,$A9))</f>
        <v/>
      </c>
      <c r="H9" s="33" t="str">
        <f>IF($A9="","",IF($B9=0,"No slices entered",IF(COUNTIFS('3. Sample Data'!$A$6:$A$205,$A9,'3. Sample Data'!$P$6:$P$205,"")&gt;0,"Awaiting lab results","Complete")))</f>
        <v/>
      </c>
    </row>
    <row r="10">
      <c r="A10" s="20" t="str">
        <f>IF('2. Plot &amp; Core Log'!$B$11="","",'2. Plot &amp; Core Log'!$B$11)</f>
        <v/>
      </c>
      <c r="B10" s="22" t="str">
        <f>IF($A10="","",COUNTIFS('3. Sample Data'!$A$6:$A$205,$A10))</f>
        <v/>
      </c>
      <c r="C10" s="27" t="str">
        <f>IF($A10="","",IFERROR(MAXIFS('3. Sample Data'!$J$6:$J$205,'3. Sample Data'!$A$6:$A$205,$A10),""))</f>
        <v/>
      </c>
      <c r="D10" s="28" t="str">
        <f>IF(OR($A10="",$B10=0),"",IFERROR(AVERAGEIFS('3. Sample Data'!$P$6:$P$205,'3. Sample Data'!$A$6:$A$205,$A10),""))</f>
        <v/>
      </c>
      <c r="E10" s="28" t="str">
        <f>IF(OR($A10="",$B10=0),"",IFERROR(AVERAGEIFS('3. Sample Data'!$N$6:$N$205,'3. Sample Data'!$A$6:$A$205,$A10),""))</f>
        <v/>
      </c>
      <c r="F10" s="31" t="str">
        <f>IF($A10="","",SUMIFS('3. Sample Data'!$S$6:$S$205,'3. Sample Data'!$A$6:$A$205,$A10))</f>
        <v/>
      </c>
      <c r="G10" s="28" t="str">
        <f>IF($A10="","",SUMIFS('3. Sample Data'!$T$6:$T$205,'3. Sample Data'!$A$6:$A$205,$A10))</f>
        <v/>
      </c>
      <c r="H10" s="33" t="str">
        <f>IF($A10="","",IF($B10=0,"No slices entered",IF(COUNTIFS('3. Sample Data'!$A$6:$A$205,$A10,'3. Sample Data'!$P$6:$P$205,"")&gt;0,"Awaiting lab results","Complete")))</f>
        <v/>
      </c>
    </row>
    <row r="11">
      <c r="A11" s="20" t="str">
        <f>IF('2. Plot &amp; Core Log'!$B$12="","",'2. Plot &amp; Core Log'!$B$12)</f>
        <v/>
      </c>
      <c r="B11" s="22" t="str">
        <f>IF($A11="","",COUNTIFS('3. Sample Data'!$A$6:$A$205,$A11))</f>
        <v/>
      </c>
      <c r="C11" s="27" t="str">
        <f>IF($A11="","",IFERROR(MAXIFS('3. Sample Data'!$J$6:$J$205,'3. Sample Data'!$A$6:$A$205,$A11),""))</f>
        <v/>
      </c>
      <c r="D11" s="28" t="str">
        <f>IF(OR($A11="",$B11=0),"",IFERROR(AVERAGEIFS('3. Sample Data'!$P$6:$P$205,'3. Sample Data'!$A$6:$A$205,$A11),""))</f>
        <v/>
      </c>
      <c r="E11" s="28" t="str">
        <f>IF(OR($A11="",$B11=0),"",IFERROR(AVERAGEIFS('3. Sample Data'!$N$6:$N$205,'3. Sample Data'!$A$6:$A$205,$A11),""))</f>
        <v/>
      </c>
      <c r="F11" s="31" t="str">
        <f>IF($A11="","",SUMIFS('3. Sample Data'!$S$6:$S$205,'3. Sample Data'!$A$6:$A$205,$A11))</f>
        <v/>
      </c>
      <c r="G11" s="28" t="str">
        <f>IF($A11="","",SUMIFS('3. Sample Data'!$T$6:$T$205,'3. Sample Data'!$A$6:$A$205,$A11))</f>
        <v/>
      </c>
      <c r="H11" s="33" t="str">
        <f>IF($A11="","",IF($B11=0,"No slices entered",IF(COUNTIFS('3. Sample Data'!$A$6:$A$205,$A11,'3. Sample Data'!$P$6:$P$205,"")&gt;0,"Awaiting lab results","Complete")))</f>
        <v/>
      </c>
    </row>
    <row r="12">
      <c r="A12" s="20" t="str">
        <f>IF('2. Plot &amp; Core Log'!$B$13="","",'2. Plot &amp; Core Log'!$B$13)</f>
        <v/>
      </c>
      <c r="B12" s="22" t="str">
        <f>IF($A12="","",COUNTIFS('3. Sample Data'!$A$6:$A$205,$A12))</f>
        <v/>
      </c>
      <c r="C12" s="27" t="str">
        <f>IF($A12="","",IFERROR(MAXIFS('3. Sample Data'!$J$6:$J$205,'3. Sample Data'!$A$6:$A$205,$A12),""))</f>
        <v/>
      </c>
      <c r="D12" s="28" t="str">
        <f>IF(OR($A12="",$B12=0),"",IFERROR(AVERAGEIFS('3. Sample Data'!$P$6:$P$205,'3. Sample Data'!$A$6:$A$205,$A12),""))</f>
        <v/>
      </c>
      <c r="E12" s="28" t="str">
        <f>IF(OR($A12="",$B12=0),"",IFERROR(AVERAGEIFS('3. Sample Data'!$N$6:$N$205,'3. Sample Data'!$A$6:$A$205,$A12),""))</f>
        <v/>
      </c>
      <c r="F12" s="31" t="str">
        <f>IF($A12="","",SUMIFS('3. Sample Data'!$S$6:$S$205,'3. Sample Data'!$A$6:$A$205,$A12))</f>
        <v/>
      </c>
      <c r="G12" s="28" t="str">
        <f>IF($A12="","",SUMIFS('3. Sample Data'!$T$6:$T$205,'3. Sample Data'!$A$6:$A$205,$A12))</f>
        <v/>
      </c>
      <c r="H12" s="33" t="str">
        <f>IF($A12="","",IF($B12=0,"No slices entered",IF(COUNTIFS('3. Sample Data'!$A$6:$A$205,$A12,'3. Sample Data'!$P$6:$P$205,"")&gt;0,"Awaiting lab results","Complete")))</f>
        <v/>
      </c>
    </row>
    <row r="13">
      <c r="A13" s="20" t="str">
        <f>IF('2. Plot &amp; Core Log'!$B$14="","",'2. Plot &amp; Core Log'!$B$14)</f>
        <v/>
      </c>
      <c r="B13" s="22" t="str">
        <f>IF($A13="","",COUNTIFS('3. Sample Data'!$A$6:$A$205,$A13))</f>
        <v/>
      </c>
      <c r="C13" s="27" t="str">
        <f>IF($A13="","",IFERROR(MAXIFS('3. Sample Data'!$J$6:$J$205,'3. Sample Data'!$A$6:$A$205,$A13),""))</f>
        <v/>
      </c>
      <c r="D13" s="28" t="str">
        <f>IF(OR($A13="",$B13=0),"",IFERROR(AVERAGEIFS('3. Sample Data'!$P$6:$P$205,'3. Sample Data'!$A$6:$A$205,$A13),""))</f>
        <v/>
      </c>
      <c r="E13" s="28" t="str">
        <f>IF(OR($A13="",$B13=0),"",IFERROR(AVERAGEIFS('3. Sample Data'!$N$6:$N$205,'3. Sample Data'!$A$6:$A$205,$A13),""))</f>
        <v/>
      </c>
      <c r="F13" s="31" t="str">
        <f>IF($A13="","",SUMIFS('3. Sample Data'!$S$6:$S$205,'3. Sample Data'!$A$6:$A$205,$A13))</f>
        <v/>
      </c>
      <c r="G13" s="28" t="str">
        <f>IF($A13="","",SUMIFS('3. Sample Data'!$T$6:$T$205,'3. Sample Data'!$A$6:$A$205,$A13))</f>
        <v/>
      </c>
      <c r="H13" s="33" t="str">
        <f>IF($A13="","",IF($B13=0,"No slices entered",IF(COUNTIFS('3. Sample Data'!$A$6:$A$205,$A13,'3. Sample Data'!$P$6:$P$205,"")&gt;0,"Awaiting lab results","Complete")))</f>
        <v/>
      </c>
    </row>
    <row r="14">
      <c r="A14" s="20" t="str">
        <f>IF('2. Plot &amp; Core Log'!$B$15="","",'2. Plot &amp; Core Log'!$B$15)</f>
        <v/>
      </c>
      <c r="B14" s="22" t="str">
        <f>IF($A14="","",COUNTIFS('3. Sample Data'!$A$6:$A$205,$A14))</f>
        <v/>
      </c>
      <c r="C14" s="27" t="str">
        <f>IF($A14="","",IFERROR(MAXIFS('3. Sample Data'!$J$6:$J$205,'3. Sample Data'!$A$6:$A$205,$A14),""))</f>
        <v/>
      </c>
      <c r="D14" s="28" t="str">
        <f>IF(OR($A14="",$B14=0),"",IFERROR(AVERAGEIFS('3. Sample Data'!$P$6:$P$205,'3. Sample Data'!$A$6:$A$205,$A14),""))</f>
        <v/>
      </c>
      <c r="E14" s="28" t="str">
        <f>IF(OR($A14="",$B14=0),"",IFERROR(AVERAGEIFS('3. Sample Data'!$N$6:$N$205,'3. Sample Data'!$A$6:$A$205,$A14),""))</f>
        <v/>
      </c>
      <c r="F14" s="31" t="str">
        <f>IF($A14="","",SUMIFS('3. Sample Data'!$S$6:$S$205,'3. Sample Data'!$A$6:$A$205,$A14))</f>
        <v/>
      </c>
      <c r="G14" s="28" t="str">
        <f>IF($A14="","",SUMIFS('3. Sample Data'!$T$6:$T$205,'3. Sample Data'!$A$6:$A$205,$A14))</f>
        <v/>
      </c>
      <c r="H14" s="33" t="str">
        <f>IF($A14="","",IF($B14=0,"No slices entered",IF(COUNTIFS('3. Sample Data'!$A$6:$A$205,$A14,'3. Sample Data'!$P$6:$P$205,"")&gt;0,"Awaiting lab results","Complete")))</f>
        <v/>
      </c>
    </row>
    <row r="15">
      <c r="A15" s="20" t="str">
        <f>IF('2. Plot &amp; Core Log'!$B$16="","",'2. Plot &amp; Core Log'!$B$16)</f>
        <v/>
      </c>
      <c r="B15" s="22" t="str">
        <f>IF($A15="","",COUNTIFS('3. Sample Data'!$A$6:$A$205,$A15))</f>
        <v/>
      </c>
      <c r="C15" s="27" t="str">
        <f>IF($A15="","",IFERROR(MAXIFS('3. Sample Data'!$J$6:$J$205,'3. Sample Data'!$A$6:$A$205,$A15),""))</f>
        <v/>
      </c>
      <c r="D15" s="28" t="str">
        <f>IF(OR($A15="",$B15=0),"",IFERROR(AVERAGEIFS('3. Sample Data'!$P$6:$P$205,'3. Sample Data'!$A$6:$A$205,$A15),""))</f>
        <v/>
      </c>
      <c r="E15" s="28" t="str">
        <f>IF(OR($A15="",$B15=0),"",IFERROR(AVERAGEIFS('3. Sample Data'!$N$6:$N$205,'3. Sample Data'!$A$6:$A$205,$A15),""))</f>
        <v/>
      </c>
      <c r="F15" s="31" t="str">
        <f>IF($A15="","",SUMIFS('3. Sample Data'!$S$6:$S$205,'3. Sample Data'!$A$6:$A$205,$A15))</f>
        <v/>
      </c>
      <c r="G15" s="28" t="str">
        <f>IF($A15="","",SUMIFS('3. Sample Data'!$T$6:$T$205,'3. Sample Data'!$A$6:$A$205,$A15))</f>
        <v/>
      </c>
      <c r="H15" s="33" t="str">
        <f>IF($A15="","",IF($B15=0,"No slices entered",IF(COUNTIFS('3. Sample Data'!$A$6:$A$205,$A15,'3. Sample Data'!$P$6:$P$205,"")&gt;0,"Awaiting lab results","Complete")))</f>
        <v/>
      </c>
    </row>
    <row r="16">
      <c r="A16" s="20" t="str">
        <f>IF('2. Plot &amp; Core Log'!$B$17="","",'2. Plot &amp; Core Log'!$B$17)</f>
        <v/>
      </c>
      <c r="B16" s="22" t="str">
        <f>IF($A16="","",COUNTIFS('3. Sample Data'!$A$6:$A$205,$A16))</f>
        <v/>
      </c>
      <c r="C16" s="27" t="str">
        <f>IF($A16="","",IFERROR(MAXIFS('3. Sample Data'!$J$6:$J$205,'3. Sample Data'!$A$6:$A$205,$A16),""))</f>
        <v/>
      </c>
      <c r="D16" s="28" t="str">
        <f>IF(OR($A16="",$B16=0),"",IFERROR(AVERAGEIFS('3. Sample Data'!$P$6:$P$205,'3. Sample Data'!$A$6:$A$205,$A16),""))</f>
        <v/>
      </c>
      <c r="E16" s="28" t="str">
        <f>IF(OR($A16="",$B16=0),"",IFERROR(AVERAGEIFS('3. Sample Data'!$N$6:$N$205,'3. Sample Data'!$A$6:$A$205,$A16),""))</f>
        <v/>
      </c>
      <c r="F16" s="31" t="str">
        <f>IF($A16="","",SUMIFS('3. Sample Data'!$S$6:$S$205,'3. Sample Data'!$A$6:$A$205,$A16))</f>
        <v/>
      </c>
      <c r="G16" s="28" t="str">
        <f>IF($A16="","",SUMIFS('3. Sample Data'!$T$6:$T$205,'3. Sample Data'!$A$6:$A$205,$A16))</f>
        <v/>
      </c>
      <c r="H16" s="33" t="str">
        <f>IF($A16="","",IF($B16=0,"No slices entered",IF(COUNTIFS('3. Sample Data'!$A$6:$A$205,$A16,'3. Sample Data'!$P$6:$P$205,"")&gt;0,"Awaiting lab results","Complete")))</f>
        <v/>
      </c>
    </row>
    <row r="17">
      <c r="A17" s="20" t="str">
        <f>IF('2. Plot &amp; Core Log'!$B$18="","",'2. Plot &amp; Core Log'!$B$18)</f>
        <v/>
      </c>
      <c r="B17" s="22" t="str">
        <f>IF($A17="","",COUNTIFS('3. Sample Data'!$A$6:$A$205,$A17))</f>
        <v/>
      </c>
      <c r="C17" s="27" t="str">
        <f>IF($A17="","",IFERROR(MAXIFS('3. Sample Data'!$J$6:$J$205,'3. Sample Data'!$A$6:$A$205,$A17),""))</f>
        <v/>
      </c>
      <c r="D17" s="28" t="str">
        <f>IF(OR($A17="",$B17=0),"",IFERROR(AVERAGEIFS('3. Sample Data'!$P$6:$P$205,'3. Sample Data'!$A$6:$A$205,$A17),""))</f>
        <v/>
      </c>
      <c r="E17" s="28" t="str">
        <f>IF(OR($A17="",$B17=0),"",IFERROR(AVERAGEIFS('3. Sample Data'!$N$6:$N$205,'3. Sample Data'!$A$6:$A$205,$A17),""))</f>
        <v/>
      </c>
      <c r="F17" s="31" t="str">
        <f>IF($A17="","",SUMIFS('3. Sample Data'!$S$6:$S$205,'3. Sample Data'!$A$6:$A$205,$A17))</f>
        <v/>
      </c>
      <c r="G17" s="28" t="str">
        <f>IF($A17="","",SUMIFS('3. Sample Data'!$T$6:$T$205,'3. Sample Data'!$A$6:$A$205,$A17))</f>
        <v/>
      </c>
      <c r="H17" s="33" t="str">
        <f>IF($A17="","",IF($B17=0,"No slices entered",IF(COUNTIFS('3. Sample Data'!$A$6:$A$205,$A17,'3. Sample Data'!$P$6:$P$205,"")&gt;0,"Awaiting lab results","Complete")))</f>
        <v/>
      </c>
    </row>
    <row r="18">
      <c r="A18" s="20" t="str">
        <f>IF('2. Plot &amp; Core Log'!$B$19="","",'2. Plot &amp; Core Log'!$B$19)</f>
        <v/>
      </c>
      <c r="B18" s="22" t="str">
        <f>IF($A18="","",COUNTIFS('3. Sample Data'!$A$6:$A$205,$A18))</f>
        <v/>
      </c>
      <c r="C18" s="27" t="str">
        <f>IF($A18="","",IFERROR(MAXIFS('3. Sample Data'!$J$6:$J$205,'3. Sample Data'!$A$6:$A$205,$A18),""))</f>
        <v/>
      </c>
      <c r="D18" s="28" t="str">
        <f>IF(OR($A18="",$B18=0),"",IFERROR(AVERAGEIFS('3. Sample Data'!$P$6:$P$205,'3. Sample Data'!$A$6:$A$205,$A18),""))</f>
        <v/>
      </c>
      <c r="E18" s="28" t="str">
        <f>IF(OR($A18="",$B18=0),"",IFERROR(AVERAGEIFS('3. Sample Data'!$N$6:$N$205,'3. Sample Data'!$A$6:$A$205,$A18),""))</f>
        <v/>
      </c>
      <c r="F18" s="31" t="str">
        <f>IF($A18="","",SUMIFS('3. Sample Data'!$S$6:$S$205,'3. Sample Data'!$A$6:$A$205,$A18))</f>
        <v/>
      </c>
      <c r="G18" s="28" t="str">
        <f>IF($A18="","",SUMIFS('3. Sample Data'!$T$6:$T$205,'3. Sample Data'!$A$6:$A$205,$A18))</f>
        <v/>
      </c>
      <c r="H18" s="33" t="str">
        <f>IF($A18="","",IF($B18=0,"No slices entered",IF(COUNTIFS('3. Sample Data'!$A$6:$A$205,$A18,'3. Sample Data'!$P$6:$P$205,"")&gt;0,"Awaiting lab results","Complete")))</f>
        <v/>
      </c>
    </row>
    <row r="19">
      <c r="A19" s="20" t="str">
        <f>IF('2. Plot &amp; Core Log'!$B$20="","",'2. Plot &amp; Core Log'!$B$20)</f>
        <v/>
      </c>
      <c r="B19" s="22" t="str">
        <f>IF($A19="","",COUNTIFS('3. Sample Data'!$A$6:$A$205,$A19))</f>
        <v/>
      </c>
      <c r="C19" s="27" t="str">
        <f>IF($A19="","",IFERROR(MAXIFS('3. Sample Data'!$J$6:$J$205,'3. Sample Data'!$A$6:$A$205,$A19),""))</f>
        <v/>
      </c>
      <c r="D19" s="28" t="str">
        <f>IF(OR($A19="",$B19=0),"",IFERROR(AVERAGEIFS('3. Sample Data'!$P$6:$P$205,'3. Sample Data'!$A$6:$A$205,$A19),""))</f>
        <v/>
      </c>
      <c r="E19" s="28" t="str">
        <f>IF(OR($A19="",$B19=0),"",IFERROR(AVERAGEIFS('3. Sample Data'!$N$6:$N$205,'3. Sample Data'!$A$6:$A$205,$A19),""))</f>
        <v/>
      </c>
      <c r="F19" s="31" t="str">
        <f>IF($A19="","",SUMIFS('3. Sample Data'!$S$6:$S$205,'3. Sample Data'!$A$6:$A$205,$A19))</f>
        <v/>
      </c>
      <c r="G19" s="28" t="str">
        <f>IF($A19="","",SUMIFS('3. Sample Data'!$T$6:$T$205,'3. Sample Data'!$A$6:$A$205,$A19))</f>
        <v/>
      </c>
      <c r="H19" s="33" t="str">
        <f>IF($A19="","",IF($B19=0,"No slices entered",IF(COUNTIFS('3. Sample Data'!$A$6:$A$205,$A19,'3. Sample Data'!$P$6:$P$205,"")&gt;0,"Awaiting lab results","Complete")))</f>
        <v/>
      </c>
    </row>
    <row r="20">
      <c r="A20" s="20" t="str">
        <f>IF('2. Plot &amp; Core Log'!$B$21="","",'2. Plot &amp; Core Log'!$B$21)</f>
        <v/>
      </c>
      <c r="B20" s="22" t="str">
        <f>IF($A20="","",COUNTIFS('3. Sample Data'!$A$6:$A$205,$A20))</f>
        <v/>
      </c>
      <c r="C20" s="27" t="str">
        <f>IF($A20="","",IFERROR(MAXIFS('3. Sample Data'!$J$6:$J$205,'3. Sample Data'!$A$6:$A$205,$A20),""))</f>
        <v/>
      </c>
      <c r="D20" s="28" t="str">
        <f>IF(OR($A20="",$B20=0),"",IFERROR(AVERAGEIFS('3. Sample Data'!$P$6:$P$205,'3. Sample Data'!$A$6:$A$205,$A20),""))</f>
        <v/>
      </c>
      <c r="E20" s="28" t="str">
        <f>IF(OR($A20="",$B20=0),"",IFERROR(AVERAGEIFS('3. Sample Data'!$N$6:$N$205,'3. Sample Data'!$A$6:$A$205,$A20),""))</f>
        <v/>
      </c>
      <c r="F20" s="31" t="str">
        <f>IF($A20="","",SUMIFS('3. Sample Data'!$S$6:$S$205,'3. Sample Data'!$A$6:$A$205,$A20))</f>
        <v/>
      </c>
      <c r="G20" s="28" t="str">
        <f>IF($A20="","",SUMIFS('3. Sample Data'!$T$6:$T$205,'3. Sample Data'!$A$6:$A$205,$A20))</f>
        <v/>
      </c>
      <c r="H20" s="33" t="str">
        <f>IF($A20="","",IF($B20=0,"No slices entered",IF(COUNTIFS('3. Sample Data'!$A$6:$A$205,$A20,'3. Sample Data'!$P$6:$P$205,"")&gt;0,"Awaiting lab results","Complete")))</f>
        <v/>
      </c>
    </row>
    <row r="21" ht="15.75" customHeight="1">
      <c r="A21" s="20" t="str">
        <f>IF('2. Plot &amp; Core Log'!$B$22="","",'2. Plot &amp; Core Log'!$B$22)</f>
        <v/>
      </c>
      <c r="B21" s="22" t="str">
        <f>IF($A21="","",COUNTIFS('3. Sample Data'!$A$6:$A$205,$A21))</f>
        <v/>
      </c>
      <c r="C21" s="27" t="str">
        <f>IF($A21="","",IFERROR(MAXIFS('3. Sample Data'!$J$6:$J$205,'3. Sample Data'!$A$6:$A$205,$A21),""))</f>
        <v/>
      </c>
      <c r="D21" s="28" t="str">
        <f>IF(OR($A21="",$B21=0),"",IFERROR(AVERAGEIFS('3. Sample Data'!$P$6:$P$205,'3. Sample Data'!$A$6:$A$205,$A21),""))</f>
        <v/>
      </c>
      <c r="E21" s="28" t="str">
        <f>IF(OR($A21="",$B21=0),"",IFERROR(AVERAGEIFS('3. Sample Data'!$N$6:$N$205,'3. Sample Data'!$A$6:$A$205,$A21),""))</f>
        <v/>
      </c>
      <c r="F21" s="31" t="str">
        <f>IF($A21="","",SUMIFS('3. Sample Data'!$S$6:$S$205,'3. Sample Data'!$A$6:$A$205,$A21))</f>
        <v/>
      </c>
      <c r="G21" s="28" t="str">
        <f>IF($A21="","",SUMIFS('3. Sample Data'!$T$6:$T$205,'3. Sample Data'!$A$6:$A$205,$A21))</f>
        <v/>
      </c>
      <c r="H21" s="33" t="str">
        <f>IF($A21="","",IF($B21=0,"No slices entered",IF(COUNTIFS('3. Sample Data'!$A$6:$A$205,$A21,'3. Sample Data'!$P$6:$P$205,"")&gt;0,"Awaiting lab results","Complete")))</f>
        <v/>
      </c>
    </row>
    <row r="22" ht="15.75" customHeight="1">
      <c r="A22" s="20" t="str">
        <f>IF('2. Plot &amp; Core Log'!$B$23="","",'2. Plot &amp; Core Log'!$B$23)</f>
        <v/>
      </c>
      <c r="B22" s="22" t="str">
        <f>IF($A22="","",COUNTIFS('3. Sample Data'!$A$6:$A$205,$A22))</f>
        <v/>
      </c>
      <c r="C22" s="27" t="str">
        <f>IF($A22="","",IFERROR(MAXIFS('3. Sample Data'!$J$6:$J$205,'3. Sample Data'!$A$6:$A$205,$A22),""))</f>
        <v/>
      </c>
      <c r="D22" s="28" t="str">
        <f>IF(OR($A22="",$B22=0),"",IFERROR(AVERAGEIFS('3. Sample Data'!$P$6:$P$205,'3. Sample Data'!$A$6:$A$205,$A22),""))</f>
        <v/>
      </c>
      <c r="E22" s="28" t="str">
        <f>IF(OR($A22="",$B22=0),"",IFERROR(AVERAGEIFS('3. Sample Data'!$N$6:$N$205,'3. Sample Data'!$A$6:$A$205,$A22),""))</f>
        <v/>
      </c>
      <c r="F22" s="31" t="str">
        <f>IF($A22="","",SUMIFS('3. Sample Data'!$S$6:$S$205,'3. Sample Data'!$A$6:$A$205,$A22))</f>
        <v/>
      </c>
      <c r="G22" s="28" t="str">
        <f>IF($A22="","",SUMIFS('3. Sample Data'!$T$6:$T$205,'3. Sample Data'!$A$6:$A$205,$A22))</f>
        <v/>
      </c>
      <c r="H22" s="33" t="str">
        <f>IF($A22="","",IF($B22=0,"No slices entered",IF(COUNTIFS('3. Sample Data'!$A$6:$A$205,$A22,'3. Sample Data'!$P$6:$P$205,"")&gt;0,"Awaiting lab results","Complete")))</f>
        <v/>
      </c>
    </row>
    <row r="23" ht="15.75" customHeight="1">
      <c r="A23" s="20" t="str">
        <f>IF('2. Plot &amp; Core Log'!$B$24="","",'2. Plot &amp; Core Log'!$B$24)</f>
        <v/>
      </c>
      <c r="B23" s="22" t="str">
        <f>IF($A23="","",COUNTIFS('3. Sample Data'!$A$6:$A$205,$A23))</f>
        <v/>
      </c>
      <c r="C23" s="27" t="str">
        <f>IF($A23="","",IFERROR(MAXIFS('3. Sample Data'!$J$6:$J$205,'3. Sample Data'!$A$6:$A$205,$A23),""))</f>
        <v/>
      </c>
      <c r="D23" s="28" t="str">
        <f>IF(OR($A23="",$B23=0),"",IFERROR(AVERAGEIFS('3. Sample Data'!$P$6:$P$205,'3. Sample Data'!$A$6:$A$205,$A23),""))</f>
        <v/>
      </c>
      <c r="E23" s="28" t="str">
        <f>IF(OR($A23="",$B23=0),"",IFERROR(AVERAGEIFS('3. Sample Data'!$N$6:$N$205,'3. Sample Data'!$A$6:$A$205,$A23),""))</f>
        <v/>
      </c>
      <c r="F23" s="31" t="str">
        <f>IF($A23="","",SUMIFS('3. Sample Data'!$S$6:$S$205,'3. Sample Data'!$A$6:$A$205,$A23))</f>
        <v/>
      </c>
      <c r="G23" s="28" t="str">
        <f>IF($A23="","",SUMIFS('3. Sample Data'!$T$6:$T$205,'3. Sample Data'!$A$6:$A$205,$A23))</f>
        <v/>
      </c>
      <c r="H23" s="33" t="str">
        <f>IF($A23="","",IF($B23=0,"No slices entered",IF(COUNTIFS('3. Sample Data'!$A$6:$A$205,$A23,'3. Sample Data'!$P$6:$P$205,"")&gt;0,"Awaiting lab results","Complete")))</f>
        <v/>
      </c>
    </row>
    <row r="24" ht="15.75" customHeight="1">
      <c r="A24" s="20" t="str">
        <f>IF('2. Plot &amp; Core Log'!$B$25="","",'2. Plot &amp; Core Log'!$B$25)</f>
        <v/>
      </c>
      <c r="B24" s="22" t="str">
        <f>IF($A24="","",COUNTIFS('3. Sample Data'!$A$6:$A$205,$A24))</f>
        <v/>
      </c>
      <c r="C24" s="27" t="str">
        <f>IF($A24="","",IFERROR(MAXIFS('3. Sample Data'!$J$6:$J$205,'3. Sample Data'!$A$6:$A$205,$A24),""))</f>
        <v/>
      </c>
      <c r="D24" s="28" t="str">
        <f>IF(OR($A24="",$B24=0),"",IFERROR(AVERAGEIFS('3. Sample Data'!$P$6:$P$205,'3. Sample Data'!$A$6:$A$205,$A24),""))</f>
        <v/>
      </c>
      <c r="E24" s="28" t="str">
        <f>IF(OR($A24="",$B24=0),"",IFERROR(AVERAGEIFS('3. Sample Data'!$N$6:$N$205,'3. Sample Data'!$A$6:$A$205,$A24),""))</f>
        <v/>
      </c>
      <c r="F24" s="31" t="str">
        <f>IF($A24="","",SUMIFS('3. Sample Data'!$S$6:$S$205,'3. Sample Data'!$A$6:$A$205,$A24))</f>
        <v/>
      </c>
      <c r="G24" s="28" t="str">
        <f>IF($A24="","",SUMIFS('3. Sample Data'!$T$6:$T$205,'3. Sample Data'!$A$6:$A$205,$A24))</f>
        <v/>
      </c>
      <c r="H24" s="33" t="str">
        <f>IF($A24="","",IF($B24=0,"No slices entered",IF(COUNTIFS('3. Sample Data'!$A$6:$A$205,$A24,'3. Sample Data'!$P$6:$P$205,"")&gt;0,"Awaiting lab results","Complete")))</f>
        <v/>
      </c>
    </row>
    <row r="25" ht="15.75" customHeight="1">
      <c r="A25" s="20" t="str">
        <f>IF('2. Plot &amp; Core Log'!$B$26="","",'2. Plot &amp; Core Log'!$B$26)</f>
        <v/>
      </c>
      <c r="B25" s="22" t="str">
        <f>IF($A25="","",COUNTIFS('3. Sample Data'!$A$6:$A$205,$A25))</f>
        <v/>
      </c>
      <c r="C25" s="27" t="str">
        <f>IF($A25="","",IFERROR(MAXIFS('3. Sample Data'!$J$6:$J$205,'3. Sample Data'!$A$6:$A$205,$A25),""))</f>
        <v/>
      </c>
      <c r="D25" s="28" t="str">
        <f>IF(OR($A25="",$B25=0),"",IFERROR(AVERAGEIFS('3. Sample Data'!$P$6:$P$205,'3. Sample Data'!$A$6:$A$205,$A25),""))</f>
        <v/>
      </c>
      <c r="E25" s="28" t="str">
        <f>IF(OR($A25="",$B25=0),"",IFERROR(AVERAGEIFS('3. Sample Data'!$N$6:$N$205,'3. Sample Data'!$A$6:$A$205,$A25),""))</f>
        <v/>
      </c>
      <c r="F25" s="31" t="str">
        <f>IF($A25="","",SUMIFS('3. Sample Data'!$S$6:$S$205,'3. Sample Data'!$A$6:$A$205,$A25))</f>
        <v/>
      </c>
      <c r="G25" s="28" t="str">
        <f>IF($A25="","",SUMIFS('3. Sample Data'!$T$6:$T$205,'3. Sample Data'!$A$6:$A$205,$A25))</f>
        <v/>
      </c>
      <c r="H25" s="33" t="str">
        <f>IF($A25="","",IF($B25=0,"No slices entered",IF(COUNTIFS('3. Sample Data'!$A$6:$A$205,$A25,'3. Sample Data'!$P$6:$P$205,"")&gt;0,"Awaiting lab results","Complete")))</f>
        <v/>
      </c>
    </row>
    <row r="26" ht="15.75" customHeight="1">
      <c r="A26" s="20" t="str">
        <f>IF('2. Plot &amp; Core Log'!$B$27="","",'2. Plot &amp; Core Log'!$B$27)</f>
        <v/>
      </c>
      <c r="B26" s="22" t="str">
        <f>IF($A26="","",COUNTIFS('3. Sample Data'!$A$6:$A$205,$A26))</f>
        <v/>
      </c>
      <c r="C26" s="27" t="str">
        <f>IF($A26="","",IFERROR(MAXIFS('3. Sample Data'!$J$6:$J$205,'3. Sample Data'!$A$6:$A$205,$A26),""))</f>
        <v/>
      </c>
      <c r="D26" s="28" t="str">
        <f>IF(OR($A26="",$B26=0),"",IFERROR(AVERAGEIFS('3. Sample Data'!$P$6:$P$205,'3. Sample Data'!$A$6:$A$205,$A26),""))</f>
        <v/>
      </c>
      <c r="E26" s="28" t="str">
        <f>IF(OR($A26="",$B26=0),"",IFERROR(AVERAGEIFS('3. Sample Data'!$N$6:$N$205,'3. Sample Data'!$A$6:$A$205,$A26),""))</f>
        <v/>
      </c>
      <c r="F26" s="31" t="str">
        <f>IF($A26="","",SUMIFS('3. Sample Data'!$S$6:$S$205,'3. Sample Data'!$A$6:$A$205,$A26))</f>
        <v/>
      </c>
      <c r="G26" s="28" t="str">
        <f>IF($A26="","",SUMIFS('3. Sample Data'!$T$6:$T$205,'3. Sample Data'!$A$6:$A$205,$A26))</f>
        <v/>
      </c>
      <c r="H26" s="33" t="str">
        <f>IF($A26="","",IF($B26=0,"No slices entered",IF(COUNTIFS('3. Sample Data'!$A$6:$A$205,$A26,'3. Sample Data'!$P$6:$P$205,"")&gt;0,"Awaiting lab results","Complete")))</f>
        <v/>
      </c>
    </row>
    <row r="27" ht="15.75" customHeight="1">
      <c r="A27" s="20" t="str">
        <f>IF('2. Plot &amp; Core Log'!$B$28="","",'2. Plot &amp; Core Log'!$B$28)</f>
        <v/>
      </c>
      <c r="B27" s="22" t="str">
        <f>IF($A27="","",COUNTIFS('3. Sample Data'!$A$6:$A$205,$A27))</f>
        <v/>
      </c>
      <c r="C27" s="27" t="str">
        <f>IF($A27="","",IFERROR(MAXIFS('3. Sample Data'!$J$6:$J$205,'3. Sample Data'!$A$6:$A$205,$A27),""))</f>
        <v/>
      </c>
      <c r="D27" s="28" t="str">
        <f>IF(OR($A27="",$B27=0),"",IFERROR(AVERAGEIFS('3. Sample Data'!$P$6:$P$205,'3. Sample Data'!$A$6:$A$205,$A27),""))</f>
        <v/>
      </c>
      <c r="E27" s="28" t="str">
        <f>IF(OR($A27="",$B27=0),"",IFERROR(AVERAGEIFS('3. Sample Data'!$N$6:$N$205,'3. Sample Data'!$A$6:$A$205,$A27),""))</f>
        <v/>
      </c>
      <c r="F27" s="31" t="str">
        <f>IF($A27="","",SUMIFS('3. Sample Data'!$S$6:$S$205,'3. Sample Data'!$A$6:$A$205,$A27))</f>
        <v/>
      </c>
      <c r="G27" s="28" t="str">
        <f>IF($A27="","",SUMIFS('3. Sample Data'!$T$6:$T$205,'3. Sample Data'!$A$6:$A$205,$A27))</f>
        <v/>
      </c>
      <c r="H27" s="33" t="str">
        <f>IF($A27="","",IF($B27=0,"No slices entered",IF(COUNTIFS('3. Sample Data'!$A$6:$A$205,$A27,'3. Sample Data'!$P$6:$P$205,"")&gt;0,"Awaiting lab results","Complete")))</f>
        <v/>
      </c>
    </row>
    <row r="28" ht="15.75" customHeight="1">
      <c r="A28" s="20" t="str">
        <f>IF('2. Plot &amp; Core Log'!$B$29="","",'2. Plot &amp; Core Log'!$B$29)</f>
        <v/>
      </c>
      <c r="B28" s="22" t="str">
        <f>IF($A28="","",COUNTIFS('3. Sample Data'!$A$6:$A$205,$A28))</f>
        <v/>
      </c>
      <c r="C28" s="27" t="str">
        <f>IF($A28="","",IFERROR(MAXIFS('3. Sample Data'!$J$6:$J$205,'3. Sample Data'!$A$6:$A$205,$A28),""))</f>
        <v/>
      </c>
      <c r="D28" s="28" t="str">
        <f>IF(OR($A28="",$B28=0),"",IFERROR(AVERAGEIFS('3. Sample Data'!$P$6:$P$205,'3. Sample Data'!$A$6:$A$205,$A28),""))</f>
        <v/>
      </c>
      <c r="E28" s="28" t="str">
        <f>IF(OR($A28="",$B28=0),"",IFERROR(AVERAGEIFS('3. Sample Data'!$N$6:$N$205,'3. Sample Data'!$A$6:$A$205,$A28),""))</f>
        <v/>
      </c>
      <c r="F28" s="31" t="str">
        <f>IF($A28="","",SUMIFS('3. Sample Data'!$S$6:$S$205,'3. Sample Data'!$A$6:$A$205,$A28))</f>
        <v/>
      </c>
      <c r="G28" s="28" t="str">
        <f>IF($A28="","",SUMIFS('3. Sample Data'!$T$6:$T$205,'3. Sample Data'!$A$6:$A$205,$A28))</f>
        <v/>
      </c>
      <c r="H28" s="33" t="str">
        <f>IF($A28="","",IF($B28=0,"No slices entered",IF(COUNTIFS('3. Sample Data'!$A$6:$A$205,$A28,'3. Sample Data'!$P$6:$P$205,"")&gt;0,"Awaiting lab results","Complete")))</f>
        <v/>
      </c>
    </row>
    <row r="29" ht="15.75" customHeight="1">
      <c r="A29" s="20" t="str">
        <f>IF('2. Plot &amp; Core Log'!$B$30="","",'2. Plot &amp; Core Log'!$B$30)</f>
        <v/>
      </c>
      <c r="B29" s="22" t="str">
        <f>IF($A29="","",COUNTIFS('3. Sample Data'!$A$6:$A$205,$A29))</f>
        <v/>
      </c>
      <c r="C29" s="27" t="str">
        <f>IF($A29="","",IFERROR(MAXIFS('3. Sample Data'!$J$6:$J$205,'3. Sample Data'!$A$6:$A$205,$A29),""))</f>
        <v/>
      </c>
      <c r="D29" s="28" t="str">
        <f>IF(OR($A29="",$B29=0),"",IFERROR(AVERAGEIFS('3. Sample Data'!$P$6:$P$205,'3. Sample Data'!$A$6:$A$205,$A29),""))</f>
        <v/>
      </c>
      <c r="E29" s="28" t="str">
        <f>IF(OR($A29="",$B29=0),"",IFERROR(AVERAGEIFS('3. Sample Data'!$N$6:$N$205,'3. Sample Data'!$A$6:$A$205,$A29),""))</f>
        <v/>
      </c>
      <c r="F29" s="31" t="str">
        <f>IF($A29="","",SUMIFS('3. Sample Data'!$S$6:$S$205,'3. Sample Data'!$A$6:$A$205,$A29))</f>
        <v/>
      </c>
      <c r="G29" s="28" t="str">
        <f>IF($A29="","",SUMIFS('3. Sample Data'!$T$6:$T$205,'3. Sample Data'!$A$6:$A$205,$A29))</f>
        <v/>
      </c>
      <c r="H29" s="33" t="str">
        <f>IF($A29="","",IF($B29=0,"No slices entered",IF(COUNTIFS('3. Sample Data'!$A$6:$A$205,$A29,'3. Sample Data'!$P$6:$P$205,"")&gt;0,"Awaiting lab results","Complete")))</f>
        <v/>
      </c>
    </row>
    <row r="30" ht="15.75" customHeight="1">
      <c r="A30" s="20" t="str">
        <f>IF('2. Plot &amp; Core Log'!$B$31="","",'2. Plot &amp; Core Log'!$B$31)</f>
        <v/>
      </c>
      <c r="B30" s="22" t="str">
        <f>IF($A30="","",COUNTIFS('3. Sample Data'!$A$6:$A$205,$A30))</f>
        <v/>
      </c>
      <c r="C30" s="27" t="str">
        <f>IF($A30="","",IFERROR(MAXIFS('3. Sample Data'!$J$6:$J$205,'3. Sample Data'!$A$6:$A$205,$A30),""))</f>
        <v/>
      </c>
      <c r="D30" s="28" t="str">
        <f>IF(OR($A30="",$B30=0),"",IFERROR(AVERAGEIFS('3. Sample Data'!$P$6:$P$205,'3. Sample Data'!$A$6:$A$205,$A30),""))</f>
        <v/>
      </c>
      <c r="E30" s="28" t="str">
        <f>IF(OR($A30="",$B30=0),"",IFERROR(AVERAGEIFS('3. Sample Data'!$N$6:$N$205,'3. Sample Data'!$A$6:$A$205,$A30),""))</f>
        <v/>
      </c>
      <c r="F30" s="31" t="str">
        <f>IF($A30="","",SUMIFS('3. Sample Data'!$S$6:$S$205,'3. Sample Data'!$A$6:$A$205,$A30))</f>
        <v/>
      </c>
      <c r="G30" s="28" t="str">
        <f>IF($A30="","",SUMIFS('3. Sample Data'!$T$6:$T$205,'3. Sample Data'!$A$6:$A$205,$A30))</f>
        <v/>
      </c>
      <c r="H30" s="33" t="str">
        <f>IF($A30="","",IF($B30=0,"No slices entered",IF(COUNTIFS('3. Sample Data'!$A$6:$A$205,$A30,'3. Sample Data'!$P$6:$P$205,"")&gt;0,"Awaiting lab results","Complete")))</f>
        <v/>
      </c>
    </row>
    <row r="31" ht="15.75" customHeight="1">
      <c r="A31" s="20" t="str">
        <f>IF('2. Plot &amp; Core Log'!$B$32="","",'2. Plot &amp; Core Log'!$B$32)</f>
        <v/>
      </c>
      <c r="B31" s="22" t="str">
        <f>IF($A31="","",COUNTIFS('3. Sample Data'!$A$6:$A$205,$A31))</f>
        <v/>
      </c>
      <c r="C31" s="27" t="str">
        <f>IF($A31="","",IFERROR(MAXIFS('3. Sample Data'!$J$6:$J$205,'3. Sample Data'!$A$6:$A$205,$A31),""))</f>
        <v/>
      </c>
      <c r="D31" s="28" t="str">
        <f>IF(OR($A31="",$B31=0),"",IFERROR(AVERAGEIFS('3. Sample Data'!$P$6:$P$205,'3. Sample Data'!$A$6:$A$205,$A31),""))</f>
        <v/>
      </c>
      <c r="E31" s="28" t="str">
        <f>IF(OR($A31="",$B31=0),"",IFERROR(AVERAGEIFS('3. Sample Data'!$N$6:$N$205,'3. Sample Data'!$A$6:$A$205,$A31),""))</f>
        <v/>
      </c>
      <c r="F31" s="31" t="str">
        <f>IF($A31="","",SUMIFS('3. Sample Data'!$S$6:$S$205,'3. Sample Data'!$A$6:$A$205,$A31))</f>
        <v/>
      </c>
      <c r="G31" s="28" t="str">
        <f>IF($A31="","",SUMIFS('3. Sample Data'!$T$6:$T$205,'3. Sample Data'!$A$6:$A$205,$A31))</f>
        <v/>
      </c>
      <c r="H31" s="33" t="str">
        <f>IF($A31="","",IF($B31=0,"No slices entered",IF(COUNTIFS('3. Sample Data'!$A$6:$A$205,$A31,'3. Sample Data'!$P$6:$P$205,"")&gt;0,"Awaiting lab results","Complete")))</f>
        <v/>
      </c>
    </row>
    <row r="32" ht="15.75" customHeight="1">
      <c r="A32" s="20" t="str">
        <f>IF('2. Plot &amp; Core Log'!$B$33="","",'2. Plot &amp; Core Log'!$B$33)</f>
        <v/>
      </c>
      <c r="B32" s="22" t="str">
        <f>IF($A32="","",COUNTIFS('3. Sample Data'!$A$6:$A$205,$A32))</f>
        <v/>
      </c>
      <c r="C32" s="27" t="str">
        <f>IF($A32="","",IFERROR(MAXIFS('3. Sample Data'!$J$6:$J$205,'3. Sample Data'!$A$6:$A$205,$A32),""))</f>
        <v/>
      </c>
      <c r="D32" s="28" t="str">
        <f>IF(OR($A32="",$B32=0),"",IFERROR(AVERAGEIFS('3. Sample Data'!$P$6:$P$205,'3. Sample Data'!$A$6:$A$205,$A32),""))</f>
        <v/>
      </c>
      <c r="E32" s="28" t="str">
        <f>IF(OR($A32="",$B32=0),"",IFERROR(AVERAGEIFS('3. Sample Data'!$N$6:$N$205,'3. Sample Data'!$A$6:$A$205,$A32),""))</f>
        <v/>
      </c>
      <c r="F32" s="31" t="str">
        <f>IF($A32="","",SUMIFS('3. Sample Data'!$S$6:$S$205,'3. Sample Data'!$A$6:$A$205,$A32))</f>
        <v/>
      </c>
      <c r="G32" s="28" t="str">
        <f>IF($A32="","",SUMIFS('3. Sample Data'!$T$6:$T$205,'3. Sample Data'!$A$6:$A$205,$A32))</f>
        <v/>
      </c>
      <c r="H32" s="33" t="str">
        <f>IF($A32="","",IF($B32=0,"No slices entered",IF(COUNTIFS('3. Sample Data'!$A$6:$A$205,$A32,'3. Sample Data'!$P$6:$P$205,"")&gt;0,"Awaiting lab results","Complete")))</f>
        <v/>
      </c>
    </row>
    <row r="33" ht="15.75" customHeight="1">
      <c r="A33" s="20" t="str">
        <f>IF('2. Plot &amp; Core Log'!$B$34="","",'2. Plot &amp; Core Log'!$B$34)</f>
        <v/>
      </c>
      <c r="B33" s="22" t="str">
        <f>IF($A33="","",COUNTIFS('3. Sample Data'!$A$6:$A$205,$A33))</f>
        <v/>
      </c>
      <c r="C33" s="27" t="str">
        <f>IF($A33="","",IFERROR(MAXIFS('3. Sample Data'!$J$6:$J$205,'3. Sample Data'!$A$6:$A$205,$A33),""))</f>
        <v/>
      </c>
      <c r="D33" s="28" t="str">
        <f>IF(OR($A33="",$B33=0),"",IFERROR(AVERAGEIFS('3. Sample Data'!$P$6:$P$205,'3. Sample Data'!$A$6:$A$205,$A33),""))</f>
        <v/>
      </c>
      <c r="E33" s="28" t="str">
        <f>IF(OR($A33="",$B33=0),"",IFERROR(AVERAGEIFS('3. Sample Data'!$N$6:$N$205,'3. Sample Data'!$A$6:$A$205,$A33),""))</f>
        <v/>
      </c>
      <c r="F33" s="31" t="str">
        <f>IF($A33="","",SUMIFS('3. Sample Data'!$S$6:$S$205,'3. Sample Data'!$A$6:$A$205,$A33))</f>
        <v/>
      </c>
      <c r="G33" s="28" t="str">
        <f>IF($A33="","",SUMIFS('3. Sample Data'!$T$6:$T$205,'3. Sample Data'!$A$6:$A$205,$A33))</f>
        <v/>
      </c>
      <c r="H33" s="33" t="str">
        <f>IF($A33="","",IF($B33=0,"No slices entered",IF(COUNTIFS('3. Sample Data'!$A$6:$A$205,$A33,'3. Sample Data'!$P$6:$P$205,"")&gt;0,"Awaiting lab results","Complete")))</f>
        <v/>
      </c>
    </row>
    <row r="34" ht="15.75" customHeight="1">
      <c r="A34" s="20" t="str">
        <f>IF('2. Plot &amp; Core Log'!$B$35="","",'2. Plot &amp; Core Log'!$B$35)</f>
        <v/>
      </c>
      <c r="B34" s="22" t="str">
        <f>IF($A34="","",COUNTIFS('3. Sample Data'!$A$6:$A$205,$A34))</f>
        <v/>
      </c>
      <c r="C34" s="27" t="str">
        <f>IF($A34="","",IFERROR(MAXIFS('3. Sample Data'!$J$6:$J$205,'3. Sample Data'!$A$6:$A$205,$A34),""))</f>
        <v/>
      </c>
      <c r="D34" s="28" t="str">
        <f>IF(OR($A34="",$B34=0),"",IFERROR(AVERAGEIFS('3. Sample Data'!$P$6:$P$205,'3. Sample Data'!$A$6:$A$205,$A34),""))</f>
        <v/>
      </c>
      <c r="E34" s="28" t="str">
        <f>IF(OR($A34="",$B34=0),"",IFERROR(AVERAGEIFS('3. Sample Data'!$N$6:$N$205,'3. Sample Data'!$A$6:$A$205,$A34),""))</f>
        <v/>
      </c>
      <c r="F34" s="31" t="str">
        <f>IF($A34="","",SUMIFS('3. Sample Data'!$S$6:$S$205,'3. Sample Data'!$A$6:$A$205,$A34))</f>
        <v/>
      </c>
      <c r="G34" s="28" t="str">
        <f>IF($A34="","",SUMIFS('3. Sample Data'!$T$6:$T$205,'3. Sample Data'!$A$6:$A$205,$A34))</f>
        <v/>
      </c>
      <c r="H34" s="33" t="str">
        <f>IF($A34="","",IF($B34=0,"No slices entered",IF(COUNTIFS('3. Sample Data'!$A$6:$A$205,$A34,'3. Sample Data'!$P$6:$P$205,"")&gt;0,"Awaiting lab results","Complete")))</f>
        <v/>
      </c>
    </row>
    <row r="35" ht="15.75" customHeight="1"/>
    <row r="36" ht="15.75" customHeight="1">
      <c r="A36" s="6" t="s">
        <v>102</v>
      </c>
      <c r="G36" s="37" t="str">
        <f>IFERROR(AVERAGE($G5:$G34),"")</f>
        <v/>
      </c>
    </row>
    <row r="37" ht="15.75" customHeight="1">
      <c r="A37" s="4" t="s">
        <v>103</v>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H2"/>
  </mergeCells>
  <printOptions/>
  <pageMargins bottom="1.0" footer="0.0" header="0.0" left="0.75" right="0.75" top="1.0"/>
  <pageSetup paperSize="9" orientation="portrait"/>
  <drawing r:id="rId1"/>
</worksheet>
</file>