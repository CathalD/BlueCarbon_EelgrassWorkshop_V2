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<sst xmlns="http://schemas.openxmlformats.org/spreadsheetml/2006/main" count="155" uniqueCount="147">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</sst>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center"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row>
    <row r="31" customFormat="false" ht="15.75" hidden="false" customHeight="true" outlineLevel="0" collapsed="false">
      <c r="A31" s="5" t="s">
        <v>39</v>
      </c>
      <c r="B31" s="7"/>
    </row>
    <row r="32" customFormat="false" ht="40.5" hidden="false" customHeight="true" outlineLevel="0" collapsed="false">
      <c r="A32" s="5" t="s">
        <v>40</v>
      </c>
      <c r="B32" s="4" t="s">
        <v>41</v>
      </c>
    </row>
    <row r="33" customFormat="false" ht="15.75" hidden="false" customHeight="true" outlineLevel="0" collapsed="false">
      <c r="A33" s="4"/>
      <c r="B33" s="4"/>
    </row>
    <row r="34" customFormat="false" ht="15.75" hidden="false" customHeight="true" outlineLevel="0" collapsed="false">
      <c r="A34" s="3" t="s">
        <v>42</v>
      </c>
      <c r="B34" s="4"/>
    </row>
    <row r="35" customFormat="false" ht="15.75" hidden="false" customHeight="true" outlineLevel="0" collapsed="false">
      <c r="A35" s="5" t="s">
        <v>43</v>
      </c>
      <c r="B35" s="4" t="s">
        <v>44</v>
      </c>
    </row>
    <row r="36" customFormat="false" ht="15.75" hidden="false" customHeight="true" outlineLevel="0" collapsed="false">
      <c r="A36" s="5" t="s">
        <v>45</v>
      </c>
      <c r="B36" s="4" t="s">
        <v>46</v>
      </c>
    </row>
    <row r="37" customFormat="false" ht="15.75" hidden="false" customHeight="true" outlineLevel="0" collapsed="false">
      <c r="A37" s="5" t="s">
        <v>47</v>
      </c>
      <c r="B37" s="4" t="s">
        <v>48</v>
      </c>
    </row>
    <row r="38" customFormat="false" ht="15.75" hidden="false" customHeight="true" outlineLevel="0" collapsed="false">
      <c r="A38" s="5" t="s">
        <v>49</v>
      </c>
      <c r="B38" s="4" t="s">
        <v>50</v>
      </c>
    </row>
    <row r="39" customFormat="false" ht="15.75" hidden="false" customHeight="true" outlineLevel="0" collapsed="false">
      <c r="A39" s="5" t="s">
        <v>51</v>
      </c>
      <c r="B39" s="4" t="s">
        <v>52</v>
      </c>
    </row>
    <row r="40" customFormat="false" ht="15.75" hidden="false" customHeight="true" outlineLevel="0" collapsed="false">
      <c r="A40" s="5" t="s">
        <v>53</v>
      </c>
      <c r="B40" s="4" t="s">
        <v>54</v>
      </c>
    </row>
    <row r="41" customFormat="false" ht="15.75" hidden="false" customHeight="true" outlineLevel="0" collapsed="false">
      <c r="A41" s="4"/>
      <c r="B41" s="4"/>
    </row>
    <row r="42" customFormat="false" ht="15.75" hidden="false" customHeight="true" outlineLevel="0" collapsed="false">
      <c r="A42" s="3" t="s">
        <v>55</v>
      </c>
      <c r="B42" s="4"/>
    </row>
    <row r="43" customFormat="false" ht="40.5" hidden="false" customHeight="true" outlineLevel="0" collapsed="false">
      <c r="A43" s="5" t="s">
        <v>56</v>
      </c>
      <c r="B43" s="4" t="s">
        <v>57</v>
      </c>
    </row>
    <row r="44" customFormat="false" ht="15.75" hidden="false" customHeight="true" outlineLevel="0" collapsed="false">
      <c r="A44" s="4"/>
      <c r="B44" s="4"/>
    </row>
    <row r="45" customFormat="false" ht="15.75" hidden="false" customHeight="true" outlineLevel="0" collapsed="false">
      <c r="A45" s="3" t="s">
        <v>58</v>
      </c>
      <c r="B45" s="4"/>
    </row>
    <row r="46" customFormat="false" ht="40.5" hidden="false" customHeight="true" outlineLevel="0" collapsed="false">
      <c r="A46" s="5" t="s">
        <v>59</v>
      </c>
      <c r="B46" s="4" t="s">
        <v>60</v>
      </c>
    </row>
    <row r="47" customFormat="false" ht="15.75" hidden="false" customHeight="true" outlineLevel="0" collapsed="false">
      <c r="A47" s="4"/>
      <c r="B47" s="4"/>
    </row>
    <row r="48" customFormat="false" ht="15.75" hidden="false" customHeight="true" outlineLevel="0" collapsed="false">
      <c r="A48" s="3" t="s">
        <v>61</v>
      </c>
      <c r="B48" s="4"/>
    </row>
    <row r="49" customFormat="false" ht="54" hidden="false" customHeight="true" outlineLevel="0" collapsed="false">
      <c r="A49" s="5" t="s">
        <v>62</v>
      </c>
      <c r="B49" s="4" t="s">
        <v>63</v>
      </c>
    </row>
    <row r="50" customFormat="false" ht="54" hidden="false" customHeight="true" outlineLevel="0" collapsed="false">
      <c r="A50" s="5" t="s">
        <v>64</v>
      </c>
      <c r="B50" s="4" t="s">
        <v>65</v>
      </c>
    </row>
    <row r="51" customFormat="false" ht="40.5" hidden="false" customHeight="true" outlineLevel="0" collapsed="false">
      <c r="A51" s="5" t="s">
        <v>66</v>
      </c>
      <c r="B51" s="4" t="s">
        <v>67</v>
      </c>
    </row>
    <row r="52" customFormat="false" ht="27" hidden="false" customHeight="true" outlineLevel="0" collapsed="false">
      <c r="A52" s="5" t="s">
        <v>68</v>
      </c>
      <c r="B52" s="4" t="s">
        <v>69</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70</v>
      </c>
    </row>
    <row r="2" customFormat="false" ht="15" hidden="false" customHeight="false" outlineLevel="0" collapsed="false">
      <c r="A2" s="9" t="s">
        <v>71</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72</v>
      </c>
      <c r="B4" s="10"/>
      <c r="C4" s="10"/>
      <c r="D4" s="10"/>
      <c r="E4" s="10"/>
      <c r="F4" s="10"/>
      <c r="G4" s="10"/>
      <c r="H4" s="10"/>
      <c r="I4" s="10"/>
      <c r="J4" s="10" t="s">
        <v>73</v>
      </c>
      <c r="K4" s="10"/>
      <c r="L4" s="10"/>
      <c r="M4" s="11" t="s">
        <v>74</v>
      </c>
      <c r="N4" s="11"/>
      <c r="O4" s="11"/>
      <c r="P4" s="10" t="s">
        <v>75</v>
      </c>
      <c r="Q4" s="10"/>
      <c r="R4" s="10"/>
      <c r="S4" s="11" t="s">
        <v>76</v>
      </c>
      <c r="T4" s="11"/>
    </row>
    <row r="5" customFormat="false" ht="42" hidden="false" customHeight="true" outlineLevel="0" collapsed="false">
      <c r="A5" s="12" t="s">
        <v>77</v>
      </c>
      <c r="B5" s="12" t="s">
        <v>78</v>
      </c>
      <c r="C5" s="12" t="s">
        <v>79</v>
      </c>
      <c r="D5" s="12" t="s">
        <v>80</v>
      </c>
      <c r="E5" s="12" t="s">
        <v>81</v>
      </c>
      <c r="F5" s="12" t="s">
        <v>82</v>
      </c>
      <c r="G5" s="12" t="s">
        <v>83</v>
      </c>
      <c r="H5" s="12" t="s">
        <v>84</v>
      </c>
      <c r="I5" s="12" t="s">
        <v>85</v>
      </c>
      <c r="J5" s="12" t="s">
        <v>86</v>
      </c>
      <c r="K5" s="12" t="s">
        <v>87</v>
      </c>
      <c r="L5" s="12" t="s">
        <v>88</v>
      </c>
      <c r="M5" s="13" t="s">
        <v>89</v>
      </c>
      <c r="N5" s="13" t="s">
        <v>90</v>
      </c>
      <c r="O5" s="13" t="s">
        <v>91</v>
      </c>
      <c r="P5" s="12" t="s">
        <v>92</v>
      </c>
      <c r="Q5" s="12" t="s">
        <v>93</v>
      </c>
      <c r="R5" s="12" t="s">
        <v>94</v>
      </c>
      <c r="S5" s="13" t="s">
        <v>95</v>
      </c>
      <c r="T5" s="13" t="s">
        <v>96</v>
      </c>
    </row>
    <row r="6" customFormat="false" ht="15" hidden="false" customHeight="false" outlineLevel="0" collapsed="false">
      <c r="A6" s="14"/>
      <c r="B6" s="14"/>
      <c r="C6" s="14"/>
      <c r="D6" s="14"/>
      <c r="E6" s="14"/>
      <c r="F6" s="14"/>
      <c r="G6" s="14"/>
      <c r="H6" s="14"/>
      <c r="I6" s="14"/>
      <c r="J6" s="14"/>
      <c r="K6" s="14"/>
      <c r="L6" s="14"/>
      <c r="M6" s="15" t="str">
        <f aca="false">IF(AND($K6&lt;&gt;"",$L6&lt;&gt;""),$K6/$L6,IF(LOWER(TRIM($Q6))="assume none",1,""))</f>
        <v/>
      </c>
      <c r="N6" s="16" t="str">
        <f aca="false">IF(OR($K6="",$L6=""),"",$K6-$L6)</f>
        <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
      </c>
      <c r="P6" s="14"/>
      <c r="Q6" s="14"/>
      <c r="R6" s="14"/>
      <c r="S6" s="18" t="str">
        <f aca="false">IF($B6="","",IF($J6&lt;&gt;"",$J6,IF(CORER_DIAMETER_CM&lt;&gt;"",CORER_DIAMETER_CM,"")))</f>
        <v/>
      </c>
      <c r="T6" s="17" t="str">
        <f aca="false">IF($B6="","",IF($J6&lt;&gt;"","this core",IF(CORER_DIAMETER_CM&lt;&gt;"","Instructions","missing")))</f>
        <v/>
      </c>
    </row>
    <row r="7" customFormat="false" ht="15" hidden="false" customHeight="false" outlineLevel="0" collapsed="false">
      <c r="A7" s="14"/>
      <c r="B7" s="14"/>
      <c r="C7" s="14"/>
      <c r="D7" s="14"/>
      <c r="E7" s="14"/>
      <c r="F7" s="14"/>
      <c r="G7" s="14"/>
      <c r="H7" s="14"/>
      <c r="I7" s="14"/>
      <c r="J7" s="14"/>
      <c r="K7" s="14"/>
      <c r="L7" s="14"/>
      <c r="M7" s="15" t="str">
        <f aca="false">IF(AND($K7&lt;&gt;"",$L7&lt;&gt;""),$K7/$L7,IF(LOWER(TRIM($Q7))="assume none",1,""))</f>
        <v/>
      </c>
      <c r="N7" s="16" t="str">
        <f aca="false">IF(OR($K7="",$L7=""),"",$K7-$L7)</f>
        <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
      </c>
      <c r="P7" s="14"/>
      <c r="Q7" s="14"/>
      <c r="R7" s="14"/>
      <c r="S7" s="18" t="str">
        <f aca="false">IF($B7="","",IF($J7&lt;&gt;"",$J7,IF(CORER_DIAMETER_CM&lt;&gt;"",CORER_DIAMETER_CM,"")))</f>
        <v/>
      </c>
      <c r="T7" s="17" t="str">
        <f aca="false">IF($B7="","",IF($J7&lt;&gt;"","this core",IF(CORER_DIAMETER_CM&lt;&gt;"","Instructions","missing")))</f>
        <v/>
      </c>
    </row>
    <row r="8" customFormat="false" ht="15" hidden="false" customHeight="false" outlineLevel="0" collapsed="false">
      <c r="A8" s="14"/>
      <c r="B8" s="14"/>
      <c r="C8" s="14"/>
      <c r="D8" s="14"/>
      <c r="E8" s="14"/>
      <c r="F8" s="14"/>
      <c r="G8" s="14"/>
      <c r="H8" s="14"/>
      <c r="I8" s="14"/>
      <c r="J8" s="14"/>
      <c r="K8" s="14"/>
      <c r="L8" s="14"/>
      <c r="M8" s="15" t="str">
        <f aca="false">IF(AND($K8&lt;&gt;"",$L8&lt;&gt;""),$K8/$L8,IF(LOWER(TRIM($Q8))="assume none",1,""))</f>
        <v/>
      </c>
      <c r="N8" s="16" t="str">
        <f aca="false">IF(OR($K8="",$L8=""),"",$K8-$L8)</f>
        <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
      </c>
      <c r="P8" s="14"/>
      <c r="Q8" s="14"/>
      <c r="R8" s="14"/>
      <c r="S8" s="18" t="str">
        <f aca="false">IF($B8="","",IF($J8&lt;&gt;"",$J8,IF(CORER_DIAMETER_CM&lt;&gt;"",CORER_DIAMETER_CM,"")))</f>
        <v/>
      </c>
      <c r="T8" s="17" t="str">
        <f aca="false">IF($B8="","",IF($J8&lt;&gt;"","this core",IF(CORER_DIAMETER_CM&lt;&gt;"","Instructions","missing")))</f>
        <v/>
      </c>
    </row>
    <row r="9" customFormat="false" ht="15" hidden="false" customHeight="false" outlineLevel="0" collapsed="false">
      <c r="A9" s="14"/>
      <c r="B9" s="14"/>
      <c r="C9" s="14"/>
      <c r="D9" s="14"/>
      <c r="E9" s="14"/>
      <c r="F9" s="14"/>
      <c r="G9" s="14"/>
      <c r="H9" s="14"/>
      <c r="I9" s="14"/>
      <c r="J9" s="14"/>
      <c r="K9" s="14"/>
      <c r="L9" s="14"/>
      <c r="M9" s="15" t="str">
        <f aca="false">IF(AND($K9&lt;&gt;"",$L9&lt;&gt;""),$K9/$L9,IF(LOWER(TRIM($Q9))="assume none",1,""))</f>
        <v/>
      </c>
      <c r="N9" s="16" t="str">
        <f aca="false">IF(OR($K9="",$L9=""),"",$K9-$L9)</f>
        <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
      </c>
      <c r="P9" s="14"/>
      <c r="Q9" s="14"/>
      <c r="R9" s="14"/>
      <c r="S9" s="18" t="str">
        <f aca="false">IF($B9="","",IF($J9&lt;&gt;"",$J9,IF(CORER_DIAMETER_CM&lt;&gt;"",CORER_DIAMETER_CM,"")))</f>
        <v/>
      </c>
      <c r="T9" s="17" t="str">
        <f aca="false">IF($B9="","",IF($J9&lt;&gt;"","this core",IF(CORER_DIAMETER_CM&lt;&gt;"","Instructions","missing")))</f>
        <v/>
      </c>
    </row>
    <row r="10" customFormat="false" ht="15" hidden="false" customHeight="false" outlineLevel="0" collapsed="false">
      <c r="A10" s="14"/>
      <c r="B10" s="14"/>
      <c r="C10" s="14"/>
      <c r="D10" s="14"/>
      <c r="E10" s="14"/>
      <c r="F10" s="14"/>
      <c r="G10" s="14"/>
      <c r="H10" s="14"/>
      <c r="I10" s="14"/>
      <c r="J10" s="14"/>
      <c r="K10" s="14"/>
      <c r="L10" s="14"/>
      <c r="M10" s="15" t="str">
        <f aca="false">IF(AND($K10&lt;&gt;"",$L10&lt;&gt;""),$K10/$L10,IF(LOWER(TRIM($Q10))="assume none",1,""))</f>
        <v/>
      </c>
      <c r="N10" s="16" t="str">
        <f aca="false">IF(OR($K10="",$L10=""),"",$K10-$L10)</f>
        <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
      </c>
      <c r="P10" s="14"/>
      <c r="Q10" s="14"/>
      <c r="R10" s="14"/>
      <c r="S10" s="18" t="str">
        <f aca="false">IF($B10="","",IF($J10&lt;&gt;"",$J10,IF(CORER_DIAMETER_CM&lt;&gt;"",CORER_DIAMETER_CM,"")))</f>
        <v/>
      </c>
      <c r="T10" s="17" t="str">
        <f aca="false">IF($B10="","",IF($J10&lt;&gt;"","this core",IF(CORER_DIAMETER_CM&lt;&gt;"","Instructions","missing")))</f>
        <v/>
      </c>
    </row>
    <row r="11" customFormat="false" ht="15" hidden="false" customHeight="false" outlineLevel="0" collapsed="false">
      <c r="A11" s="14"/>
      <c r="B11" s="14"/>
      <c r="C11" s="14"/>
      <c r="D11" s="14"/>
      <c r="E11" s="14"/>
      <c r="F11" s="14"/>
      <c r="G11" s="14"/>
      <c r="H11" s="14"/>
      <c r="I11" s="14"/>
      <c r="J11" s="14"/>
      <c r="K11" s="14"/>
      <c r="L11" s="14"/>
      <c r="M11" s="15" t="str">
        <f aca="false">IF(AND($K11&lt;&gt;"",$L11&lt;&gt;""),$K11/$L11,IF(LOWER(TRIM($Q11))="assume none",1,""))</f>
        <v/>
      </c>
      <c r="N11" s="16" t="str">
        <f aca="false">IF(OR($K11="",$L11=""),"",$K11-$L11)</f>
        <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
      </c>
      <c r="P11" s="14"/>
      <c r="Q11" s="14"/>
      <c r="R11" s="14"/>
      <c r="S11" s="18" t="str">
        <f aca="false">IF($B11="","",IF($J11&lt;&gt;"",$J11,IF(CORER_DIAMETER_CM&lt;&gt;"",CORER_DIAMETER_CM,"")))</f>
        <v/>
      </c>
      <c r="T11" s="17" t="str">
        <f aca="false">IF($B11="","",IF($J11&lt;&gt;"","this core",IF(CORER_DIAMETER_CM&lt;&gt;"","Instructions","missing")))</f>
        <v/>
      </c>
    </row>
    <row r="12" customFormat="false" ht="15" hidden="false" customHeight="false" outlineLevel="0" collapsed="false">
      <c r="A12" s="14"/>
      <c r="B12" s="14"/>
      <c r="C12" s="14"/>
      <c r="D12" s="14"/>
      <c r="E12" s="14"/>
      <c r="F12" s="14"/>
      <c r="G12" s="14"/>
      <c r="H12" s="14"/>
      <c r="I12" s="14"/>
      <c r="J12" s="14"/>
      <c r="K12" s="14"/>
      <c r="L12" s="14"/>
      <c r="M12" s="15" t="str">
        <f aca="false">IF(AND($K12&lt;&gt;"",$L12&lt;&gt;""),$K12/$L12,IF(LOWER(TRIM($Q12))="assume none",1,""))</f>
        <v/>
      </c>
      <c r="N12" s="16" t="str">
        <f aca="false">IF(OR($K12="",$L12=""),"",$K12-$L12)</f>
        <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
      </c>
      <c r="P12" s="14"/>
      <c r="Q12" s="14"/>
      <c r="R12" s="14"/>
      <c r="S12" s="18" t="str">
        <f aca="false">IF($B12="","",IF($J12&lt;&gt;"",$J12,IF(CORER_DIAMETER_CM&lt;&gt;"",CORER_DIAMETER_CM,"")))</f>
        <v/>
      </c>
      <c r="T12" s="17" t="str">
        <f aca="false">IF($B12="","",IF($J12&lt;&gt;"","this core",IF(CORER_DIAMETER_CM&lt;&gt;"","Instructions","missing")))</f>
        <v/>
      </c>
    </row>
    <row r="13" customFormat="false" ht="15" hidden="false" customHeight="false" outlineLevel="0" collapsed="false">
      <c r="A13" s="14"/>
      <c r="B13" s="14"/>
      <c r="C13" s="14"/>
      <c r="D13" s="14"/>
      <c r="E13" s="14"/>
      <c r="F13" s="14"/>
      <c r="G13" s="14"/>
      <c r="H13" s="14"/>
      <c r="I13" s="14"/>
      <c r="J13" s="14"/>
      <c r="K13" s="14"/>
      <c r="L13" s="14"/>
      <c r="M13" s="15" t="str">
        <f aca="false">IF(AND($K13&lt;&gt;"",$L13&lt;&gt;""),$K13/$L13,IF(LOWER(TRIM($Q13))="assume none",1,""))</f>
        <v/>
      </c>
      <c r="N13" s="16" t="str">
        <f aca="false">IF(OR($K13="",$L13=""),"",$K13-$L13)</f>
        <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
      </c>
      <c r="P13" s="14"/>
      <c r="Q13" s="14"/>
      <c r="R13" s="14"/>
      <c r="S13" s="18" t="str">
        <f aca="false">IF($B13="","",IF($J13&lt;&gt;"",$J13,IF(CORER_DIAMETER_CM&lt;&gt;"",CORER_DIAMETER_CM,"")))</f>
        <v/>
      </c>
      <c r="T13" s="17" t="str">
        <f aca="false">IF($B13="","",IF($J13&lt;&gt;"","this core",IF(CORER_DIAMETER_CM&lt;&gt;"","Instructions","missing")))</f>
        <v/>
      </c>
    </row>
    <row r="14" customFormat="false" ht="15" hidden="false" customHeight="false" outlineLevel="0" collapsed="false">
      <c r="A14" s="14"/>
      <c r="B14" s="14"/>
      <c r="C14" s="14"/>
      <c r="D14" s="14"/>
      <c r="E14" s="14"/>
      <c r="F14" s="14"/>
      <c r="G14" s="14"/>
      <c r="H14" s="14"/>
      <c r="I14" s="14"/>
      <c r="J14" s="14"/>
      <c r="K14" s="14"/>
      <c r="L14" s="14"/>
      <c r="M14" s="15" t="str">
        <f aca="false">IF(AND($K14&lt;&gt;"",$L14&lt;&gt;""),$K14/$L14,IF(LOWER(TRIM($Q14))="assume none",1,""))</f>
        <v/>
      </c>
      <c r="N14" s="16" t="str">
        <f aca="false">IF(OR($K14="",$L14=""),"",$K14-$L14)</f>
        <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
      </c>
      <c r="P14" s="14"/>
      <c r="Q14" s="14"/>
      <c r="R14" s="14"/>
      <c r="S14" s="18" t="str">
        <f aca="false">IF($B14="","",IF($J14&lt;&gt;"",$J14,IF(CORER_DIAMETER_CM&lt;&gt;"",CORER_DIAMETER_CM,"")))</f>
        <v/>
      </c>
      <c r="T14" s="17" t="str">
        <f aca="false">IF($B14="","",IF($J14&lt;&gt;"","this core",IF(CORER_DIAMETER_CM&lt;&gt;"","Instructions","missing")))</f>
        <v/>
      </c>
    </row>
    <row r="15" customFormat="false" ht="15" hidden="false" customHeight="false" outlineLevel="0" collapsed="false">
      <c r="A15" s="14"/>
      <c r="B15" s="14"/>
      <c r="C15" s="14"/>
      <c r="D15" s="14"/>
      <c r="E15" s="14"/>
      <c r="F15" s="14"/>
      <c r="G15" s="14"/>
      <c r="H15" s="14"/>
      <c r="I15" s="14"/>
      <c r="J15" s="14"/>
      <c r="K15" s="14"/>
      <c r="L15" s="14"/>
      <c r="M15" s="15" t="str">
        <f aca="false">IF(AND($K15&lt;&gt;"",$L15&lt;&gt;""),$K15/$L15,IF(LOWER(TRIM($Q15))="assume none",1,""))</f>
        <v/>
      </c>
      <c r="N15" s="16" t="str">
        <f aca="false">IF(OR($K15="",$L15=""),"",$K15-$L15)</f>
        <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
      </c>
      <c r="P15" s="14"/>
      <c r="Q15" s="14"/>
      <c r="R15" s="14"/>
      <c r="S15" s="18" t="str">
        <f aca="false">IF($B15="","",IF($J15&lt;&gt;"",$J15,IF(CORER_DIAMETER_CM&lt;&gt;"",CORER_DIAMETER_CM,"")))</f>
        <v/>
      </c>
      <c r="T15" s="17" t="str">
        <f aca="false">IF($B15="","",IF($J15&lt;&gt;"","this core",IF(CORER_DIAMETER_CM&lt;&gt;"","Instructions","missing")))</f>
        <v/>
      </c>
    </row>
    <row r="16" customFormat="false" ht="15" hidden="false" customHeight="false" outlineLevel="0" collapsed="false">
      <c r="A16" s="14"/>
      <c r="B16" s="14"/>
      <c r="C16" s="14"/>
      <c r="D16" s="14"/>
      <c r="E16" s="14"/>
      <c r="F16" s="14"/>
      <c r="G16" s="14"/>
      <c r="H16" s="14"/>
      <c r="I16" s="14"/>
      <c r="J16" s="14"/>
      <c r="K16" s="14"/>
      <c r="L16" s="14"/>
      <c r="M16" s="15" t="str">
        <f aca="false">IF(AND($K16&lt;&gt;"",$L16&lt;&gt;""),$K16/$L16,IF(LOWER(TRIM($Q16))="assume none",1,""))</f>
        <v/>
      </c>
      <c r="N16" s="16" t="str">
        <f aca="false">IF(OR($K16="",$L16=""),"",$K16-$L16)</f>
        <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
      </c>
      <c r="P16" s="14"/>
      <c r="Q16" s="14"/>
      <c r="R16" s="14"/>
      <c r="S16" s="18" t="str">
        <f aca="false">IF($B16="","",IF($J16&lt;&gt;"",$J16,IF(CORER_DIAMETER_CM&lt;&gt;"",CORER_DIAMETER_CM,"")))</f>
        <v/>
      </c>
      <c r="T16" s="17" t="str">
        <f aca="false">IF($B16="","",IF($J16&lt;&gt;"","this core",IF(CORER_DIAMETER_CM&lt;&gt;"","Instructions","missing")))</f>
        <v/>
      </c>
    </row>
    <row r="17" customFormat="false" ht="15" hidden="false" customHeight="false" outlineLevel="0" collapsed="false">
      <c r="A17" s="14"/>
      <c r="B17" s="14"/>
      <c r="C17" s="14"/>
      <c r="D17" s="14"/>
      <c r="E17" s="14"/>
      <c r="F17" s="14"/>
      <c r="G17" s="14"/>
      <c r="H17" s="14"/>
      <c r="I17" s="14"/>
      <c r="J17" s="14"/>
      <c r="K17" s="14"/>
      <c r="L17" s="14"/>
      <c r="M17" s="15" t="str">
        <f aca="false">IF(AND($K17&lt;&gt;"",$L17&lt;&gt;""),$K17/$L17,IF(LOWER(TRIM($Q17))="assume none",1,""))</f>
        <v/>
      </c>
      <c r="N17" s="16" t="str">
        <f aca="false">IF(OR($K17="",$L17=""),"",$K17-$L17)</f>
        <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
      </c>
      <c r="P17" s="14"/>
      <c r="Q17" s="14"/>
      <c r="R17" s="14"/>
      <c r="S17" s="18" t="str">
        <f aca="false">IF($B17="","",IF($J17&lt;&gt;"",$J17,IF(CORER_DIAMETER_CM&lt;&gt;"",CORER_DIAMETER_CM,"")))</f>
        <v/>
      </c>
      <c r="T17" s="17" t="str">
        <f aca="false">IF($B17="","",IF($J17&lt;&gt;"","this core",IF(CORER_DIAMETER_CM&lt;&gt;"","Instructions","missing")))</f>
        <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97</v>
      </c>
    </row>
    <row r="38" customFormat="false" ht="30" hidden="false" customHeight="true" outlineLevel="0" collapsed="false">
      <c r="A38" s="19" t="s">
        <v>98</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99</v>
      </c>
    </row>
    <row r="2" customFormat="false" ht="15" hidden="false" customHeight="false" outlineLevel="0" collapsed="false">
      <c r="A2" s="9" t="s">
        <v>100</v>
      </c>
      <c r="B2" s="9"/>
      <c r="C2" s="9"/>
      <c r="D2" s="9"/>
      <c r="E2" s="9"/>
      <c r="F2" s="9"/>
      <c r="G2" s="9"/>
      <c r="H2" s="9"/>
      <c r="I2" s="9"/>
      <c r="J2" s="9"/>
      <c r="K2" s="9"/>
      <c r="L2" s="9"/>
      <c r="M2" s="9"/>
      <c r="N2" s="9"/>
      <c r="O2" s="9"/>
      <c r="P2" s="9"/>
      <c r="Q2" s="9"/>
      <c r="R2" s="9"/>
      <c r="S2" s="9"/>
      <c r="T2" s="9"/>
      <c r="U2" s="9"/>
      <c r="V2" s="9"/>
      <c r="W2" s="9"/>
      <c r="X2" s="9"/>
      <c r="Y2" s="9"/>
      <c r="Z2" s="9"/>
      <c r="AA2" s="9"/>
    </row>
    <row r="4" customFormat="false" ht="19.5" hidden="false" customHeight="true" outlineLevel="0" collapsed="false">
      <c r="A4" s="10" t="s">
        <v>21</v>
      </c>
      <c r="B4" s="10"/>
      <c r="C4" s="10"/>
      <c r="D4" s="10"/>
      <c r="E4" s="10"/>
      <c r="F4" s="11" t="s">
        <v>23</v>
      </c>
      <c r="G4" s="11"/>
      <c r="H4" s="11"/>
      <c r="I4" s="11"/>
      <c r="J4" s="11"/>
      <c r="K4" s="11"/>
      <c r="L4" s="20" t="s">
        <v>25</v>
      </c>
      <c r="M4" s="20"/>
      <c r="N4" s="20"/>
      <c r="O4" s="20"/>
      <c r="P4" s="21" t="s">
        <v>27</v>
      </c>
      <c r="Q4" s="21"/>
      <c r="R4" s="21"/>
      <c r="S4" s="21"/>
      <c r="T4" s="21"/>
      <c r="U4" s="21"/>
      <c r="V4" s="21"/>
      <c r="W4" s="21"/>
      <c r="X4" s="21"/>
      <c r="Y4" s="21"/>
      <c r="Z4" s="21"/>
      <c r="AA4" s="10" t="s">
        <v>29</v>
      </c>
    </row>
    <row r="5" customFormat="false" ht="51.75" hidden="false" customHeight="true" outlineLevel="0" collapsed="false">
      <c r="A5" s="12" t="s">
        <v>78</v>
      </c>
      <c r="B5" s="12" t="s">
        <v>101</v>
      </c>
      <c r="C5" s="12" t="s">
        <v>102</v>
      </c>
      <c r="D5" s="12" t="s">
        <v>103</v>
      </c>
      <c r="E5" s="12" t="s">
        <v>104</v>
      </c>
      <c r="F5" s="13" t="s">
        <v>105</v>
      </c>
      <c r="G5" s="13" t="s">
        <v>106</v>
      </c>
      <c r="H5" s="13" t="s">
        <v>107</v>
      </c>
      <c r="I5" s="13" t="s">
        <v>108</v>
      </c>
      <c r="J5" s="13" t="s">
        <v>109</v>
      </c>
      <c r="K5" s="13" t="s">
        <v>110</v>
      </c>
      <c r="L5" s="22" t="s">
        <v>111</v>
      </c>
      <c r="M5" s="22" t="s">
        <v>112</v>
      </c>
      <c r="N5" s="22" t="s">
        <v>113</v>
      </c>
      <c r="O5" s="22" t="s">
        <v>114</v>
      </c>
      <c r="P5" s="23" t="s">
        <v>115</v>
      </c>
      <c r="Q5" s="23" t="s">
        <v>116</v>
      </c>
      <c r="R5" s="23" t="s">
        <v>117</v>
      </c>
      <c r="S5" s="23" t="s">
        <v>118</v>
      </c>
      <c r="T5" s="23" t="s">
        <v>119</v>
      </c>
      <c r="U5" s="23" t="s">
        <v>120</v>
      </c>
      <c r="V5" s="23" t="s">
        <v>121</v>
      </c>
      <c r="W5" s="23" t="s">
        <v>122</v>
      </c>
      <c r="X5" s="23" t="s">
        <v>123</v>
      </c>
      <c r="Y5" s="23" t="s">
        <v>124</v>
      </c>
      <c r="Z5" s="23" t="s">
        <v>125</v>
      </c>
      <c r="AA5" s="12" t="s">
        <v>126</v>
      </c>
    </row>
    <row r="6" customFormat="false" ht="15" hidden="false" customHeight="false" outlineLevel="0" collapsed="false">
      <c r="A6" s="14"/>
      <c r="B6" s="14"/>
      <c r="C6" s="24"/>
      <c r="D6" s="24"/>
      <c r="E6" s="14"/>
      <c r="F6" s="16" t="str">
        <f aca="false">IF(OR($C6="",$D6=""),"",$D6-$C6)</f>
        <v/>
      </c>
      <c r="G6" s="25" t="str">
        <f aca="false">IF($A6="","",IFERROR(INDEX('2. Plot &amp; Core Log'!$M$6:$M$35,MATCH($A6,'2. Plot &amp; Core Log'!$B$6:$B$35,0)),""))</f>
        <v/>
      </c>
      <c r="H6" s="26" t="str">
        <f aca="false">IF($A6="","",IFERROR(INDEX('2. Plot &amp; Core Log'!$S$6:$S$35,MATCH($A6,'2. Plot &amp; Core Log'!$B$6:$B$35,0)),""))</f>
        <v/>
      </c>
      <c r="I6" s="16" t="str">
        <f aca="false">IF(OR($C6="",$G6=""),"",$C6*$G6)</f>
        <v/>
      </c>
      <c r="J6" s="16" t="str">
        <f aca="false">IF(OR($D6="",$G6=""),"",$D6*$G6)</f>
        <v/>
      </c>
      <c r="K6" s="16" t="str">
        <f aca="false">IF(OR($F6="",$H6=""),"",PI()*(($H6/2)^2)*$F6)</f>
        <v/>
      </c>
      <c r="L6" s="27"/>
      <c r="M6" s="27"/>
      <c r="N6" s="27"/>
      <c r="O6" s="27"/>
      <c r="P6" s="16" t="str">
        <f aca="false">IF(OR($L6="",$M6="",$L6=0),"",(($L6-$M6)/$L6)*100)</f>
        <v/>
      </c>
      <c r="Q6" s="15" t="str">
        <f aca="false">IF(OR($M6="",$K6="",$K6=0),"",$M6/$K6)</f>
        <v/>
      </c>
      <c r="R6" s="15" t="str">
        <f aca="false">IF(OR($N6="",$O6=""),"",IF(UPPER($O6)="OC",$N6,IF(UPPER($O6)="LOI",IF(OR(LOI_INTERCEPT="",LOI_SLOPE=""),"",IF(LOI_INTERCEPT+LOI_SLOPE*$N6&lt;0,"",LOI_INTERCEPT+LOI_SLOPE*$N6)),"")))</f>
        <v/>
      </c>
      <c r="S6" s="18" t="str">
        <f aca="false">IF($R6="","",$R6*10)</f>
        <v/>
      </c>
      <c r="T6" s="28" t="str">
        <f aca="false">IF(OR($Q6="",$R6=""),"",$Q6*$R6/100)</f>
        <v/>
      </c>
      <c r="U6" s="29" t="str">
        <f aca="false">IF(OR($T6="",$F6=""),"",$T6*$F6)</f>
        <v/>
      </c>
      <c r="V6" s="15" t="str">
        <f aca="false">IF($U6="","",$U6*10)</f>
        <v/>
      </c>
      <c r="W6" s="15" t="str">
        <f aca="false">IF(OR($V6="",$I6="",$J6="",$J6&lt;=$I6),"",$V6*MAX(0,MIN($J6,15)-MAX($I6,0))/($J6-$I6))</f>
        <v/>
      </c>
      <c r="X6" s="15" t="str">
        <f aca="false">IF(OR($V6="",$I6="",$J6="",$J6&lt;=$I6),"",$V6*MAX(0,MIN($J6,30)-MAX($I6,15))/($J6-$I6))</f>
        <v/>
      </c>
      <c r="Y6" s="15" t="str">
        <f aca="false">IF(OR($V6="",$I6="",$J6="",$J6&lt;=$I6),"",$V6*MAX(0,MIN($J6,50)-MAX($I6,30))/($J6-$I6))</f>
        <v/>
      </c>
      <c r="Z6" s="15" t="str">
        <f aca="false">IF(OR($V6="",$I6="",$J6="",$J6&lt;=$I6),"",$V6*MAX(0,MIN($J6,100)-MAX($I6,50))/($J6-$I6))</f>
        <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
      </c>
    </row>
    <row r="7" customFormat="false" ht="15" hidden="false" customHeight="false" outlineLevel="0" collapsed="false">
      <c r="A7" s="14"/>
      <c r="B7" s="14"/>
      <c r="C7" s="24"/>
      <c r="D7" s="24"/>
      <c r="E7" s="14"/>
      <c r="F7" s="16" t="str">
        <f aca="false">IF(OR($C7="",$D7=""),"",$D7-$C7)</f>
        <v/>
      </c>
      <c r="G7" s="25" t="str">
        <f aca="false">IF($A7="","",IFERROR(INDEX('2. Plot &amp; Core Log'!$M$6:$M$35,MATCH($A7,'2. Plot &amp; Core Log'!$B$6:$B$35,0)),""))</f>
        <v/>
      </c>
      <c r="H7" s="26" t="str">
        <f aca="false">IF($A7="","",IFERROR(INDEX('2. Plot &amp; Core Log'!$S$6:$S$35,MATCH($A7,'2. Plot &amp; Core Log'!$B$6:$B$35,0)),""))</f>
        <v/>
      </c>
      <c r="I7" s="16" t="str">
        <f aca="false">IF(OR($C7="",$G7=""),"",$C7*$G7)</f>
        <v/>
      </c>
      <c r="J7" s="16" t="str">
        <f aca="false">IF(OR($D7="",$G7=""),"",$D7*$G7)</f>
        <v/>
      </c>
      <c r="K7" s="16" t="str">
        <f aca="false">IF(OR($F7="",$H7=""),"",PI()*(($H7/2)^2)*$F7)</f>
        <v/>
      </c>
      <c r="L7" s="27"/>
      <c r="M7" s="27"/>
      <c r="N7" s="27"/>
      <c r="O7" s="27"/>
      <c r="P7" s="16" t="str">
        <f aca="false">IF(OR($L7="",$M7="",$L7=0),"",(($L7-$M7)/$L7)*100)</f>
        <v/>
      </c>
      <c r="Q7" s="15" t="str">
        <f aca="false">IF(OR($M7="",$K7="",$K7=0),"",$M7/$K7)</f>
        <v/>
      </c>
      <c r="R7" s="15" t="str">
        <f aca="false">IF(OR($N7="",$O7=""),"",IF(UPPER($O7)="OC",$N7,IF(UPPER($O7)="LOI",IF(OR(LOI_INTERCEPT="",LOI_SLOPE=""),"",IF(LOI_INTERCEPT+LOI_SLOPE*$N7&lt;0,"",LOI_INTERCEPT+LOI_SLOPE*$N7)),"")))</f>
        <v/>
      </c>
      <c r="S7" s="18" t="str">
        <f aca="false">IF($R7="","",$R7*10)</f>
        <v/>
      </c>
      <c r="T7" s="28" t="str">
        <f aca="false">IF(OR($Q7="",$R7=""),"",$Q7*$R7/100)</f>
        <v/>
      </c>
      <c r="U7" s="29" t="str">
        <f aca="false">IF(OR($T7="",$F7=""),"",$T7*$F7)</f>
        <v/>
      </c>
      <c r="V7" s="15" t="str">
        <f aca="false">IF($U7="","",$U7*10)</f>
        <v/>
      </c>
      <c r="W7" s="15" t="str">
        <f aca="false">IF(OR($V7="",$I7="",$J7="",$J7&lt;=$I7),"",$V7*MAX(0,MIN($J7,15)-MAX($I7,0))/($J7-$I7))</f>
        <v/>
      </c>
      <c r="X7" s="15" t="str">
        <f aca="false">IF(OR($V7="",$I7="",$J7="",$J7&lt;=$I7),"",$V7*MAX(0,MIN($J7,30)-MAX($I7,15))/($J7-$I7))</f>
        <v/>
      </c>
      <c r="Y7" s="15" t="str">
        <f aca="false">IF(OR($V7="",$I7="",$J7="",$J7&lt;=$I7),"",$V7*MAX(0,MIN($J7,50)-MAX($I7,30))/($J7-$I7))</f>
        <v/>
      </c>
      <c r="Z7" s="15" t="str">
        <f aca="false">IF(OR($V7="",$I7="",$J7="",$J7&lt;=$I7),"",$V7*MAX(0,MIN($J7,100)-MAX($I7,50))/($J7-$I7))</f>
        <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
      </c>
    </row>
    <row r="8" customFormat="false" ht="15" hidden="false" customHeight="false" outlineLevel="0" collapsed="false">
      <c r="A8" s="14"/>
      <c r="B8" s="14"/>
      <c r="C8" s="24"/>
      <c r="D8" s="24"/>
      <c r="E8" s="14"/>
      <c r="F8" s="16" t="str">
        <f aca="false">IF(OR($C8="",$D8=""),"",$D8-$C8)</f>
        <v/>
      </c>
      <c r="G8" s="25" t="str">
        <f aca="false">IF($A8="","",IFERROR(INDEX('2. Plot &amp; Core Log'!$M$6:$M$35,MATCH($A8,'2. Plot &amp; Core Log'!$B$6:$B$35,0)),""))</f>
        <v/>
      </c>
      <c r="H8" s="26" t="str">
        <f aca="false">IF($A8="","",IFERROR(INDEX('2. Plot &amp; Core Log'!$S$6:$S$35,MATCH($A8,'2. Plot &amp; Core Log'!$B$6:$B$35,0)),""))</f>
        <v/>
      </c>
      <c r="I8" s="16" t="str">
        <f aca="false">IF(OR($C8="",$G8=""),"",$C8*$G8)</f>
        <v/>
      </c>
      <c r="J8" s="16" t="str">
        <f aca="false">IF(OR($D8="",$G8=""),"",$D8*$G8)</f>
        <v/>
      </c>
      <c r="K8" s="16" t="str">
        <f aca="false">IF(OR($F8="",$H8=""),"",PI()*(($H8/2)^2)*$F8)</f>
        <v/>
      </c>
      <c r="L8" s="27"/>
      <c r="M8" s="27"/>
      <c r="N8" s="27"/>
      <c r="O8" s="27"/>
      <c r="P8" s="16" t="str">
        <f aca="false">IF(OR($L8="",$M8="",$L8=0),"",(($L8-$M8)/$L8)*100)</f>
        <v/>
      </c>
      <c r="Q8" s="15" t="str">
        <f aca="false">IF(OR($M8="",$K8="",$K8=0),"",$M8/$K8)</f>
        <v/>
      </c>
      <c r="R8" s="15" t="str">
        <f aca="false">IF(OR($N8="",$O8=""),"",IF(UPPER($O8)="OC",$N8,IF(UPPER($O8)="LOI",IF(OR(LOI_INTERCEPT="",LOI_SLOPE=""),"",IF(LOI_INTERCEPT+LOI_SLOPE*$N8&lt;0,"",LOI_INTERCEPT+LOI_SLOPE*$N8)),"")))</f>
        <v/>
      </c>
      <c r="S8" s="18" t="str">
        <f aca="false">IF($R8="","",$R8*10)</f>
        <v/>
      </c>
      <c r="T8" s="28" t="str">
        <f aca="false">IF(OR($Q8="",$R8=""),"",$Q8*$R8/100)</f>
        <v/>
      </c>
      <c r="U8" s="29" t="str">
        <f aca="false">IF(OR($T8="",$F8=""),"",$T8*$F8)</f>
        <v/>
      </c>
      <c r="V8" s="15" t="str">
        <f aca="false">IF($U8="","",$U8*10)</f>
        <v/>
      </c>
      <c r="W8" s="15" t="str">
        <f aca="false">IF(OR($V8="",$I8="",$J8="",$J8&lt;=$I8),"",$V8*MAX(0,MIN($J8,15)-MAX($I8,0))/($J8-$I8))</f>
        <v/>
      </c>
      <c r="X8" s="15" t="str">
        <f aca="false">IF(OR($V8="",$I8="",$J8="",$J8&lt;=$I8),"",$V8*MAX(0,MIN($J8,30)-MAX($I8,15))/($J8-$I8))</f>
        <v/>
      </c>
      <c r="Y8" s="15" t="str">
        <f aca="false">IF(OR($V8="",$I8="",$J8="",$J8&lt;=$I8),"",$V8*MAX(0,MIN($J8,50)-MAX($I8,30))/($J8-$I8))</f>
        <v/>
      </c>
      <c r="Z8" s="15" t="str">
        <f aca="false">IF(OR($V8="",$I8="",$J8="",$J8&lt;=$I8),"",$V8*MAX(0,MIN($J8,100)-MAX($I8,50))/($J8-$I8))</f>
        <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
      </c>
    </row>
    <row r="9" customFormat="false" ht="15" hidden="false" customHeight="false" outlineLevel="0" collapsed="false">
      <c r="A9" s="14"/>
      <c r="B9" s="14"/>
      <c r="C9" s="24"/>
      <c r="D9" s="24"/>
      <c r="E9" s="14"/>
      <c r="F9" s="16" t="str">
        <f aca="false">IF(OR($C9="",$D9=""),"",$D9-$C9)</f>
        <v/>
      </c>
      <c r="G9" s="25" t="str">
        <f aca="false">IF($A9="","",IFERROR(INDEX('2. Plot &amp; Core Log'!$M$6:$M$35,MATCH($A9,'2. Plot &amp; Core Log'!$B$6:$B$35,0)),""))</f>
        <v/>
      </c>
      <c r="H9" s="26" t="str">
        <f aca="false">IF($A9="","",IFERROR(INDEX('2. Plot &amp; Core Log'!$S$6:$S$35,MATCH($A9,'2. Plot &amp; Core Log'!$B$6:$B$35,0)),""))</f>
        <v/>
      </c>
      <c r="I9" s="16" t="str">
        <f aca="false">IF(OR($C9="",$G9=""),"",$C9*$G9)</f>
        <v/>
      </c>
      <c r="J9" s="16" t="str">
        <f aca="false">IF(OR($D9="",$G9=""),"",$D9*$G9)</f>
        <v/>
      </c>
      <c r="K9" s="16" t="str">
        <f aca="false">IF(OR($F9="",$H9=""),"",PI()*(($H9/2)^2)*$F9)</f>
        <v/>
      </c>
      <c r="L9" s="27"/>
      <c r="M9" s="27"/>
      <c r="N9" s="27"/>
      <c r="O9" s="27"/>
      <c r="P9" s="16" t="str">
        <f aca="false">IF(OR($L9="",$M9="",$L9=0),"",(($L9-$M9)/$L9)*100)</f>
        <v/>
      </c>
      <c r="Q9" s="15" t="str">
        <f aca="false">IF(OR($M9="",$K9="",$K9=0),"",$M9/$K9)</f>
        <v/>
      </c>
      <c r="R9" s="15" t="str">
        <f aca="false">IF(OR($N9="",$O9=""),"",IF(UPPER($O9)="OC",$N9,IF(UPPER($O9)="LOI",IF(OR(LOI_INTERCEPT="",LOI_SLOPE=""),"",IF(LOI_INTERCEPT+LOI_SLOPE*$N9&lt;0,"",LOI_INTERCEPT+LOI_SLOPE*$N9)),"")))</f>
        <v/>
      </c>
      <c r="S9" s="18" t="str">
        <f aca="false">IF($R9="","",$R9*10)</f>
        <v/>
      </c>
      <c r="T9" s="28" t="str">
        <f aca="false">IF(OR($Q9="",$R9=""),"",$Q9*$R9/100)</f>
        <v/>
      </c>
      <c r="U9" s="29" t="str">
        <f aca="false">IF(OR($T9="",$F9=""),"",$T9*$F9)</f>
        <v/>
      </c>
      <c r="V9" s="15" t="str">
        <f aca="false">IF($U9="","",$U9*10)</f>
        <v/>
      </c>
      <c r="W9" s="15" t="str">
        <f aca="false">IF(OR($V9="",$I9="",$J9="",$J9&lt;=$I9),"",$V9*MAX(0,MIN($J9,15)-MAX($I9,0))/($J9-$I9))</f>
        <v/>
      </c>
      <c r="X9" s="15" t="str">
        <f aca="false">IF(OR($V9="",$I9="",$J9="",$J9&lt;=$I9),"",$V9*MAX(0,MIN($J9,30)-MAX($I9,15))/($J9-$I9))</f>
        <v/>
      </c>
      <c r="Y9" s="15" t="str">
        <f aca="false">IF(OR($V9="",$I9="",$J9="",$J9&lt;=$I9),"",$V9*MAX(0,MIN($J9,50)-MAX($I9,30))/($J9-$I9))</f>
        <v/>
      </c>
      <c r="Z9" s="15" t="str">
        <f aca="false">IF(OR($V9="",$I9="",$J9="",$J9&lt;=$I9),"",$V9*MAX(0,MIN($J9,100)-MAX($I9,50))/($J9-$I9))</f>
        <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
      </c>
    </row>
    <row r="10" customFormat="false" ht="15" hidden="false" customHeight="false" outlineLevel="0" collapsed="false">
      <c r="A10" s="14"/>
      <c r="B10" s="14"/>
      <c r="C10" s="24"/>
      <c r="D10" s="24"/>
      <c r="E10" s="14"/>
      <c r="F10" s="16" t="str">
        <f aca="false">IF(OR($C10="",$D10=""),"",$D10-$C10)</f>
        <v/>
      </c>
      <c r="G10" s="25" t="str">
        <f aca="false">IF($A10="","",IFERROR(INDEX('2. Plot &amp; Core Log'!$M$6:$M$35,MATCH($A10,'2. Plot &amp; Core Log'!$B$6:$B$35,0)),""))</f>
        <v/>
      </c>
      <c r="H10" s="26" t="str">
        <f aca="false">IF($A10="","",IFERROR(INDEX('2. Plot &amp; Core Log'!$S$6:$S$35,MATCH($A10,'2. Plot &amp; Core Log'!$B$6:$B$35,0)),""))</f>
        <v/>
      </c>
      <c r="I10" s="16" t="str">
        <f aca="false">IF(OR($C10="",$G10=""),"",$C10*$G10)</f>
        <v/>
      </c>
      <c r="J10" s="16" t="str">
        <f aca="false">IF(OR($D10="",$G10=""),"",$D10*$G10)</f>
        <v/>
      </c>
      <c r="K10" s="16" t="str">
        <f aca="false">IF(OR($F10="",$H10=""),"",PI()*(($H10/2)^2)*$F10)</f>
        <v/>
      </c>
      <c r="L10" s="27"/>
      <c r="M10" s="27"/>
      <c r="N10" s="27"/>
      <c r="O10" s="27"/>
      <c r="P10" s="16" t="str">
        <f aca="false">IF(OR($L10="",$M10="",$L10=0),"",(($L10-$M10)/$L10)*100)</f>
        <v/>
      </c>
      <c r="Q10" s="15" t="str">
        <f aca="false">IF(OR($M10="",$K10="",$K10=0),"",$M10/$K10)</f>
        <v/>
      </c>
      <c r="R10" s="15" t="str">
        <f aca="false">IF(OR($N10="",$O10=""),"",IF(UPPER($O10)="OC",$N10,IF(UPPER($O10)="LOI",IF(OR(LOI_INTERCEPT="",LOI_SLOPE=""),"",IF(LOI_INTERCEPT+LOI_SLOPE*$N10&lt;0,"",LOI_INTERCEPT+LOI_SLOPE*$N10)),"")))</f>
        <v/>
      </c>
      <c r="S10" s="18" t="str">
        <f aca="false">IF($R10="","",$R10*10)</f>
        <v/>
      </c>
      <c r="T10" s="28" t="str">
        <f aca="false">IF(OR($Q10="",$R10=""),"",$Q10*$R10/100)</f>
        <v/>
      </c>
      <c r="U10" s="29" t="str">
        <f aca="false">IF(OR($T10="",$F10=""),"",$T10*$F10)</f>
        <v/>
      </c>
      <c r="V10" s="15" t="str">
        <f aca="false">IF($U10="","",$U10*10)</f>
        <v/>
      </c>
      <c r="W10" s="15" t="str">
        <f aca="false">IF(OR($V10="",$I10="",$J10="",$J10&lt;=$I10),"",$V10*MAX(0,MIN($J10,15)-MAX($I10,0))/($J10-$I10))</f>
        <v/>
      </c>
      <c r="X10" s="15" t="str">
        <f aca="false">IF(OR($V10="",$I10="",$J10="",$J10&lt;=$I10),"",$V10*MAX(0,MIN($J10,30)-MAX($I10,15))/($J10-$I10))</f>
        <v/>
      </c>
      <c r="Y10" s="15" t="str">
        <f aca="false">IF(OR($V10="",$I10="",$J10="",$J10&lt;=$I10),"",$V10*MAX(0,MIN($J10,50)-MAX($I10,30))/($J10-$I10))</f>
        <v/>
      </c>
      <c r="Z10" s="15" t="str">
        <f aca="false">IF(OR($V10="",$I10="",$J10="",$J10&lt;=$I10),"",$V10*MAX(0,MIN($J10,100)-MAX($I10,50))/($J10-$I10))</f>
        <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
      </c>
    </row>
    <row r="11" customFormat="false" ht="15" hidden="false" customHeight="false" outlineLevel="0" collapsed="false">
      <c r="A11" s="14"/>
      <c r="B11" s="14"/>
      <c r="C11" s="24"/>
      <c r="D11" s="24"/>
      <c r="E11" s="14"/>
      <c r="F11" s="16" t="str">
        <f aca="false">IF(OR($C11="",$D11=""),"",$D11-$C11)</f>
        <v/>
      </c>
      <c r="G11" s="25" t="str">
        <f aca="false">IF($A11="","",IFERROR(INDEX('2. Plot &amp; Core Log'!$M$6:$M$35,MATCH($A11,'2. Plot &amp; Core Log'!$B$6:$B$35,0)),""))</f>
        <v/>
      </c>
      <c r="H11" s="26" t="str">
        <f aca="false">IF($A11="","",IFERROR(INDEX('2. Plot &amp; Core Log'!$S$6:$S$35,MATCH($A11,'2. Plot &amp; Core Log'!$B$6:$B$35,0)),""))</f>
        <v/>
      </c>
      <c r="I11" s="16" t="str">
        <f aca="false">IF(OR($C11="",$G11=""),"",$C11*$G11)</f>
        <v/>
      </c>
      <c r="J11" s="16" t="str">
        <f aca="false">IF(OR($D11="",$G11=""),"",$D11*$G11)</f>
        <v/>
      </c>
      <c r="K11" s="16" t="str">
        <f aca="false">IF(OR($F11="",$H11=""),"",PI()*(($H11/2)^2)*$F11)</f>
        <v/>
      </c>
      <c r="L11" s="27"/>
      <c r="M11" s="27"/>
      <c r="N11" s="27"/>
      <c r="O11" s="27"/>
      <c r="P11" s="16" t="str">
        <f aca="false">IF(OR($L11="",$M11="",$L11=0),"",(($L11-$M11)/$L11)*100)</f>
        <v/>
      </c>
      <c r="Q11" s="15" t="str">
        <f aca="false">IF(OR($M11="",$K11="",$K11=0),"",$M11/$K11)</f>
        <v/>
      </c>
      <c r="R11" s="15" t="str">
        <f aca="false">IF(OR($N11="",$O11=""),"",IF(UPPER($O11)="OC",$N11,IF(UPPER($O11)="LOI",IF(OR(LOI_INTERCEPT="",LOI_SLOPE=""),"",IF(LOI_INTERCEPT+LOI_SLOPE*$N11&lt;0,"",LOI_INTERCEPT+LOI_SLOPE*$N11)),"")))</f>
        <v/>
      </c>
      <c r="S11" s="18" t="str">
        <f aca="false">IF($R11="","",$R11*10)</f>
        <v/>
      </c>
      <c r="T11" s="28" t="str">
        <f aca="false">IF(OR($Q11="",$R11=""),"",$Q11*$R11/100)</f>
        <v/>
      </c>
      <c r="U11" s="29" t="str">
        <f aca="false">IF(OR($T11="",$F11=""),"",$T11*$F11)</f>
        <v/>
      </c>
      <c r="V11" s="15" t="str">
        <f aca="false">IF($U11="","",$U11*10)</f>
        <v/>
      </c>
      <c r="W11" s="15" t="str">
        <f aca="false">IF(OR($V11="",$I11="",$J11="",$J11&lt;=$I11),"",$V11*MAX(0,MIN($J11,15)-MAX($I11,0))/($J11-$I11))</f>
        <v/>
      </c>
      <c r="X11" s="15" t="str">
        <f aca="false">IF(OR($V11="",$I11="",$J11="",$J11&lt;=$I11),"",$V11*MAX(0,MIN($J11,30)-MAX($I11,15))/($J11-$I11))</f>
        <v/>
      </c>
      <c r="Y11" s="15" t="str">
        <f aca="false">IF(OR($V11="",$I11="",$J11="",$J11&lt;=$I11),"",$V11*MAX(0,MIN($J11,50)-MAX($I11,30))/($J11-$I11))</f>
        <v/>
      </c>
      <c r="Z11" s="15" t="str">
        <f aca="false">IF(OR($V11="",$I11="",$J11="",$J11&lt;=$I11),"",$V11*MAX(0,MIN($J11,100)-MAX($I11,50))/($J11-$I11))</f>
        <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
      </c>
    </row>
    <row r="12" customFormat="false" ht="15" hidden="false" customHeight="false" outlineLevel="0" collapsed="false">
      <c r="A12" s="14"/>
      <c r="B12" s="14"/>
      <c r="C12" s="24"/>
      <c r="D12" s="24"/>
      <c r="E12" s="14"/>
      <c r="F12" s="16" t="str">
        <f aca="false">IF(OR($C12="",$D12=""),"",$D12-$C12)</f>
        <v/>
      </c>
      <c r="G12" s="25" t="str">
        <f aca="false">IF($A12="","",IFERROR(INDEX('2. Plot &amp; Core Log'!$M$6:$M$35,MATCH($A12,'2. Plot &amp; Core Log'!$B$6:$B$35,0)),""))</f>
        <v/>
      </c>
      <c r="H12" s="26" t="str">
        <f aca="false">IF($A12="","",IFERROR(INDEX('2. Plot &amp; Core Log'!$S$6:$S$35,MATCH($A12,'2. Plot &amp; Core Log'!$B$6:$B$35,0)),""))</f>
        <v/>
      </c>
      <c r="I12" s="16" t="str">
        <f aca="false">IF(OR($C12="",$G12=""),"",$C12*$G12)</f>
        <v/>
      </c>
      <c r="J12" s="16" t="str">
        <f aca="false">IF(OR($D12="",$G12=""),"",$D12*$G12)</f>
        <v/>
      </c>
      <c r="K12" s="16" t="str">
        <f aca="false">IF(OR($F12="",$H12=""),"",PI()*(($H12/2)^2)*$F12)</f>
        <v/>
      </c>
      <c r="L12" s="27"/>
      <c r="M12" s="27"/>
      <c r="N12" s="27"/>
      <c r="O12" s="27"/>
      <c r="P12" s="16" t="str">
        <f aca="false">IF(OR($L12="",$M12="",$L12=0),"",(($L12-$M12)/$L12)*100)</f>
        <v/>
      </c>
      <c r="Q12" s="15" t="str">
        <f aca="false">IF(OR($M12="",$K12="",$K12=0),"",$M12/$K12)</f>
        <v/>
      </c>
      <c r="R12" s="15" t="str">
        <f aca="false">IF(OR($N12="",$O12=""),"",IF(UPPER($O12)="OC",$N12,IF(UPPER($O12)="LOI",IF(OR(LOI_INTERCEPT="",LOI_SLOPE=""),"",IF(LOI_INTERCEPT+LOI_SLOPE*$N12&lt;0,"",LOI_INTERCEPT+LOI_SLOPE*$N12)),"")))</f>
        <v/>
      </c>
      <c r="S12" s="18" t="str">
        <f aca="false">IF($R12="","",$R12*10)</f>
        <v/>
      </c>
      <c r="T12" s="28" t="str">
        <f aca="false">IF(OR($Q12="",$R12=""),"",$Q12*$R12/100)</f>
        <v/>
      </c>
      <c r="U12" s="29" t="str">
        <f aca="false">IF(OR($T12="",$F12=""),"",$T12*$F12)</f>
        <v/>
      </c>
      <c r="V12" s="15" t="str">
        <f aca="false">IF($U12="","",$U12*10)</f>
        <v/>
      </c>
      <c r="W12" s="15" t="str">
        <f aca="false">IF(OR($V12="",$I12="",$J12="",$J12&lt;=$I12),"",$V12*MAX(0,MIN($J12,15)-MAX($I12,0))/($J12-$I12))</f>
        <v/>
      </c>
      <c r="X12" s="15" t="str">
        <f aca="false">IF(OR($V12="",$I12="",$J12="",$J12&lt;=$I12),"",$V12*MAX(0,MIN($J12,30)-MAX($I12,15))/($J12-$I12))</f>
        <v/>
      </c>
      <c r="Y12" s="15" t="str">
        <f aca="false">IF(OR($V12="",$I12="",$J12="",$J12&lt;=$I12),"",$V12*MAX(0,MIN($J12,50)-MAX($I12,30))/($J12-$I12))</f>
        <v/>
      </c>
      <c r="Z12" s="15" t="str">
        <f aca="false">IF(OR($V12="",$I12="",$J12="",$J12&lt;=$I12),"",$V12*MAX(0,MIN($J12,100)-MAX($I12,50))/($J12-$I12))</f>
        <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
      </c>
    </row>
    <row r="13" customFormat="false" ht="15" hidden="false" customHeight="false" outlineLevel="0" collapsed="false">
      <c r="A13" s="14"/>
      <c r="B13" s="14"/>
      <c r="C13" s="24"/>
      <c r="D13" s="24"/>
      <c r="E13" s="14"/>
      <c r="F13" s="16" t="str">
        <f aca="false">IF(OR($C13="",$D13=""),"",$D13-$C13)</f>
        <v/>
      </c>
      <c r="G13" s="25" t="str">
        <f aca="false">IF($A13="","",IFERROR(INDEX('2. Plot &amp; Core Log'!$M$6:$M$35,MATCH($A13,'2. Plot &amp; Core Log'!$B$6:$B$35,0)),""))</f>
        <v/>
      </c>
      <c r="H13" s="26" t="str">
        <f aca="false">IF($A13="","",IFERROR(INDEX('2. Plot &amp; Core Log'!$S$6:$S$35,MATCH($A13,'2. Plot &amp; Core Log'!$B$6:$B$35,0)),""))</f>
        <v/>
      </c>
      <c r="I13" s="16" t="str">
        <f aca="false">IF(OR($C13="",$G13=""),"",$C13*$G13)</f>
        <v/>
      </c>
      <c r="J13" s="16" t="str">
        <f aca="false">IF(OR($D13="",$G13=""),"",$D13*$G13)</f>
        <v/>
      </c>
      <c r="K13" s="16" t="str">
        <f aca="false">IF(OR($F13="",$H13=""),"",PI()*(($H13/2)^2)*$F13)</f>
        <v/>
      </c>
      <c r="L13" s="27"/>
      <c r="M13" s="27"/>
      <c r="N13" s="27"/>
      <c r="O13" s="27"/>
      <c r="P13" s="16" t="str">
        <f aca="false">IF(OR($L13="",$M13="",$L13=0),"",(($L13-$M13)/$L13)*100)</f>
        <v/>
      </c>
      <c r="Q13" s="15" t="str">
        <f aca="false">IF(OR($M13="",$K13="",$K13=0),"",$M13/$K13)</f>
        <v/>
      </c>
      <c r="R13" s="15" t="str">
        <f aca="false">IF(OR($N13="",$O13=""),"",IF(UPPER($O13)="OC",$N13,IF(UPPER($O13)="LOI",IF(OR(LOI_INTERCEPT="",LOI_SLOPE=""),"",IF(LOI_INTERCEPT+LOI_SLOPE*$N13&lt;0,"",LOI_INTERCEPT+LOI_SLOPE*$N13)),"")))</f>
        <v/>
      </c>
      <c r="S13" s="18" t="str">
        <f aca="false">IF($R13="","",$R13*10)</f>
        <v/>
      </c>
      <c r="T13" s="28" t="str">
        <f aca="false">IF(OR($Q13="",$R13=""),"",$Q13*$R13/100)</f>
        <v/>
      </c>
      <c r="U13" s="29" t="str">
        <f aca="false">IF(OR($T13="",$F13=""),"",$T13*$F13)</f>
        <v/>
      </c>
      <c r="V13" s="15" t="str">
        <f aca="false">IF($U13="","",$U13*10)</f>
        <v/>
      </c>
      <c r="W13" s="15" t="str">
        <f aca="false">IF(OR($V13="",$I13="",$J13="",$J13&lt;=$I13),"",$V13*MAX(0,MIN($J13,15)-MAX($I13,0))/($J13-$I13))</f>
        <v/>
      </c>
      <c r="X13" s="15" t="str">
        <f aca="false">IF(OR($V13="",$I13="",$J13="",$J13&lt;=$I13),"",$V13*MAX(0,MIN($J13,30)-MAX($I13,15))/($J13-$I13))</f>
        <v/>
      </c>
      <c r="Y13" s="15" t="str">
        <f aca="false">IF(OR($V13="",$I13="",$J13="",$J13&lt;=$I13),"",$V13*MAX(0,MIN($J13,50)-MAX($I13,30))/($J13-$I13))</f>
        <v/>
      </c>
      <c r="Z13" s="15" t="str">
        <f aca="false">IF(OR($V13="",$I13="",$J13="",$J13&lt;=$I13),"",$V13*MAX(0,MIN($J13,100)-MAX($I13,50))/($J13-$I13))</f>
        <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
      </c>
    </row>
    <row r="14" customFormat="false" ht="15" hidden="false" customHeight="false" outlineLevel="0" collapsed="false">
      <c r="A14" s="14"/>
      <c r="B14" s="14"/>
      <c r="C14" s="24"/>
      <c r="D14" s="24"/>
      <c r="E14" s="14"/>
      <c r="F14" s="16" t="str">
        <f aca="false">IF(OR($C14="",$D14=""),"",$D14-$C14)</f>
        <v/>
      </c>
      <c r="G14" s="25" t="str">
        <f aca="false">IF($A14="","",IFERROR(INDEX('2. Plot &amp; Core Log'!$M$6:$M$35,MATCH($A14,'2. Plot &amp; Core Log'!$B$6:$B$35,0)),""))</f>
        <v/>
      </c>
      <c r="H14" s="26" t="str">
        <f aca="false">IF($A14="","",IFERROR(INDEX('2. Plot &amp; Core Log'!$S$6:$S$35,MATCH($A14,'2. Plot &amp; Core Log'!$B$6:$B$35,0)),""))</f>
        <v/>
      </c>
      <c r="I14" s="16" t="str">
        <f aca="false">IF(OR($C14="",$G14=""),"",$C14*$G14)</f>
        <v/>
      </c>
      <c r="J14" s="16" t="str">
        <f aca="false">IF(OR($D14="",$G14=""),"",$D14*$G14)</f>
        <v/>
      </c>
      <c r="K14" s="16" t="str">
        <f aca="false">IF(OR($F14="",$H14=""),"",PI()*(($H14/2)^2)*$F14)</f>
        <v/>
      </c>
      <c r="L14" s="27"/>
      <c r="M14" s="27"/>
      <c r="N14" s="27"/>
      <c r="O14" s="27"/>
      <c r="P14" s="16" t="str">
        <f aca="false">IF(OR($L14="",$M14="",$L14=0),"",(($L14-$M14)/$L14)*100)</f>
        <v/>
      </c>
      <c r="Q14" s="15" t="str">
        <f aca="false">IF(OR($M14="",$K14="",$K14=0),"",$M14/$K14)</f>
        <v/>
      </c>
      <c r="R14" s="15" t="str">
        <f aca="false">IF(OR($N14="",$O14=""),"",IF(UPPER($O14)="OC",$N14,IF(UPPER($O14)="LOI",IF(OR(LOI_INTERCEPT="",LOI_SLOPE=""),"",IF(LOI_INTERCEPT+LOI_SLOPE*$N14&lt;0,"",LOI_INTERCEPT+LOI_SLOPE*$N14)),"")))</f>
        <v/>
      </c>
      <c r="S14" s="18" t="str">
        <f aca="false">IF($R14="","",$R14*10)</f>
        <v/>
      </c>
      <c r="T14" s="28" t="str">
        <f aca="false">IF(OR($Q14="",$R14=""),"",$Q14*$R14/100)</f>
        <v/>
      </c>
      <c r="U14" s="29" t="str">
        <f aca="false">IF(OR($T14="",$F14=""),"",$T14*$F14)</f>
        <v/>
      </c>
      <c r="V14" s="15" t="str">
        <f aca="false">IF($U14="","",$U14*10)</f>
        <v/>
      </c>
      <c r="W14" s="15" t="str">
        <f aca="false">IF(OR($V14="",$I14="",$J14="",$J14&lt;=$I14),"",$V14*MAX(0,MIN($J14,15)-MAX($I14,0))/($J14-$I14))</f>
        <v/>
      </c>
      <c r="X14" s="15" t="str">
        <f aca="false">IF(OR($V14="",$I14="",$J14="",$J14&lt;=$I14),"",$V14*MAX(0,MIN($J14,30)-MAX($I14,15))/($J14-$I14))</f>
        <v/>
      </c>
      <c r="Y14" s="15" t="str">
        <f aca="false">IF(OR($V14="",$I14="",$J14="",$J14&lt;=$I14),"",$V14*MAX(0,MIN($J14,50)-MAX($I14,30))/($J14-$I14))</f>
        <v/>
      </c>
      <c r="Z14" s="15" t="str">
        <f aca="false">IF(OR($V14="",$I14="",$J14="",$J14&lt;=$I14),"",$V14*MAX(0,MIN($J14,100)-MAX($I14,50))/($J14-$I14))</f>
        <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
      </c>
    </row>
    <row r="15" customFormat="false" ht="15" hidden="false" customHeight="false" outlineLevel="0" collapsed="false">
      <c r="A15" s="14"/>
      <c r="B15" s="14"/>
      <c r="C15" s="24"/>
      <c r="D15" s="24"/>
      <c r="E15" s="14"/>
      <c r="F15" s="16" t="str">
        <f aca="false">IF(OR($C15="",$D15=""),"",$D15-$C15)</f>
        <v/>
      </c>
      <c r="G15" s="25" t="str">
        <f aca="false">IF($A15="","",IFERROR(INDEX('2. Plot &amp; Core Log'!$M$6:$M$35,MATCH($A15,'2. Plot &amp; Core Log'!$B$6:$B$35,0)),""))</f>
        <v/>
      </c>
      <c r="H15" s="26" t="str">
        <f aca="false">IF($A15="","",IFERROR(INDEX('2. Plot &amp; Core Log'!$S$6:$S$35,MATCH($A15,'2. Plot &amp; Core Log'!$B$6:$B$35,0)),""))</f>
        <v/>
      </c>
      <c r="I15" s="16" t="str">
        <f aca="false">IF(OR($C15="",$G15=""),"",$C15*$G15)</f>
        <v/>
      </c>
      <c r="J15" s="16" t="str">
        <f aca="false">IF(OR($D15="",$G15=""),"",$D15*$G15)</f>
        <v/>
      </c>
      <c r="K15" s="16" t="str">
        <f aca="false">IF(OR($F15="",$H15=""),"",PI()*(($H15/2)^2)*$F15)</f>
        <v/>
      </c>
      <c r="L15" s="27"/>
      <c r="M15" s="27"/>
      <c r="N15" s="27"/>
      <c r="O15" s="27"/>
      <c r="P15" s="16" t="str">
        <f aca="false">IF(OR($L15="",$M15="",$L15=0),"",(($L15-$M15)/$L15)*100)</f>
        <v/>
      </c>
      <c r="Q15" s="15" t="str">
        <f aca="false">IF(OR($M15="",$K15="",$K15=0),"",$M15/$K15)</f>
        <v/>
      </c>
      <c r="R15" s="15" t="str">
        <f aca="false">IF(OR($N15="",$O15=""),"",IF(UPPER($O15)="OC",$N15,IF(UPPER($O15)="LOI",IF(OR(LOI_INTERCEPT="",LOI_SLOPE=""),"",IF(LOI_INTERCEPT+LOI_SLOPE*$N15&lt;0,"",LOI_INTERCEPT+LOI_SLOPE*$N15)),"")))</f>
        <v/>
      </c>
      <c r="S15" s="18" t="str">
        <f aca="false">IF($R15="","",$R15*10)</f>
        <v/>
      </c>
      <c r="T15" s="28" t="str">
        <f aca="false">IF(OR($Q15="",$R15=""),"",$Q15*$R15/100)</f>
        <v/>
      </c>
      <c r="U15" s="29" t="str">
        <f aca="false">IF(OR($T15="",$F15=""),"",$T15*$F15)</f>
        <v/>
      </c>
      <c r="V15" s="15" t="str">
        <f aca="false">IF($U15="","",$U15*10)</f>
        <v/>
      </c>
      <c r="W15" s="15" t="str">
        <f aca="false">IF(OR($V15="",$I15="",$J15="",$J15&lt;=$I15),"",$V15*MAX(0,MIN($J15,15)-MAX($I15,0))/($J15-$I15))</f>
        <v/>
      </c>
      <c r="X15" s="15" t="str">
        <f aca="false">IF(OR($V15="",$I15="",$J15="",$J15&lt;=$I15),"",$V15*MAX(0,MIN($J15,30)-MAX($I15,15))/($J15-$I15))</f>
        <v/>
      </c>
      <c r="Y15" s="15" t="str">
        <f aca="false">IF(OR($V15="",$I15="",$J15="",$J15&lt;=$I15),"",$V15*MAX(0,MIN($J15,50)-MAX($I15,30))/($J15-$I15))</f>
        <v/>
      </c>
      <c r="Z15" s="15" t="str">
        <f aca="false">IF(OR($V15="",$I15="",$J15="",$J15&lt;=$I15),"",$V15*MAX(0,MIN($J15,100)-MAX($I15,50))/($J15-$I15))</f>
        <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
      </c>
    </row>
    <row r="16" customFormat="false" ht="15" hidden="false" customHeight="false" outlineLevel="0" collapsed="false">
      <c r="A16" s="14"/>
      <c r="B16" s="14"/>
      <c r="C16" s="24"/>
      <c r="D16" s="24"/>
      <c r="E16" s="14"/>
      <c r="F16" s="16" t="str">
        <f aca="false">IF(OR($C16="",$D16=""),"",$D16-$C16)</f>
        <v/>
      </c>
      <c r="G16" s="25" t="str">
        <f aca="false">IF($A16="","",IFERROR(INDEX('2. Plot &amp; Core Log'!$M$6:$M$35,MATCH($A16,'2. Plot &amp; Core Log'!$B$6:$B$35,0)),""))</f>
        <v/>
      </c>
      <c r="H16" s="26" t="str">
        <f aca="false">IF($A16="","",IFERROR(INDEX('2. Plot &amp; Core Log'!$S$6:$S$35,MATCH($A16,'2. Plot &amp; Core Log'!$B$6:$B$35,0)),""))</f>
        <v/>
      </c>
      <c r="I16" s="16" t="str">
        <f aca="false">IF(OR($C16="",$G16=""),"",$C16*$G16)</f>
        <v/>
      </c>
      <c r="J16" s="16" t="str">
        <f aca="false">IF(OR($D16="",$G16=""),"",$D16*$G16)</f>
        <v/>
      </c>
      <c r="K16" s="16" t="str">
        <f aca="false">IF(OR($F16="",$H16=""),"",PI()*(($H16/2)^2)*$F16)</f>
        <v/>
      </c>
      <c r="L16" s="27"/>
      <c r="M16" s="27"/>
      <c r="N16" s="27"/>
      <c r="O16" s="27"/>
      <c r="P16" s="16" t="str">
        <f aca="false">IF(OR($L16="",$M16="",$L16=0),"",(($L16-$M16)/$L16)*100)</f>
        <v/>
      </c>
      <c r="Q16" s="15" t="str">
        <f aca="false">IF(OR($M16="",$K16="",$K16=0),"",$M16/$K16)</f>
        <v/>
      </c>
      <c r="R16" s="15" t="str">
        <f aca="false">IF(OR($N16="",$O16=""),"",IF(UPPER($O16)="OC",$N16,IF(UPPER($O16)="LOI",IF(OR(LOI_INTERCEPT="",LOI_SLOPE=""),"",IF(LOI_INTERCEPT+LOI_SLOPE*$N16&lt;0,"",LOI_INTERCEPT+LOI_SLOPE*$N16)),"")))</f>
        <v/>
      </c>
      <c r="S16" s="18" t="str">
        <f aca="false">IF($R16="","",$R16*10)</f>
        <v/>
      </c>
      <c r="T16" s="28" t="str">
        <f aca="false">IF(OR($Q16="",$R16=""),"",$Q16*$R16/100)</f>
        <v/>
      </c>
      <c r="U16" s="29" t="str">
        <f aca="false">IF(OR($T16="",$F16=""),"",$T16*$F16)</f>
        <v/>
      </c>
      <c r="V16" s="15" t="str">
        <f aca="false">IF($U16="","",$U16*10)</f>
        <v/>
      </c>
      <c r="W16" s="15" t="str">
        <f aca="false">IF(OR($V16="",$I16="",$J16="",$J16&lt;=$I16),"",$V16*MAX(0,MIN($J16,15)-MAX($I16,0))/($J16-$I16))</f>
        <v/>
      </c>
      <c r="X16" s="15" t="str">
        <f aca="false">IF(OR($V16="",$I16="",$J16="",$J16&lt;=$I16),"",$V16*MAX(0,MIN($J16,30)-MAX($I16,15))/($J16-$I16))</f>
        <v/>
      </c>
      <c r="Y16" s="15" t="str">
        <f aca="false">IF(OR($V16="",$I16="",$J16="",$J16&lt;=$I16),"",$V16*MAX(0,MIN($J16,50)-MAX($I16,30))/($J16-$I16))</f>
        <v/>
      </c>
      <c r="Z16" s="15" t="str">
        <f aca="false">IF(OR($V16="",$I16="",$J16="",$J16&lt;=$I16),"",$V16*MAX(0,MIN($J16,100)-MAX($I16,50))/($J16-$I16))</f>
        <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
      </c>
    </row>
    <row r="17" customFormat="false" ht="15" hidden="false" customHeight="false" outlineLevel="0" collapsed="false">
      <c r="A17" s="14"/>
      <c r="B17" s="14"/>
      <c r="C17" s="24"/>
      <c r="D17" s="24"/>
      <c r="E17" s="14"/>
      <c r="F17" s="16" t="str">
        <f aca="false">IF(OR($C17="",$D17=""),"",$D17-$C17)</f>
        <v/>
      </c>
      <c r="G17" s="25" t="str">
        <f aca="false">IF($A17="","",IFERROR(INDEX('2. Plot &amp; Core Log'!$M$6:$M$35,MATCH($A17,'2. Plot &amp; Core Log'!$B$6:$B$35,0)),""))</f>
        <v/>
      </c>
      <c r="H17" s="26" t="str">
        <f aca="false">IF($A17="","",IFERROR(INDEX('2. Plot &amp; Core Log'!$S$6:$S$35,MATCH($A17,'2. Plot &amp; Core Log'!$B$6:$B$35,0)),""))</f>
        <v/>
      </c>
      <c r="I17" s="16" t="str">
        <f aca="false">IF(OR($C17="",$G17=""),"",$C17*$G17)</f>
        <v/>
      </c>
      <c r="J17" s="16" t="str">
        <f aca="false">IF(OR($D17="",$G17=""),"",$D17*$G17)</f>
        <v/>
      </c>
      <c r="K17" s="16" t="str">
        <f aca="false">IF(OR($F17="",$H17=""),"",PI()*(($H17/2)^2)*$F17)</f>
        <v/>
      </c>
      <c r="L17" s="27"/>
      <c r="M17" s="27"/>
      <c r="N17" s="27"/>
      <c r="O17" s="27"/>
      <c r="P17" s="16" t="str">
        <f aca="false">IF(OR($L17="",$M17="",$L17=0),"",(($L17-$M17)/$L17)*100)</f>
        <v/>
      </c>
      <c r="Q17" s="15" t="str">
        <f aca="false">IF(OR($M17="",$K17="",$K17=0),"",$M17/$K17)</f>
        <v/>
      </c>
      <c r="R17" s="15" t="str">
        <f aca="false">IF(OR($N17="",$O17=""),"",IF(UPPER($O17)="OC",$N17,IF(UPPER($O17)="LOI",IF(OR(LOI_INTERCEPT="",LOI_SLOPE=""),"",IF(LOI_INTERCEPT+LOI_SLOPE*$N17&lt;0,"",LOI_INTERCEPT+LOI_SLOPE*$N17)),"")))</f>
        <v/>
      </c>
      <c r="S17" s="18" t="str">
        <f aca="false">IF($R17="","",$R17*10)</f>
        <v/>
      </c>
      <c r="T17" s="28" t="str">
        <f aca="false">IF(OR($Q17="",$R17=""),"",$Q17*$R17/100)</f>
        <v/>
      </c>
      <c r="U17" s="29" t="str">
        <f aca="false">IF(OR($T17="",$F17=""),"",$T17*$F17)</f>
        <v/>
      </c>
      <c r="V17" s="15" t="str">
        <f aca="false">IF($U17="","",$U17*10)</f>
        <v/>
      </c>
      <c r="W17" s="15" t="str">
        <f aca="false">IF(OR($V17="",$I17="",$J17="",$J17&lt;=$I17),"",$V17*MAX(0,MIN($J17,15)-MAX($I17,0))/($J17-$I17))</f>
        <v/>
      </c>
      <c r="X17" s="15" t="str">
        <f aca="false">IF(OR($V17="",$I17="",$J17="",$J17&lt;=$I17),"",$V17*MAX(0,MIN($J17,30)-MAX($I17,15))/($J17-$I17))</f>
        <v/>
      </c>
      <c r="Y17" s="15" t="str">
        <f aca="false">IF(OR($V17="",$I17="",$J17="",$J17&lt;=$I17),"",$V17*MAX(0,MIN($J17,50)-MAX($I17,30))/($J17-$I17))</f>
        <v/>
      </c>
      <c r="Z17" s="15" t="str">
        <f aca="false">IF(OR($V17="",$I17="",$J17="",$J17&lt;=$I17),"",$V17*MAX(0,MIN($J17,100)-MAX($I17,50))/($J17-$I17))</f>
        <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
      </c>
    </row>
    <row r="18" customFormat="false" ht="15" hidden="false" customHeight="false" outlineLevel="0" collapsed="false">
      <c r="A18" s="14"/>
      <c r="B18" s="14"/>
      <c r="C18" s="24"/>
      <c r="D18" s="24"/>
      <c r="E18" s="14"/>
      <c r="F18" s="16" t="str">
        <f aca="false">IF(OR($C18="",$D18=""),"",$D18-$C18)</f>
        <v/>
      </c>
      <c r="G18" s="25" t="str">
        <f aca="false">IF($A18="","",IFERROR(INDEX('2. Plot &amp; Core Log'!$M$6:$M$35,MATCH($A18,'2. Plot &amp; Core Log'!$B$6:$B$35,0)),""))</f>
        <v/>
      </c>
      <c r="H18" s="26" t="str">
        <f aca="false">IF($A18="","",IFERROR(INDEX('2. Plot &amp; Core Log'!$S$6:$S$35,MATCH($A18,'2. Plot &amp; Core Log'!$B$6:$B$35,0)),""))</f>
        <v/>
      </c>
      <c r="I18" s="16" t="str">
        <f aca="false">IF(OR($C18="",$G18=""),"",$C18*$G18)</f>
        <v/>
      </c>
      <c r="J18" s="16" t="str">
        <f aca="false">IF(OR($D18="",$G18=""),"",$D18*$G18)</f>
        <v/>
      </c>
      <c r="K18" s="16" t="str">
        <f aca="false">IF(OR($F18="",$H18=""),"",PI()*(($H18/2)^2)*$F18)</f>
        <v/>
      </c>
      <c r="L18" s="27"/>
      <c r="M18" s="27"/>
      <c r="N18" s="27"/>
      <c r="O18" s="27"/>
      <c r="P18" s="16" t="str">
        <f aca="false">IF(OR($L18="",$M18="",$L18=0),"",(($L18-$M18)/$L18)*100)</f>
        <v/>
      </c>
      <c r="Q18" s="15" t="str">
        <f aca="false">IF(OR($M18="",$K18="",$K18=0),"",$M18/$K18)</f>
        <v/>
      </c>
      <c r="R18" s="15" t="str">
        <f aca="false">IF(OR($N18="",$O18=""),"",IF(UPPER($O18)="OC",$N18,IF(UPPER($O18)="LOI",IF(OR(LOI_INTERCEPT="",LOI_SLOPE=""),"",IF(LOI_INTERCEPT+LOI_SLOPE*$N18&lt;0,"",LOI_INTERCEPT+LOI_SLOPE*$N18)),"")))</f>
        <v/>
      </c>
      <c r="S18" s="18" t="str">
        <f aca="false">IF($R18="","",$R18*10)</f>
        <v/>
      </c>
      <c r="T18" s="28" t="str">
        <f aca="false">IF(OR($Q18="",$R18=""),"",$Q18*$R18/100)</f>
        <v/>
      </c>
      <c r="U18" s="29" t="str">
        <f aca="false">IF(OR($T18="",$F18=""),"",$T18*$F18)</f>
        <v/>
      </c>
      <c r="V18" s="15" t="str">
        <f aca="false">IF($U18="","",$U18*10)</f>
        <v/>
      </c>
      <c r="W18" s="15" t="str">
        <f aca="false">IF(OR($V18="",$I18="",$J18="",$J18&lt;=$I18),"",$V18*MAX(0,MIN($J18,15)-MAX($I18,0))/($J18-$I18))</f>
        <v/>
      </c>
      <c r="X18" s="15" t="str">
        <f aca="false">IF(OR($V18="",$I18="",$J18="",$J18&lt;=$I18),"",$V18*MAX(0,MIN($J18,30)-MAX($I18,15))/($J18-$I18))</f>
        <v/>
      </c>
      <c r="Y18" s="15" t="str">
        <f aca="false">IF(OR($V18="",$I18="",$J18="",$J18&lt;=$I18),"",$V18*MAX(0,MIN($J18,50)-MAX($I18,30))/($J18-$I18))</f>
        <v/>
      </c>
      <c r="Z18" s="15" t="str">
        <f aca="false">IF(OR($V18="",$I18="",$J18="",$J18&lt;=$I18),"",$V18*MAX(0,MIN($J18,100)-MAX($I18,50))/($J18-$I18))</f>
        <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
      </c>
    </row>
    <row r="19" customFormat="false" ht="15" hidden="false" customHeight="false" outlineLevel="0" collapsed="false">
      <c r="A19" s="14"/>
      <c r="B19" s="14"/>
      <c r="C19" s="24"/>
      <c r="D19" s="24"/>
      <c r="E19" s="14"/>
      <c r="F19" s="16" t="str">
        <f aca="false">IF(OR($C19="",$D19=""),"",$D19-$C19)</f>
        <v/>
      </c>
      <c r="G19" s="25" t="str">
        <f aca="false">IF($A19="","",IFERROR(INDEX('2. Plot &amp; Core Log'!$M$6:$M$35,MATCH($A19,'2. Plot &amp; Core Log'!$B$6:$B$35,0)),""))</f>
        <v/>
      </c>
      <c r="H19" s="26" t="str">
        <f aca="false">IF($A19="","",IFERROR(INDEX('2. Plot &amp; Core Log'!$S$6:$S$35,MATCH($A19,'2. Plot &amp; Core Log'!$B$6:$B$35,0)),""))</f>
        <v/>
      </c>
      <c r="I19" s="16" t="str">
        <f aca="false">IF(OR($C19="",$G19=""),"",$C19*$G19)</f>
        <v/>
      </c>
      <c r="J19" s="16" t="str">
        <f aca="false">IF(OR($D19="",$G19=""),"",$D19*$G19)</f>
        <v/>
      </c>
      <c r="K19" s="16" t="str">
        <f aca="false">IF(OR($F19="",$H19=""),"",PI()*(($H19/2)^2)*$F19)</f>
        <v/>
      </c>
      <c r="L19" s="27"/>
      <c r="M19" s="27"/>
      <c r="N19" s="27"/>
      <c r="O19" s="27"/>
      <c r="P19" s="16" t="str">
        <f aca="false">IF(OR($L19="",$M19="",$L19=0),"",(($L19-$M19)/$L19)*100)</f>
        <v/>
      </c>
      <c r="Q19" s="15" t="str">
        <f aca="false">IF(OR($M19="",$K19="",$K19=0),"",$M19/$K19)</f>
        <v/>
      </c>
      <c r="R19" s="15" t="str">
        <f aca="false">IF(OR($N19="",$O19=""),"",IF(UPPER($O19)="OC",$N19,IF(UPPER($O19)="LOI",IF(OR(LOI_INTERCEPT="",LOI_SLOPE=""),"",IF(LOI_INTERCEPT+LOI_SLOPE*$N19&lt;0,"",LOI_INTERCEPT+LOI_SLOPE*$N19)),"")))</f>
        <v/>
      </c>
      <c r="S19" s="18" t="str">
        <f aca="false">IF($R19="","",$R19*10)</f>
        <v/>
      </c>
      <c r="T19" s="28" t="str">
        <f aca="false">IF(OR($Q19="",$R19=""),"",$Q19*$R19/100)</f>
        <v/>
      </c>
      <c r="U19" s="29" t="str">
        <f aca="false">IF(OR($T19="",$F19=""),"",$T19*$F19)</f>
        <v/>
      </c>
      <c r="V19" s="15" t="str">
        <f aca="false">IF($U19="","",$U19*10)</f>
        <v/>
      </c>
      <c r="W19" s="15" t="str">
        <f aca="false">IF(OR($V19="",$I19="",$J19="",$J19&lt;=$I19),"",$V19*MAX(0,MIN($J19,15)-MAX($I19,0))/($J19-$I19))</f>
        <v/>
      </c>
      <c r="X19" s="15" t="str">
        <f aca="false">IF(OR($V19="",$I19="",$J19="",$J19&lt;=$I19),"",$V19*MAX(0,MIN($J19,30)-MAX($I19,15))/($J19-$I19))</f>
        <v/>
      </c>
      <c r="Y19" s="15" t="str">
        <f aca="false">IF(OR($V19="",$I19="",$J19="",$J19&lt;=$I19),"",$V19*MAX(0,MIN($J19,50)-MAX($I19,30))/($J19-$I19))</f>
        <v/>
      </c>
      <c r="Z19" s="15" t="str">
        <f aca="false">IF(OR($V19="",$I19="",$J19="",$J19&lt;=$I19),"",$V19*MAX(0,MIN($J19,100)-MAX($I19,50))/($J19-$I19))</f>
        <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
      </c>
    </row>
    <row r="20" customFormat="false" ht="15" hidden="false" customHeight="false" outlineLevel="0" collapsed="false">
      <c r="A20" s="14"/>
      <c r="B20" s="14"/>
      <c r="C20" s="24"/>
      <c r="D20" s="24"/>
      <c r="E20" s="14"/>
      <c r="F20" s="16" t="str">
        <f aca="false">IF(OR($C20="",$D20=""),"",$D20-$C20)</f>
        <v/>
      </c>
      <c r="G20" s="25" t="str">
        <f aca="false">IF($A20="","",IFERROR(INDEX('2. Plot &amp; Core Log'!$M$6:$M$35,MATCH($A20,'2. Plot &amp; Core Log'!$B$6:$B$35,0)),""))</f>
        <v/>
      </c>
      <c r="H20" s="26" t="str">
        <f aca="false">IF($A20="","",IFERROR(INDEX('2. Plot &amp; Core Log'!$S$6:$S$35,MATCH($A20,'2. Plot &amp; Core Log'!$B$6:$B$35,0)),""))</f>
        <v/>
      </c>
      <c r="I20" s="16" t="str">
        <f aca="false">IF(OR($C20="",$G20=""),"",$C20*$G20)</f>
        <v/>
      </c>
      <c r="J20" s="16" t="str">
        <f aca="false">IF(OR($D20="",$G20=""),"",$D20*$G20)</f>
        <v/>
      </c>
      <c r="K20" s="16" t="str">
        <f aca="false">IF(OR($F20="",$H20=""),"",PI()*(($H20/2)^2)*$F20)</f>
        <v/>
      </c>
      <c r="L20" s="27"/>
      <c r="M20" s="27"/>
      <c r="N20" s="27"/>
      <c r="O20" s="27"/>
      <c r="P20" s="16" t="str">
        <f aca="false">IF(OR($L20="",$M20="",$L20=0),"",(($L20-$M20)/$L20)*100)</f>
        <v/>
      </c>
      <c r="Q20" s="15" t="str">
        <f aca="false">IF(OR($M20="",$K20="",$K20=0),"",$M20/$K20)</f>
        <v/>
      </c>
      <c r="R20" s="15" t="str">
        <f aca="false">IF(OR($N20="",$O20=""),"",IF(UPPER($O20)="OC",$N20,IF(UPPER($O20)="LOI",IF(OR(LOI_INTERCEPT="",LOI_SLOPE=""),"",IF(LOI_INTERCEPT+LOI_SLOPE*$N20&lt;0,"",LOI_INTERCEPT+LOI_SLOPE*$N20)),"")))</f>
        <v/>
      </c>
      <c r="S20" s="18" t="str">
        <f aca="false">IF($R20="","",$R20*10)</f>
        <v/>
      </c>
      <c r="T20" s="28" t="str">
        <f aca="false">IF(OR($Q20="",$R20=""),"",$Q20*$R20/100)</f>
        <v/>
      </c>
      <c r="U20" s="29" t="str">
        <f aca="false">IF(OR($T20="",$F20=""),"",$T20*$F20)</f>
        <v/>
      </c>
      <c r="V20" s="15" t="str">
        <f aca="false">IF($U20="","",$U20*10)</f>
        <v/>
      </c>
      <c r="W20" s="15" t="str">
        <f aca="false">IF(OR($V20="",$I20="",$J20="",$J20&lt;=$I20),"",$V20*MAX(0,MIN($J20,15)-MAX($I20,0))/($J20-$I20))</f>
        <v/>
      </c>
      <c r="X20" s="15" t="str">
        <f aca="false">IF(OR($V20="",$I20="",$J20="",$J20&lt;=$I20),"",$V20*MAX(0,MIN($J20,30)-MAX($I20,15))/($J20-$I20))</f>
        <v/>
      </c>
      <c r="Y20" s="15" t="str">
        <f aca="false">IF(OR($V20="",$I20="",$J20="",$J20&lt;=$I20),"",$V20*MAX(0,MIN($J20,50)-MAX($I20,30))/($J20-$I20))</f>
        <v/>
      </c>
      <c r="Z20" s="15" t="str">
        <f aca="false">IF(OR($V20="",$I20="",$J20="",$J20&lt;=$I20),"",$V20*MAX(0,MIN($J20,100)-MAX($I20,50))/($J20-$I20))</f>
        <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
      </c>
    </row>
    <row r="21" customFormat="false" ht="15.75" hidden="false" customHeight="true" outlineLevel="0" collapsed="false">
      <c r="A21" s="14"/>
      <c r="B21" s="14"/>
      <c r="C21" s="24"/>
      <c r="D21" s="24"/>
      <c r="E21" s="14"/>
      <c r="F21" s="16" t="str">
        <f aca="false">IF(OR($C21="",$D21=""),"",$D21-$C21)</f>
        <v/>
      </c>
      <c r="G21" s="25" t="str">
        <f aca="false">IF($A21="","",IFERROR(INDEX('2. Plot &amp; Core Log'!$M$6:$M$35,MATCH($A21,'2. Plot &amp; Core Log'!$B$6:$B$35,0)),""))</f>
        <v/>
      </c>
      <c r="H21" s="26" t="str">
        <f aca="false">IF($A21="","",IFERROR(INDEX('2. Plot &amp; Core Log'!$S$6:$S$35,MATCH($A21,'2. Plot &amp; Core Log'!$B$6:$B$35,0)),""))</f>
        <v/>
      </c>
      <c r="I21" s="16" t="str">
        <f aca="false">IF(OR($C21="",$G21=""),"",$C21*$G21)</f>
        <v/>
      </c>
      <c r="J21" s="16" t="str">
        <f aca="false">IF(OR($D21="",$G21=""),"",$D21*$G21)</f>
        <v/>
      </c>
      <c r="K21" s="16" t="str">
        <f aca="false">IF(OR($F21="",$H21=""),"",PI()*(($H21/2)^2)*$F21)</f>
        <v/>
      </c>
      <c r="L21" s="27"/>
      <c r="M21" s="27"/>
      <c r="N21" s="27"/>
      <c r="O21" s="27"/>
      <c r="P21" s="16" t="str">
        <f aca="false">IF(OR($L21="",$M21="",$L21=0),"",(($L21-$M21)/$L21)*100)</f>
        <v/>
      </c>
      <c r="Q21" s="15" t="str">
        <f aca="false">IF(OR($M21="",$K21="",$K21=0),"",$M21/$K21)</f>
        <v/>
      </c>
      <c r="R21" s="15" t="str">
        <f aca="false">IF(OR($N21="",$O21=""),"",IF(UPPER($O21)="OC",$N21,IF(UPPER($O21)="LOI",IF(OR(LOI_INTERCEPT="",LOI_SLOPE=""),"",IF(LOI_INTERCEPT+LOI_SLOPE*$N21&lt;0,"",LOI_INTERCEPT+LOI_SLOPE*$N21)),"")))</f>
        <v/>
      </c>
      <c r="S21" s="18" t="str">
        <f aca="false">IF($R21="","",$R21*10)</f>
        <v/>
      </c>
      <c r="T21" s="28" t="str">
        <f aca="false">IF(OR($Q21="",$R21=""),"",$Q21*$R21/100)</f>
        <v/>
      </c>
      <c r="U21" s="29" t="str">
        <f aca="false">IF(OR($T21="",$F21=""),"",$T21*$F21)</f>
        <v/>
      </c>
      <c r="V21" s="15" t="str">
        <f aca="false">IF($U21="","",$U21*10)</f>
        <v/>
      </c>
      <c r="W21" s="15" t="str">
        <f aca="false">IF(OR($V21="",$I21="",$J21="",$J21&lt;=$I21),"",$V21*MAX(0,MIN($J21,15)-MAX($I21,0))/($J21-$I21))</f>
        <v/>
      </c>
      <c r="X21" s="15" t="str">
        <f aca="false">IF(OR($V21="",$I21="",$J21="",$J21&lt;=$I21),"",$V21*MAX(0,MIN($J21,30)-MAX($I21,15))/($J21-$I21))</f>
        <v/>
      </c>
      <c r="Y21" s="15" t="str">
        <f aca="false">IF(OR($V21="",$I21="",$J21="",$J21&lt;=$I21),"",$V21*MAX(0,MIN($J21,50)-MAX($I21,30))/($J21-$I21))</f>
        <v/>
      </c>
      <c r="Z21" s="15" t="str">
        <f aca="false">IF(OR($V21="",$I21="",$J21="",$J21&lt;=$I21),"",$V21*MAX(0,MIN($J21,100)-MAX($I21,50))/($J21-$I21))</f>
        <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
      </c>
    </row>
    <row r="22" customFormat="false" ht="15.75" hidden="false" customHeight="true" outlineLevel="0" collapsed="false">
      <c r="A22" s="14"/>
      <c r="B22" s="14"/>
      <c r="C22" s="24"/>
      <c r="D22" s="24"/>
      <c r="E22" s="14"/>
      <c r="F22" s="16" t="str">
        <f aca="false">IF(OR($C22="",$D22=""),"",$D22-$C22)</f>
        <v/>
      </c>
      <c r="G22" s="25" t="str">
        <f aca="false">IF($A22="","",IFERROR(INDEX('2. Plot &amp; Core Log'!$M$6:$M$35,MATCH($A22,'2. Plot &amp; Core Log'!$B$6:$B$35,0)),""))</f>
        <v/>
      </c>
      <c r="H22" s="26" t="str">
        <f aca="false">IF($A22="","",IFERROR(INDEX('2. Plot &amp; Core Log'!$S$6:$S$35,MATCH($A22,'2. Plot &amp; Core Log'!$B$6:$B$35,0)),""))</f>
        <v/>
      </c>
      <c r="I22" s="16" t="str">
        <f aca="false">IF(OR($C22="",$G22=""),"",$C22*$G22)</f>
        <v/>
      </c>
      <c r="J22" s="16" t="str">
        <f aca="false">IF(OR($D22="",$G22=""),"",$D22*$G22)</f>
        <v/>
      </c>
      <c r="K22" s="16" t="str">
        <f aca="false">IF(OR($F22="",$H22=""),"",PI()*(($H22/2)^2)*$F22)</f>
        <v/>
      </c>
      <c r="L22" s="27"/>
      <c r="M22" s="27"/>
      <c r="N22" s="27"/>
      <c r="O22" s="27"/>
      <c r="P22" s="16" t="str">
        <f aca="false">IF(OR($L22="",$M22="",$L22=0),"",(($L22-$M22)/$L22)*100)</f>
        <v/>
      </c>
      <c r="Q22" s="15" t="str">
        <f aca="false">IF(OR($M22="",$K22="",$K22=0),"",$M22/$K22)</f>
        <v/>
      </c>
      <c r="R22" s="15" t="str">
        <f aca="false">IF(OR($N22="",$O22=""),"",IF(UPPER($O22)="OC",$N22,IF(UPPER($O22)="LOI",IF(OR(LOI_INTERCEPT="",LOI_SLOPE=""),"",IF(LOI_INTERCEPT+LOI_SLOPE*$N22&lt;0,"",LOI_INTERCEPT+LOI_SLOPE*$N22)),"")))</f>
        <v/>
      </c>
      <c r="S22" s="18" t="str">
        <f aca="false">IF($R22="","",$R22*10)</f>
        <v/>
      </c>
      <c r="T22" s="28" t="str">
        <f aca="false">IF(OR($Q22="",$R22=""),"",$Q22*$R22/100)</f>
        <v/>
      </c>
      <c r="U22" s="29" t="str">
        <f aca="false">IF(OR($T22="",$F22=""),"",$T22*$F22)</f>
        <v/>
      </c>
      <c r="V22" s="15" t="str">
        <f aca="false">IF($U22="","",$U22*10)</f>
        <v/>
      </c>
      <c r="W22" s="15" t="str">
        <f aca="false">IF(OR($V22="",$I22="",$J22="",$J22&lt;=$I22),"",$V22*MAX(0,MIN($J22,15)-MAX($I22,0))/($J22-$I22))</f>
        <v/>
      </c>
      <c r="X22" s="15" t="str">
        <f aca="false">IF(OR($V22="",$I22="",$J22="",$J22&lt;=$I22),"",$V22*MAX(0,MIN($J22,30)-MAX($I22,15))/($J22-$I22))</f>
        <v/>
      </c>
      <c r="Y22" s="15" t="str">
        <f aca="false">IF(OR($V22="",$I22="",$J22="",$J22&lt;=$I22),"",$V22*MAX(0,MIN($J22,50)-MAX($I22,30))/($J22-$I22))</f>
        <v/>
      </c>
      <c r="Z22" s="15" t="str">
        <f aca="false">IF(OR($V22="",$I22="",$J22="",$J22&lt;=$I22),"",$V22*MAX(0,MIN($J22,100)-MAX($I22,50))/($J22-$I22))</f>
        <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
      </c>
    </row>
    <row r="23" customFormat="false" ht="15.75" hidden="false" customHeight="true" outlineLevel="0" collapsed="false">
      <c r="A23" s="14"/>
      <c r="B23" s="14"/>
      <c r="C23" s="24"/>
      <c r="D23" s="24"/>
      <c r="E23" s="14"/>
      <c r="F23" s="16" t="str">
        <f aca="false">IF(OR($C23="",$D23=""),"",$D23-$C23)</f>
        <v/>
      </c>
      <c r="G23" s="25" t="str">
        <f aca="false">IF($A23="","",IFERROR(INDEX('2. Plot &amp; Core Log'!$M$6:$M$35,MATCH($A23,'2. Plot &amp; Core Log'!$B$6:$B$35,0)),""))</f>
        <v/>
      </c>
      <c r="H23" s="26" t="str">
        <f aca="false">IF($A23="","",IFERROR(INDEX('2. Plot &amp; Core Log'!$S$6:$S$35,MATCH($A23,'2. Plot &amp; Core Log'!$B$6:$B$35,0)),""))</f>
        <v/>
      </c>
      <c r="I23" s="16" t="str">
        <f aca="false">IF(OR($C23="",$G23=""),"",$C23*$G23)</f>
        <v/>
      </c>
      <c r="J23" s="16" t="str">
        <f aca="false">IF(OR($D23="",$G23=""),"",$D23*$G23)</f>
        <v/>
      </c>
      <c r="K23" s="16" t="str">
        <f aca="false">IF(OR($F23="",$H23=""),"",PI()*(($H23/2)^2)*$F23)</f>
        <v/>
      </c>
      <c r="L23" s="27"/>
      <c r="M23" s="27"/>
      <c r="N23" s="27"/>
      <c r="O23" s="27"/>
      <c r="P23" s="16" t="str">
        <f aca="false">IF(OR($L23="",$M23="",$L23=0),"",(($L23-$M23)/$L23)*100)</f>
        <v/>
      </c>
      <c r="Q23" s="15" t="str">
        <f aca="false">IF(OR($M23="",$K23="",$K23=0),"",$M23/$K23)</f>
        <v/>
      </c>
      <c r="R23" s="15" t="str">
        <f aca="false">IF(OR($N23="",$O23=""),"",IF(UPPER($O23)="OC",$N23,IF(UPPER($O23)="LOI",IF(OR(LOI_INTERCEPT="",LOI_SLOPE=""),"",IF(LOI_INTERCEPT+LOI_SLOPE*$N23&lt;0,"",LOI_INTERCEPT+LOI_SLOPE*$N23)),"")))</f>
        <v/>
      </c>
      <c r="S23" s="18" t="str">
        <f aca="false">IF($R23="","",$R23*10)</f>
        <v/>
      </c>
      <c r="T23" s="28" t="str">
        <f aca="false">IF(OR($Q23="",$R23=""),"",$Q23*$R23/100)</f>
        <v/>
      </c>
      <c r="U23" s="29" t="str">
        <f aca="false">IF(OR($T23="",$F23=""),"",$T23*$F23)</f>
        <v/>
      </c>
      <c r="V23" s="15" t="str">
        <f aca="false">IF($U23="","",$U23*10)</f>
        <v/>
      </c>
      <c r="W23" s="15" t="str">
        <f aca="false">IF(OR($V23="",$I23="",$J23="",$J23&lt;=$I23),"",$V23*MAX(0,MIN($J23,15)-MAX($I23,0))/($J23-$I23))</f>
        <v/>
      </c>
      <c r="X23" s="15" t="str">
        <f aca="false">IF(OR($V23="",$I23="",$J23="",$J23&lt;=$I23),"",$V23*MAX(0,MIN($J23,30)-MAX($I23,15))/($J23-$I23))</f>
        <v/>
      </c>
      <c r="Y23" s="15" t="str">
        <f aca="false">IF(OR($V23="",$I23="",$J23="",$J23&lt;=$I23),"",$V23*MAX(0,MIN($J23,50)-MAX($I23,30))/($J23-$I23))</f>
        <v/>
      </c>
      <c r="Z23" s="15" t="str">
        <f aca="false">IF(OR($V23="",$I23="",$J23="",$J23&lt;=$I23),"",$V23*MAX(0,MIN($J23,100)-MAX($I23,50))/($J23-$I23))</f>
        <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
      </c>
    </row>
    <row r="24" customFormat="false" ht="15.75" hidden="false" customHeight="true" outlineLevel="0" collapsed="false">
      <c r="A24" s="14"/>
      <c r="B24" s="14"/>
      <c r="C24" s="24"/>
      <c r="D24" s="24"/>
      <c r="E24" s="14"/>
      <c r="F24" s="16" t="str">
        <f aca="false">IF(OR($C24="",$D24=""),"",$D24-$C24)</f>
        <v/>
      </c>
      <c r="G24" s="25" t="str">
        <f aca="false">IF($A24="","",IFERROR(INDEX('2. Plot &amp; Core Log'!$M$6:$M$35,MATCH($A24,'2. Plot &amp; Core Log'!$B$6:$B$35,0)),""))</f>
        <v/>
      </c>
      <c r="H24" s="26" t="str">
        <f aca="false">IF($A24="","",IFERROR(INDEX('2. Plot &amp; Core Log'!$S$6:$S$35,MATCH($A24,'2. Plot &amp; Core Log'!$B$6:$B$35,0)),""))</f>
        <v/>
      </c>
      <c r="I24" s="16" t="str">
        <f aca="false">IF(OR($C24="",$G24=""),"",$C24*$G24)</f>
        <v/>
      </c>
      <c r="J24" s="16" t="str">
        <f aca="false">IF(OR($D24="",$G24=""),"",$D24*$G24)</f>
        <v/>
      </c>
      <c r="K24" s="16" t="str">
        <f aca="false">IF(OR($F24="",$H24=""),"",PI()*(($H24/2)^2)*$F24)</f>
        <v/>
      </c>
      <c r="L24" s="27"/>
      <c r="M24" s="27"/>
      <c r="N24" s="27"/>
      <c r="O24" s="27"/>
      <c r="P24" s="16" t="str">
        <f aca="false">IF(OR($L24="",$M24="",$L24=0),"",(($L24-$M24)/$L24)*100)</f>
        <v/>
      </c>
      <c r="Q24" s="15" t="str">
        <f aca="false">IF(OR($M24="",$K24="",$K24=0),"",$M24/$K24)</f>
        <v/>
      </c>
      <c r="R24" s="15" t="str">
        <f aca="false">IF(OR($N24="",$O24=""),"",IF(UPPER($O24)="OC",$N24,IF(UPPER($O24)="LOI",IF(OR(LOI_INTERCEPT="",LOI_SLOPE=""),"",IF(LOI_INTERCEPT+LOI_SLOPE*$N24&lt;0,"",LOI_INTERCEPT+LOI_SLOPE*$N24)),"")))</f>
        <v/>
      </c>
      <c r="S24" s="18" t="str">
        <f aca="false">IF($R24="","",$R24*10)</f>
        <v/>
      </c>
      <c r="T24" s="28" t="str">
        <f aca="false">IF(OR($Q24="",$R24=""),"",$Q24*$R24/100)</f>
        <v/>
      </c>
      <c r="U24" s="29" t="str">
        <f aca="false">IF(OR($T24="",$F24=""),"",$T24*$F24)</f>
        <v/>
      </c>
      <c r="V24" s="15" t="str">
        <f aca="false">IF($U24="","",$U24*10)</f>
        <v/>
      </c>
      <c r="W24" s="15" t="str">
        <f aca="false">IF(OR($V24="",$I24="",$J24="",$J24&lt;=$I24),"",$V24*MAX(0,MIN($J24,15)-MAX($I24,0))/($J24-$I24))</f>
        <v/>
      </c>
      <c r="X24" s="15" t="str">
        <f aca="false">IF(OR($V24="",$I24="",$J24="",$J24&lt;=$I24),"",$V24*MAX(0,MIN($J24,30)-MAX($I24,15))/($J24-$I24))</f>
        <v/>
      </c>
      <c r="Y24" s="15" t="str">
        <f aca="false">IF(OR($V24="",$I24="",$J24="",$J24&lt;=$I24),"",$V24*MAX(0,MIN($J24,50)-MAX($I24,30))/($J24-$I24))</f>
        <v/>
      </c>
      <c r="Z24" s="15" t="str">
        <f aca="false">IF(OR($V24="",$I24="",$J24="",$J24&lt;=$I24),"",$V24*MAX(0,MIN($J24,100)-MAX($I24,50))/($J24-$I24))</f>
        <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
      </c>
    </row>
    <row r="25" customFormat="false" ht="15.75" hidden="false" customHeight="true" outlineLevel="0" collapsed="false">
      <c r="A25" s="14"/>
      <c r="B25" s="14"/>
      <c r="C25" s="24"/>
      <c r="D25" s="24"/>
      <c r="E25" s="14"/>
      <c r="F25" s="16" t="str">
        <f aca="false">IF(OR($C25="",$D25=""),"",$D25-$C25)</f>
        <v/>
      </c>
      <c r="G25" s="25" t="str">
        <f aca="false">IF($A25="","",IFERROR(INDEX('2. Plot &amp; Core Log'!$M$6:$M$35,MATCH($A25,'2. Plot &amp; Core Log'!$B$6:$B$35,0)),""))</f>
        <v/>
      </c>
      <c r="H25" s="26" t="str">
        <f aca="false">IF($A25="","",IFERROR(INDEX('2. Plot &amp; Core Log'!$S$6:$S$35,MATCH($A25,'2. Plot &amp; Core Log'!$B$6:$B$35,0)),""))</f>
        <v/>
      </c>
      <c r="I25" s="16" t="str">
        <f aca="false">IF(OR($C25="",$G25=""),"",$C25*$G25)</f>
        <v/>
      </c>
      <c r="J25" s="16" t="str">
        <f aca="false">IF(OR($D25="",$G25=""),"",$D25*$G25)</f>
        <v/>
      </c>
      <c r="K25" s="16" t="str">
        <f aca="false">IF(OR($F25="",$H25=""),"",PI()*(($H25/2)^2)*$F25)</f>
        <v/>
      </c>
      <c r="L25" s="27"/>
      <c r="M25" s="27"/>
      <c r="N25" s="27"/>
      <c r="O25" s="27"/>
      <c r="P25" s="16" t="str">
        <f aca="false">IF(OR($L25="",$M25="",$L25=0),"",(($L25-$M25)/$L25)*100)</f>
        <v/>
      </c>
      <c r="Q25" s="15" t="str">
        <f aca="false">IF(OR($M25="",$K25="",$K25=0),"",$M25/$K25)</f>
        <v/>
      </c>
      <c r="R25" s="15" t="str">
        <f aca="false">IF(OR($N25="",$O25=""),"",IF(UPPER($O25)="OC",$N25,IF(UPPER($O25)="LOI",IF(OR(LOI_INTERCEPT="",LOI_SLOPE=""),"",IF(LOI_INTERCEPT+LOI_SLOPE*$N25&lt;0,"",LOI_INTERCEPT+LOI_SLOPE*$N25)),"")))</f>
        <v/>
      </c>
      <c r="S25" s="18" t="str">
        <f aca="false">IF($R25="","",$R25*10)</f>
        <v/>
      </c>
      <c r="T25" s="28" t="str">
        <f aca="false">IF(OR($Q25="",$R25=""),"",$Q25*$R25/100)</f>
        <v/>
      </c>
      <c r="U25" s="29" t="str">
        <f aca="false">IF(OR($T25="",$F25=""),"",$T25*$F25)</f>
        <v/>
      </c>
      <c r="V25" s="15" t="str">
        <f aca="false">IF($U25="","",$U25*10)</f>
        <v/>
      </c>
      <c r="W25" s="15" t="str">
        <f aca="false">IF(OR($V25="",$I25="",$J25="",$J25&lt;=$I25),"",$V25*MAX(0,MIN($J25,15)-MAX($I25,0))/($J25-$I25))</f>
        <v/>
      </c>
      <c r="X25" s="15" t="str">
        <f aca="false">IF(OR($V25="",$I25="",$J25="",$J25&lt;=$I25),"",$V25*MAX(0,MIN($J25,30)-MAX($I25,15))/($J25-$I25))</f>
        <v/>
      </c>
      <c r="Y25" s="15" t="str">
        <f aca="false">IF(OR($V25="",$I25="",$J25="",$J25&lt;=$I25),"",$V25*MAX(0,MIN($J25,50)-MAX($I25,30))/($J25-$I25))</f>
        <v/>
      </c>
      <c r="Z25" s="15" t="str">
        <f aca="false">IF(OR($V25="",$I25="",$J25="",$J25&lt;=$I25),"",$V25*MAX(0,MIN($J25,100)-MAX($I25,50))/($J25-$I25))</f>
        <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
      </c>
    </row>
    <row r="26" customFormat="false" ht="15.75" hidden="false" customHeight="true" outlineLevel="0" collapsed="false">
      <c r="A26" s="14"/>
      <c r="B26" s="14"/>
      <c r="C26" s="24"/>
      <c r="D26" s="24"/>
      <c r="E26" s="14"/>
      <c r="F26" s="16" t="str">
        <f aca="false">IF(OR($C26="",$D26=""),"",$D26-$C26)</f>
        <v/>
      </c>
      <c r="G26" s="25" t="str">
        <f aca="false">IF($A26="","",IFERROR(INDEX('2. Plot &amp; Core Log'!$M$6:$M$35,MATCH($A26,'2. Plot &amp; Core Log'!$B$6:$B$35,0)),""))</f>
        <v/>
      </c>
      <c r="H26" s="26" t="str">
        <f aca="false">IF($A26="","",IFERROR(INDEX('2. Plot &amp; Core Log'!$S$6:$S$35,MATCH($A26,'2. Plot &amp; Core Log'!$B$6:$B$35,0)),""))</f>
        <v/>
      </c>
      <c r="I26" s="16" t="str">
        <f aca="false">IF(OR($C26="",$G26=""),"",$C26*$G26)</f>
        <v/>
      </c>
      <c r="J26" s="16" t="str">
        <f aca="false">IF(OR($D26="",$G26=""),"",$D26*$G26)</f>
        <v/>
      </c>
      <c r="K26" s="16" t="str">
        <f aca="false">IF(OR($F26="",$H26=""),"",PI()*(($H26/2)^2)*$F26)</f>
        <v/>
      </c>
      <c r="L26" s="27"/>
      <c r="M26" s="27"/>
      <c r="N26" s="27"/>
      <c r="O26" s="27"/>
      <c r="P26" s="16" t="str">
        <f aca="false">IF(OR($L26="",$M26="",$L26=0),"",(($L26-$M26)/$L26)*100)</f>
        <v/>
      </c>
      <c r="Q26" s="15" t="str">
        <f aca="false">IF(OR($M26="",$K26="",$K26=0),"",$M26/$K26)</f>
        <v/>
      </c>
      <c r="R26" s="15" t="str">
        <f aca="false">IF(OR($N26="",$O26=""),"",IF(UPPER($O26)="OC",$N26,IF(UPPER($O26)="LOI",IF(OR(LOI_INTERCEPT="",LOI_SLOPE=""),"",IF(LOI_INTERCEPT+LOI_SLOPE*$N26&lt;0,"",LOI_INTERCEPT+LOI_SLOPE*$N26)),"")))</f>
        <v/>
      </c>
      <c r="S26" s="18" t="str">
        <f aca="false">IF($R26="","",$R26*10)</f>
        <v/>
      </c>
      <c r="T26" s="28" t="str">
        <f aca="false">IF(OR($Q26="",$R26=""),"",$Q26*$R26/100)</f>
        <v/>
      </c>
      <c r="U26" s="29" t="str">
        <f aca="false">IF(OR($T26="",$F26=""),"",$T26*$F26)</f>
        <v/>
      </c>
      <c r="V26" s="15" t="str">
        <f aca="false">IF($U26="","",$U26*10)</f>
        <v/>
      </c>
      <c r="W26" s="15" t="str">
        <f aca="false">IF(OR($V26="",$I26="",$J26="",$J26&lt;=$I26),"",$V26*MAX(0,MIN($J26,15)-MAX($I26,0))/($J26-$I26))</f>
        <v/>
      </c>
      <c r="X26" s="15" t="str">
        <f aca="false">IF(OR($V26="",$I26="",$J26="",$J26&lt;=$I26),"",$V26*MAX(0,MIN($J26,30)-MAX($I26,15))/($J26-$I26))</f>
        <v/>
      </c>
      <c r="Y26" s="15" t="str">
        <f aca="false">IF(OR($V26="",$I26="",$J26="",$J26&lt;=$I26),"",$V26*MAX(0,MIN($J26,50)-MAX($I26,30))/($J26-$I26))</f>
        <v/>
      </c>
      <c r="Z26" s="15" t="str">
        <f aca="false">IF(OR($V26="",$I26="",$J26="",$J26&lt;=$I26),"",$V26*MAX(0,MIN($J26,100)-MAX($I26,50))/($J26-$I26))</f>
        <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
      </c>
    </row>
    <row r="27" customFormat="false" ht="15.75" hidden="false" customHeight="true" outlineLevel="0" collapsed="false">
      <c r="A27" s="14"/>
      <c r="B27" s="14"/>
      <c r="C27" s="24"/>
      <c r="D27" s="24"/>
      <c r="E27" s="14"/>
      <c r="F27" s="16" t="str">
        <f aca="false">IF(OR($C27="",$D27=""),"",$D27-$C27)</f>
        <v/>
      </c>
      <c r="G27" s="25" t="str">
        <f aca="false">IF($A27="","",IFERROR(INDEX('2. Plot &amp; Core Log'!$M$6:$M$35,MATCH($A27,'2. Plot &amp; Core Log'!$B$6:$B$35,0)),""))</f>
        <v/>
      </c>
      <c r="H27" s="26" t="str">
        <f aca="false">IF($A27="","",IFERROR(INDEX('2. Plot &amp; Core Log'!$S$6:$S$35,MATCH($A27,'2. Plot &amp; Core Log'!$B$6:$B$35,0)),""))</f>
        <v/>
      </c>
      <c r="I27" s="16" t="str">
        <f aca="false">IF(OR($C27="",$G27=""),"",$C27*$G27)</f>
        <v/>
      </c>
      <c r="J27" s="16" t="str">
        <f aca="false">IF(OR($D27="",$G27=""),"",$D27*$G27)</f>
        <v/>
      </c>
      <c r="K27" s="16" t="str">
        <f aca="false">IF(OR($F27="",$H27=""),"",PI()*(($H27/2)^2)*$F27)</f>
        <v/>
      </c>
      <c r="L27" s="27"/>
      <c r="M27" s="27"/>
      <c r="N27" s="27"/>
      <c r="O27" s="27"/>
      <c r="P27" s="16" t="str">
        <f aca="false">IF(OR($L27="",$M27="",$L27=0),"",(($L27-$M27)/$L27)*100)</f>
        <v/>
      </c>
      <c r="Q27" s="15" t="str">
        <f aca="false">IF(OR($M27="",$K27="",$K27=0),"",$M27/$K27)</f>
        <v/>
      </c>
      <c r="R27" s="15" t="str">
        <f aca="false">IF(OR($N27="",$O27=""),"",IF(UPPER($O27)="OC",$N27,IF(UPPER($O27)="LOI",IF(OR(LOI_INTERCEPT="",LOI_SLOPE=""),"",IF(LOI_INTERCEPT+LOI_SLOPE*$N27&lt;0,"",LOI_INTERCEPT+LOI_SLOPE*$N27)),"")))</f>
        <v/>
      </c>
      <c r="S27" s="18" t="str">
        <f aca="false">IF($R27="","",$R27*10)</f>
        <v/>
      </c>
      <c r="T27" s="28" t="str">
        <f aca="false">IF(OR($Q27="",$R27=""),"",$Q27*$R27/100)</f>
        <v/>
      </c>
      <c r="U27" s="29" t="str">
        <f aca="false">IF(OR($T27="",$F27=""),"",$T27*$F27)</f>
        <v/>
      </c>
      <c r="V27" s="15" t="str">
        <f aca="false">IF($U27="","",$U27*10)</f>
        <v/>
      </c>
      <c r="W27" s="15" t="str">
        <f aca="false">IF(OR($V27="",$I27="",$J27="",$J27&lt;=$I27),"",$V27*MAX(0,MIN($J27,15)-MAX($I27,0))/($J27-$I27))</f>
        <v/>
      </c>
      <c r="X27" s="15" t="str">
        <f aca="false">IF(OR($V27="",$I27="",$J27="",$J27&lt;=$I27),"",$V27*MAX(0,MIN($J27,30)-MAX($I27,15))/($J27-$I27))</f>
        <v/>
      </c>
      <c r="Y27" s="15" t="str">
        <f aca="false">IF(OR($V27="",$I27="",$J27="",$J27&lt;=$I27),"",$V27*MAX(0,MIN($J27,50)-MAX($I27,30))/($J27-$I27))</f>
        <v/>
      </c>
      <c r="Z27" s="15" t="str">
        <f aca="false">IF(OR($V27="",$I27="",$J27="",$J27&lt;=$I27),"",$V27*MAX(0,MIN($J27,100)-MAX($I27,50))/($J27-$I27))</f>
        <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
      </c>
    </row>
    <row r="28" customFormat="false" ht="15.75" hidden="false" customHeight="true" outlineLevel="0" collapsed="false">
      <c r="A28" s="14"/>
      <c r="B28" s="14"/>
      <c r="C28" s="24"/>
      <c r="D28" s="24"/>
      <c r="E28" s="14"/>
      <c r="F28" s="16" t="str">
        <f aca="false">IF(OR($C28="",$D28=""),"",$D28-$C28)</f>
        <v/>
      </c>
      <c r="G28" s="25" t="str">
        <f aca="false">IF($A28="","",IFERROR(INDEX('2. Plot &amp; Core Log'!$M$6:$M$35,MATCH($A28,'2. Plot &amp; Core Log'!$B$6:$B$35,0)),""))</f>
        <v/>
      </c>
      <c r="H28" s="26" t="str">
        <f aca="false">IF($A28="","",IFERROR(INDEX('2. Plot &amp; Core Log'!$S$6:$S$35,MATCH($A28,'2. Plot &amp; Core Log'!$B$6:$B$35,0)),""))</f>
        <v/>
      </c>
      <c r="I28" s="16" t="str">
        <f aca="false">IF(OR($C28="",$G28=""),"",$C28*$G28)</f>
        <v/>
      </c>
      <c r="J28" s="16" t="str">
        <f aca="false">IF(OR($D28="",$G28=""),"",$D28*$G28)</f>
        <v/>
      </c>
      <c r="K28" s="16" t="str">
        <f aca="false">IF(OR($F28="",$H28=""),"",PI()*(($H28/2)^2)*$F28)</f>
        <v/>
      </c>
      <c r="L28" s="27"/>
      <c r="M28" s="27"/>
      <c r="N28" s="27"/>
      <c r="O28" s="27"/>
      <c r="P28" s="16" t="str">
        <f aca="false">IF(OR($L28="",$M28="",$L28=0),"",(($L28-$M28)/$L28)*100)</f>
        <v/>
      </c>
      <c r="Q28" s="15" t="str">
        <f aca="false">IF(OR($M28="",$K28="",$K28=0),"",$M28/$K28)</f>
        <v/>
      </c>
      <c r="R28" s="15" t="str">
        <f aca="false">IF(OR($N28="",$O28=""),"",IF(UPPER($O28)="OC",$N28,IF(UPPER($O28)="LOI",IF(OR(LOI_INTERCEPT="",LOI_SLOPE=""),"",IF(LOI_INTERCEPT+LOI_SLOPE*$N28&lt;0,"",LOI_INTERCEPT+LOI_SLOPE*$N28)),"")))</f>
        <v/>
      </c>
      <c r="S28" s="18" t="str">
        <f aca="false">IF($R28="","",$R28*10)</f>
        <v/>
      </c>
      <c r="T28" s="28" t="str">
        <f aca="false">IF(OR($Q28="",$R28=""),"",$Q28*$R28/100)</f>
        <v/>
      </c>
      <c r="U28" s="29" t="str">
        <f aca="false">IF(OR($T28="",$F28=""),"",$T28*$F28)</f>
        <v/>
      </c>
      <c r="V28" s="15" t="str">
        <f aca="false">IF($U28="","",$U28*10)</f>
        <v/>
      </c>
      <c r="W28" s="15" t="str">
        <f aca="false">IF(OR($V28="",$I28="",$J28="",$J28&lt;=$I28),"",$V28*MAX(0,MIN($J28,15)-MAX($I28,0))/($J28-$I28))</f>
        <v/>
      </c>
      <c r="X28" s="15" t="str">
        <f aca="false">IF(OR($V28="",$I28="",$J28="",$J28&lt;=$I28),"",$V28*MAX(0,MIN($J28,30)-MAX($I28,15))/($J28-$I28))</f>
        <v/>
      </c>
      <c r="Y28" s="15" t="str">
        <f aca="false">IF(OR($V28="",$I28="",$J28="",$J28&lt;=$I28),"",$V28*MAX(0,MIN($J28,50)-MAX($I28,30))/($J28-$I28))</f>
        <v/>
      </c>
      <c r="Z28" s="15" t="str">
        <f aca="false">IF(OR($V28="",$I28="",$J28="",$J28&lt;=$I28),"",$V28*MAX(0,MIN($J28,100)-MAX($I28,50))/($J28-$I28))</f>
        <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
      </c>
    </row>
    <row r="29" customFormat="false" ht="15.75" hidden="false" customHeight="true" outlineLevel="0" collapsed="false">
      <c r="A29" s="14"/>
      <c r="B29" s="14"/>
      <c r="C29" s="24"/>
      <c r="D29" s="24"/>
      <c r="E29" s="14"/>
      <c r="F29" s="16" t="str">
        <f aca="false">IF(OR($C29="",$D29=""),"",$D29-$C29)</f>
        <v/>
      </c>
      <c r="G29" s="25" t="str">
        <f aca="false">IF($A29="","",IFERROR(INDEX('2. Plot &amp; Core Log'!$M$6:$M$35,MATCH($A29,'2. Plot &amp; Core Log'!$B$6:$B$35,0)),""))</f>
        <v/>
      </c>
      <c r="H29" s="26" t="str">
        <f aca="false">IF($A29="","",IFERROR(INDEX('2. Plot &amp; Core Log'!$S$6:$S$35,MATCH($A29,'2. Plot &amp; Core Log'!$B$6:$B$35,0)),""))</f>
        <v/>
      </c>
      <c r="I29" s="16" t="str">
        <f aca="false">IF(OR($C29="",$G29=""),"",$C29*$G29)</f>
        <v/>
      </c>
      <c r="J29" s="16" t="str">
        <f aca="false">IF(OR($D29="",$G29=""),"",$D29*$G29)</f>
        <v/>
      </c>
      <c r="K29" s="16" t="str">
        <f aca="false">IF(OR($F29="",$H29=""),"",PI()*(($H29/2)^2)*$F29)</f>
        <v/>
      </c>
      <c r="L29" s="27"/>
      <c r="M29" s="27"/>
      <c r="N29" s="27"/>
      <c r="O29" s="27"/>
      <c r="P29" s="16" t="str">
        <f aca="false">IF(OR($L29="",$M29="",$L29=0),"",(($L29-$M29)/$L29)*100)</f>
        <v/>
      </c>
      <c r="Q29" s="15" t="str">
        <f aca="false">IF(OR($M29="",$K29="",$K29=0),"",$M29/$K29)</f>
        <v/>
      </c>
      <c r="R29" s="15" t="str">
        <f aca="false">IF(OR($N29="",$O29=""),"",IF(UPPER($O29)="OC",$N29,IF(UPPER($O29)="LOI",IF(OR(LOI_INTERCEPT="",LOI_SLOPE=""),"",IF(LOI_INTERCEPT+LOI_SLOPE*$N29&lt;0,"",LOI_INTERCEPT+LOI_SLOPE*$N29)),"")))</f>
        <v/>
      </c>
      <c r="S29" s="18" t="str">
        <f aca="false">IF($R29="","",$R29*10)</f>
        <v/>
      </c>
      <c r="T29" s="28" t="str">
        <f aca="false">IF(OR($Q29="",$R29=""),"",$Q29*$R29/100)</f>
        <v/>
      </c>
      <c r="U29" s="29" t="str">
        <f aca="false">IF(OR($T29="",$F29=""),"",$T29*$F29)</f>
        <v/>
      </c>
      <c r="V29" s="15" t="str">
        <f aca="false">IF($U29="","",$U29*10)</f>
        <v/>
      </c>
      <c r="W29" s="15" t="str">
        <f aca="false">IF(OR($V29="",$I29="",$J29="",$J29&lt;=$I29),"",$V29*MAX(0,MIN($J29,15)-MAX($I29,0))/($J29-$I29))</f>
        <v/>
      </c>
      <c r="X29" s="15" t="str">
        <f aca="false">IF(OR($V29="",$I29="",$J29="",$J29&lt;=$I29),"",$V29*MAX(0,MIN($J29,30)-MAX($I29,15))/($J29-$I29))</f>
        <v/>
      </c>
      <c r="Y29" s="15" t="str">
        <f aca="false">IF(OR($V29="",$I29="",$J29="",$J29&lt;=$I29),"",$V29*MAX(0,MIN($J29,50)-MAX($I29,30))/($J29-$I29))</f>
        <v/>
      </c>
      <c r="Z29" s="15" t="str">
        <f aca="false">IF(OR($V29="",$I29="",$J29="",$J29&lt;=$I29),"",$V29*MAX(0,MIN($J29,100)-MAX($I29,50))/($J29-$I29))</f>
        <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
      </c>
    </row>
    <row r="30" customFormat="false" ht="15.75" hidden="false" customHeight="true" outlineLevel="0" collapsed="false">
      <c r="A30" s="14"/>
      <c r="B30" s="14"/>
      <c r="C30" s="24"/>
      <c r="D30" s="24"/>
      <c r="E30" s="14"/>
      <c r="F30" s="16" t="str">
        <f aca="false">IF(OR($C30="",$D30=""),"",$D30-$C30)</f>
        <v/>
      </c>
      <c r="G30" s="25" t="str">
        <f aca="false">IF($A30="","",IFERROR(INDEX('2. Plot &amp; Core Log'!$M$6:$M$35,MATCH($A30,'2. Plot &amp; Core Log'!$B$6:$B$35,0)),""))</f>
        <v/>
      </c>
      <c r="H30" s="26" t="str">
        <f aca="false">IF($A30="","",IFERROR(INDEX('2. Plot &amp; Core Log'!$S$6:$S$35,MATCH($A30,'2. Plot &amp; Core Log'!$B$6:$B$35,0)),""))</f>
        <v/>
      </c>
      <c r="I30" s="16" t="str">
        <f aca="false">IF(OR($C30="",$G30=""),"",$C30*$G30)</f>
        <v/>
      </c>
      <c r="J30" s="16" t="str">
        <f aca="false">IF(OR($D30="",$G30=""),"",$D30*$G30)</f>
        <v/>
      </c>
      <c r="K30" s="16" t="str">
        <f aca="false">IF(OR($F30="",$H30=""),"",PI()*(($H30/2)^2)*$F30)</f>
        <v/>
      </c>
      <c r="L30" s="27"/>
      <c r="M30" s="27"/>
      <c r="N30" s="27"/>
      <c r="O30" s="27"/>
      <c r="P30" s="16" t="str">
        <f aca="false">IF(OR($L30="",$M30="",$L30=0),"",(($L30-$M30)/$L30)*100)</f>
        <v/>
      </c>
      <c r="Q30" s="15" t="str">
        <f aca="false">IF(OR($M30="",$K30="",$K30=0),"",$M30/$K30)</f>
        <v/>
      </c>
      <c r="R30" s="15" t="str">
        <f aca="false">IF(OR($N30="",$O30=""),"",IF(UPPER($O30)="OC",$N30,IF(UPPER($O30)="LOI",IF(OR(LOI_INTERCEPT="",LOI_SLOPE=""),"",IF(LOI_INTERCEPT+LOI_SLOPE*$N30&lt;0,"",LOI_INTERCEPT+LOI_SLOPE*$N30)),"")))</f>
        <v/>
      </c>
      <c r="S30" s="18" t="str">
        <f aca="false">IF($R30="","",$R30*10)</f>
        <v/>
      </c>
      <c r="T30" s="28" t="str">
        <f aca="false">IF(OR($Q30="",$R30=""),"",$Q30*$R30/100)</f>
        <v/>
      </c>
      <c r="U30" s="29" t="str">
        <f aca="false">IF(OR($T30="",$F30=""),"",$T30*$F30)</f>
        <v/>
      </c>
      <c r="V30" s="15" t="str">
        <f aca="false">IF($U30="","",$U30*10)</f>
        <v/>
      </c>
      <c r="W30" s="15" t="str">
        <f aca="false">IF(OR($V30="",$I30="",$J30="",$J30&lt;=$I30),"",$V30*MAX(0,MIN($J30,15)-MAX($I30,0))/($J30-$I30))</f>
        <v/>
      </c>
      <c r="X30" s="15" t="str">
        <f aca="false">IF(OR($V30="",$I30="",$J30="",$J30&lt;=$I30),"",$V30*MAX(0,MIN($J30,30)-MAX($I30,15))/($J30-$I30))</f>
        <v/>
      </c>
      <c r="Y30" s="15" t="str">
        <f aca="false">IF(OR($V30="",$I30="",$J30="",$J30&lt;=$I30),"",$V30*MAX(0,MIN($J30,50)-MAX($I30,30))/($J30-$I30))</f>
        <v/>
      </c>
      <c r="Z30" s="15" t="str">
        <f aca="false">IF(OR($V30="",$I30="",$J30="",$J30&lt;=$I30),"",$V30*MAX(0,MIN($J30,100)-MAX($I30,50))/($J30-$I30))</f>
        <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
      </c>
    </row>
    <row r="31" customFormat="false" ht="15.75" hidden="false" customHeight="true" outlineLevel="0" collapsed="false">
      <c r="A31" s="14"/>
      <c r="B31" s="14"/>
      <c r="C31" s="24"/>
      <c r="D31" s="24"/>
      <c r="E31" s="14"/>
      <c r="F31" s="16" t="str">
        <f aca="false">IF(OR($C31="",$D31=""),"",$D31-$C31)</f>
        <v/>
      </c>
      <c r="G31" s="25" t="str">
        <f aca="false">IF($A31="","",IFERROR(INDEX('2. Plot &amp; Core Log'!$M$6:$M$35,MATCH($A31,'2. Plot &amp; Core Log'!$B$6:$B$35,0)),""))</f>
        <v/>
      </c>
      <c r="H31" s="26" t="str">
        <f aca="false">IF($A31="","",IFERROR(INDEX('2. Plot &amp; Core Log'!$S$6:$S$35,MATCH($A31,'2. Plot &amp; Core Log'!$B$6:$B$35,0)),""))</f>
        <v/>
      </c>
      <c r="I31" s="16" t="str">
        <f aca="false">IF(OR($C31="",$G31=""),"",$C31*$G31)</f>
        <v/>
      </c>
      <c r="J31" s="16" t="str">
        <f aca="false">IF(OR($D31="",$G31=""),"",$D31*$G31)</f>
        <v/>
      </c>
      <c r="K31" s="16" t="str">
        <f aca="false">IF(OR($F31="",$H31=""),"",PI()*(($H31/2)^2)*$F31)</f>
        <v/>
      </c>
      <c r="L31" s="27"/>
      <c r="M31" s="27"/>
      <c r="N31" s="27"/>
      <c r="O31" s="27"/>
      <c r="P31" s="16" t="str">
        <f aca="false">IF(OR($L31="",$M31="",$L31=0),"",(($L31-$M31)/$L31)*100)</f>
        <v/>
      </c>
      <c r="Q31" s="15" t="str">
        <f aca="false">IF(OR($M31="",$K31="",$K31=0),"",$M31/$K31)</f>
        <v/>
      </c>
      <c r="R31" s="15" t="str">
        <f aca="false">IF(OR($N31="",$O31=""),"",IF(UPPER($O31)="OC",$N31,IF(UPPER($O31)="LOI",IF(OR(LOI_INTERCEPT="",LOI_SLOPE=""),"",IF(LOI_INTERCEPT+LOI_SLOPE*$N31&lt;0,"",LOI_INTERCEPT+LOI_SLOPE*$N31)),"")))</f>
        <v/>
      </c>
      <c r="S31" s="18" t="str">
        <f aca="false">IF($R31="","",$R31*10)</f>
        <v/>
      </c>
      <c r="T31" s="28" t="str">
        <f aca="false">IF(OR($Q31="",$R31=""),"",$Q31*$R31/100)</f>
        <v/>
      </c>
      <c r="U31" s="29" t="str">
        <f aca="false">IF(OR($T31="",$F31=""),"",$T31*$F31)</f>
        <v/>
      </c>
      <c r="V31" s="15" t="str">
        <f aca="false">IF($U31="","",$U31*10)</f>
        <v/>
      </c>
      <c r="W31" s="15" t="str">
        <f aca="false">IF(OR($V31="",$I31="",$J31="",$J31&lt;=$I31),"",$V31*MAX(0,MIN($J31,15)-MAX($I31,0))/($J31-$I31))</f>
        <v/>
      </c>
      <c r="X31" s="15" t="str">
        <f aca="false">IF(OR($V31="",$I31="",$J31="",$J31&lt;=$I31),"",$V31*MAX(0,MIN($J31,30)-MAX($I31,15))/($J31-$I31))</f>
        <v/>
      </c>
      <c r="Y31" s="15" t="str">
        <f aca="false">IF(OR($V31="",$I31="",$J31="",$J31&lt;=$I31),"",$V31*MAX(0,MIN($J31,50)-MAX($I31,30))/($J31-$I31))</f>
        <v/>
      </c>
      <c r="Z31" s="15" t="str">
        <f aca="false">IF(OR($V31="",$I31="",$J31="",$J31&lt;=$I31),"",$V31*MAX(0,MIN($J31,100)-MAX($I31,50))/($J31-$I31))</f>
        <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
      </c>
    </row>
    <row r="32" customFormat="false" ht="15.75" hidden="false" customHeight="true" outlineLevel="0" collapsed="false">
      <c r="A32" s="14"/>
      <c r="B32" s="14"/>
      <c r="C32" s="24"/>
      <c r="D32" s="24"/>
      <c r="E32" s="14"/>
      <c r="F32" s="16" t="str">
        <f aca="false">IF(OR($C32="",$D32=""),"",$D32-$C32)</f>
        <v/>
      </c>
      <c r="G32" s="25" t="str">
        <f aca="false">IF($A32="","",IFERROR(INDEX('2. Plot &amp; Core Log'!$M$6:$M$35,MATCH($A32,'2. Plot &amp; Core Log'!$B$6:$B$35,0)),""))</f>
        <v/>
      </c>
      <c r="H32" s="26" t="str">
        <f aca="false">IF($A32="","",IFERROR(INDEX('2. Plot &amp; Core Log'!$S$6:$S$35,MATCH($A32,'2. Plot &amp; Core Log'!$B$6:$B$35,0)),""))</f>
        <v/>
      </c>
      <c r="I32" s="16" t="str">
        <f aca="false">IF(OR($C32="",$G32=""),"",$C32*$G32)</f>
        <v/>
      </c>
      <c r="J32" s="16" t="str">
        <f aca="false">IF(OR($D32="",$G32=""),"",$D32*$G32)</f>
        <v/>
      </c>
      <c r="K32" s="16" t="str">
        <f aca="false">IF(OR($F32="",$H32=""),"",PI()*(($H32/2)^2)*$F32)</f>
        <v/>
      </c>
      <c r="L32" s="27"/>
      <c r="M32" s="27"/>
      <c r="N32" s="27"/>
      <c r="O32" s="27"/>
      <c r="P32" s="16" t="str">
        <f aca="false">IF(OR($L32="",$M32="",$L32=0),"",(($L32-$M32)/$L32)*100)</f>
        <v/>
      </c>
      <c r="Q32" s="15" t="str">
        <f aca="false">IF(OR($M32="",$K32="",$K32=0),"",$M32/$K32)</f>
        <v/>
      </c>
      <c r="R32" s="15" t="str">
        <f aca="false">IF(OR($N32="",$O32=""),"",IF(UPPER($O32)="OC",$N32,IF(UPPER($O32)="LOI",IF(OR(LOI_INTERCEPT="",LOI_SLOPE=""),"",IF(LOI_INTERCEPT+LOI_SLOPE*$N32&lt;0,"",LOI_INTERCEPT+LOI_SLOPE*$N32)),"")))</f>
        <v/>
      </c>
      <c r="S32" s="18" t="str">
        <f aca="false">IF($R32="","",$R32*10)</f>
        <v/>
      </c>
      <c r="T32" s="28" t="str">
        <f aca="false">IF(OR($Q32="",$R32=""),"",$Q32*$R32/100)</f>
        <v/>
      </c>
      <c r="U32" s="29" t="str">
        <f aca="false">IF(OR($T32="",$F32=""),"",$T32*$F32)</f>
        <v/>
      </c>
      <c r="V32" s="15" t="str">
        <f aca="false">IF($U32="","",$U32*10)</f>
        <v/>
      </c>
      <c r="W32" s="15" t="str">
        <f aca="false">IF(OR($V32="",$I32="",$J32="",$J32&lt;=$I32),"",$V32*MAX(0,MIN($J32,15)-MAX($I32,0))/($J32-$I32))</f>
        <v/>
      </c>
      <c r="X32" s="15" t="str">
        <f aca="false">IF(OR($V32="",$I32="",$J32="",$J32&lt;=$I32),"",$V32*MAX(0,MIN($J32,30)-MAX($I32,15))/($J32-$I32))</f>
        <v/>
      </c>
      <c r="Y32" s="15" t="str">
        <f aca="false">IF(OR($V32="",$I32="",$J32="",$J32&lt;=$I32),"",$V32*MAX(0,MIN($J32,50)-MAX($I32,30))/($J32-$I32))</f>
        <v/>
      </c>
      <c r="Z32" s="15" t="str">
        <f aca="false">IF(OR($V32="",$I32="",$J32="",$J32&lt;=$I32),"",$V32*MAX(0,MIN($J32,100)-MAX($I32,50))/($J32-$I32))</f>
        <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
      </c>
    </row>
    <row r="33" customFormat="false" ht="15.75" hidden="false" customHeight="true" outlineLevel="0" collapsed="false">
      <c r="A33" s="14"/>
      <c r="B33" s="14"/>
      <c r="C33" s="24"/>
      <c r="D33" s="24"/>
      <c r="E33" s="14"/>
      <c r="F33" s="16" t="str">
        <f aca="false">IF(OR($C33="",$D33=""),"",$D33-$C33)</f>
        <v/>
      </c>
      <c r="G33" s="25" t="str">
        <f aca="false">IF($A33="","",IFERROR(INDEX('2. Plot &amp; Core Log'!$M$6:$M$35,MATCH($A33,'2. Plot &amp; Core Log'!$B$6:$B$35,0)),""))</f>
        <v/>
      </c>
      <c r="H33" s="26" t="str">
        <f aca="false">IF($A33="","",IFERROR(INDEX('2. Plot &amp; Core Log'!$S$6:$S$35,MATCH($A33,'2. Plot &amp; Core Log'!$B$6:$B$35,0)),""))</f>
        <v/>
      </c>
      <c r="I33" s="16" t="str">
        <f aca="false">IF(OR($C33="",$G33=""),"",$C33*$G33)</f>
        <v/>
      </c>
      <c r="J33" s="16" t="str">
        <f aca="false">IF(OR($D33="",$G33=""),"",$D33*$G33)</f>
        <v/>
      </c>
      <c r="K33" s="16" t="str">
        <f aca="false">IF(OR($F33="",$H33=""),"",PI()*(($H33/2)^2)*$F33)</f>
        <v/>
      </c>
      <c r="L33" s="27"/>
      <c r="M33" s="27"/>
      <c r="N33" s="27"/>
      <c r="O33" s="27"/>
      <c r="P33" s="16" t="str">
        <f aca="false">IF(OR($L33="",$M33="",$L33=0),"",(($L33-$M33)/$L33)*100)</f>
        <v/>
      </c>
      <c r="Q33" s="15" t="str">
        <f aca="false">IF(OR($M33="",$K33="",$K33=0),"",$M33/$K33)</f>
        <v/>
      </c>
      <c r="R33" s="15" t="str">
        <f aca="false">IF(OR($N33="",$O33=""),"",IF(UPPER($O33)="OC",$N33,IF(UPPER($O33)="LOI",IF(OR(LOI_INTERCEPT="",LOI_SLOPE=""),"",IF(LOI_INTERCEPT+LOI_SLOPE*$N33&lt;0,"",LOI_INTERCEPT+LOI_SLOPE*$N33)),"")))</f>
        <v/>
      </c>
      <c r="S33" s="18" t="str">
        <f aca="false">IF($R33="","",$R33*10)</f>
        <v/>
      </c>
      <c r="T33" s="28" t="str">
        <f aca="false">IF(OR($Q33="",$R33=""),"",$Q33*$R33/100)</f>
        <v/>
      </c>
      <c r="U33" s="29" t="str">
        <f aca="false">IF(OR($T33="",$F33=""),"",$T33*$F33)</f>
        <v/>
      </c>
      <c r="V33" s="15" t="str">
        <f aca="false">IF($U33="","",$U33*10)</f>
        <v/>
      </c>
      <c r="W33" s="15" t="str">
        <f aca="false">IF(OR($V33="",$I33="",$J33="",$J33&lt;=$I33),"",$V33*MAX(0,MIN($J33,15)-MAX($I33,0))/($J33-$I33))</f>
        <v/>
      </c>
      <c r="X33" s="15" t="str">
        <f aca="false">IF(OR($V33="",$I33="",$J33="",$J33&lt;=$I33),"",$V33*MAX(0,MIN($J33,30)-MAX($I33,15))/($J33-$I33))</f>
        <v/>
      </c>
      <c r="Y33" s="15" t="str">
        <f aca="false">IF(OR($V33="",$I33="",$J33="",$J33&lt;=$I33),"",$V33*MAX(0,MIN($J33,50)-MAX($I33,30))/($J33-$I33))</f>
        <v/>
      </c>
      <c r="Z33" s="15" t="str">
        <f aca="false">IF(OR($V33="",$I33="",$J33="",$J33&lt;=$I33),"",$V33*MAX(0,MIN($J33,100)-MAX($I33,50))/($J33-$I33))</f>
        <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
      </c>
    </row>
    <row r="34" customFormat="false" ht="15.75" hidden="false" customHeight="true" outlineLevel="0" collapsed="false">
      <c r="A34" s="14"/>
      <c r="B34" s="14"/>
      <c r="C34" s="24"/>
      <c r="D34" s="24"/>
      <c r="E34" s="14"/>
      <c r="F34" s="16" t="str">
        <f aca="false">IF(OR($C34="",$D34=""),"",$D34-$C34)</f>
        <v/>
      </c>
      <c r="G34" s="25" t="str">
        <f aca="false">IF($A34="","",IFERROR(INDEX('2. Plot &amp; Core Log'!$M$6:$M$35,MATCH($A34,'2. Plot &amp; Core Log'!$B$6:$B$35,0)),""))</f>
        <v/>
      </c>
      <c r="H34" s="26" t="str">
        <f aca="false">IF($A34="","",IFERROR(INDEX('2. Plot &amp; Core Log'!$S$6:$S$35,MATCH($A34,'2. Plot &amp; Core Log'!$B$6:$B$35,0)),""))</f>
        <v/>
      </c>
      <c r="I34" s="16" t="str">
        <f aca="false">IF(OR($C34="",$G34=""),"",$C34*$G34)</f>
        <v/>
      </c>
      <c r="J34" s="16" t="str">
        <f aca="false">IF(OR($D34="",$G34=""),"",$D34*$G34)</f>
        <v/>
      </c>
      <c r="K34" s="16" t="str">
        <f aca="false">IF(OR($F34="",$H34=""),"",PI()*(($H34/2)^2)*$F34)</f>
        <v/>
      </c>
      <c r="L34" s="27"/>
      <c r="M34" s="27"/>
      <c r="N34" s="27"/>
      <c r="O34" s="27"/>
      <c r="P34" s="16" t="str">
        <f aca="false">IF(OR($L34="",$M34="",$L34=0),"",(($L34-$M34)/$L34)*100)</f>
        <v/>
      </c>
      <c r="Q34" s="15" t="str">
        <f aca="false">IF(OR($M34="",$K34="",$K34=0),"",$M34/$K34)</f>
        <v/>
      </c>
      <c r="R34" s="15" t="str">
        <f aca="false">IF(OR($N34="",$O34=""),"",IF(UPPER($O34)="OC",$N34,IF(UPPER($O34)="LOI",IF(OR(LOI_INTERCEPT="",LOI_SLOPE=""),"",IF(LOI_INTERCEPT+LOI_SLOPE*$N34&lt;0,"",LOI_INTERCEPT+LOI_SLOPE*$N34)),"")))</f>
        <v/>
      </c>
      <c r="S34" s="18" t="str">
        <f aca="false">IF($R34="","",$R34*10)</f>
        <v/>
      </c>
      <c r="T34" s="28" t="str">
        <f aca="false">IF(OR($Q34="",$R34=""),"",$Q34*$R34/100)</f>
        <v/>
      </c>
      <c r="U34" s="29" t="str">
        <f aca="false">IF(OR($T34="",$F34=""),"",$T34*$F34)</f>
        <v/>
      </c>
      <c r="V34" s="15" t="str">
        <f aca="false">IF($U34="","",$U34*10)</f>
        <v/>
      </c>
      <c r="W34" s="15" t="str">
        <f aca="false">IF(OR($V34="",$I34="",$J34="",$J34&lt;=$I34),"",$V34*MAX(0,MIN($J34,15)-MAX($I34,0))/($J34-$I34))</f>
        <v/>
      </c>
      <c r="X34" s="15" t="str">
        <f aca="false">IF(OR($V34="",$I34="",$J34="",$J34&lt;=$I34),"",$V34*MAX(0,MIN($J34,30)-MAX($I34,15))/($J34-$I34))</f>
        <v/>
      </c>
      <c r="Y34" s="15" t="str">
        <f aca="false">IF(OR($V34="",$I34="",$J34="",$J34&lt;=$I34),"",$V34*MAX(0,MIN($J34,50)-MAX($I34,30))/($J34-$I34))</f>
        <v/>
      </c>
      <c r="Z34" s="15" t="str">
        <f aca="false">IF(OR($V34="",$I34="",$J34="",$J34&lt;=$I34),"",$V34*MAX(0,MIN($J34,100)-MAX($I34,50))/($J34-$I34))</f>
        <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
      </c>
    </row>
    <row r="35" customFormat="false" ht="15.75" hidden="false" customHeight="true" outlineLevel="0" collapsed="false">
      <c r="A35" s="14"/>
      <c r="B35" s="14"/>
      <c r="C35" s="24"/>
      <c r="D35" s="24"/>
      <c r="E35" s="14"/>
      <c r="F35" s="16" t="str">
        <f aca="false">IF(OR($C35="",$D35=""),"",$D35-$C35)</f>
        <v/>
      </c>
      <c r="G35" s="25" t="str">
        <f aca="false">IF($A35="","",IFERROR(INDEX('2. Plot &amp; Core Log'!$M$6:$M$35,MATCH($A35,'2. Plot &amp; Core Log'!$B$6:$B$35,0)),""))</f>
        <v/>
      </c>
      <c r="H35" s="26" t="str">
        <f aca="false">IF($A35="","",IFERROR(INDEX('2. Plot &amp; Core Log'!$S$6:$S$35,MATCH($A35,'2. Plot &amp; Core Log'!$B$6:$B$35,0)),""))</f>
        <v/>
      </c>
      <c r="I35" s="16" t="str">
        <f aca="false">IF(OR($C35="",$G35=""),"",$C35*$G35)</f>
        <v/>
      </c>
      <c r="J35" s="16" t="str">
        <f aca="false">IF(OR($D35="",$G35=""),"",$D35*$G35)</f>
        <v/>
      </c>
      <c r="K35" s="16" t="str">
        <f aca="false">IF(OR($F35="",$H35=""),"",PI()*(($H35/2)^2)*$F35)</f>
        <v/>
      </c>
      <c r="L35" s="27"/>
      <c r="M35" s="27"/>
      <c r="N35" s="27"/>
      <c r="O35" s="27"/>
      <c r="P35" s="16" t="str">
        <f aca="false">IF(OR($L35="",$M35="",$L35=0),"",(($L35-$M35)/$L35)*100)</f>
        <v/>
      </c>
      <c r="Q35" s="15" t="str">
        <f aca="false">IF(OR($M35="",$K35="",$K35=0),"",$M35/$K35)</f>
        <v/>
      </c>
      <c r="R35" s="15" t="str">
        <f aca="false">IF(OR($N35="",$O35=""),"",IF(UPPER($O35)="OC",$N35,IF(UPPER($O35)="LOI",IF(OR(LOI_INTERCEPT="",LOI_SLOPE=""),"",IF(LOI_INTERCEPT+LOI_SLOPE*$N35&lt;0,"",LOI_INTERCEPT+LOI_SLOPE*$N35)),"")))</f>
        <v/>
      </c>
      <c r="S35" s="18" t="str">
        <f aca="false">IF($R35="","",$R35*10)</f>
        <v/>
      </c>
      <c r="T35" s="28" t="str">
        <f aca="false">IF(OR($Q35="",$R35=""),"",$Q35*$R35/100)</f>
        <v/>
      </c>
      <c r="U35" s="29" t="str">
        <f aca="false">IF(OR($T35="",$F35=""),"",$T35*$F35)</f>
        <v/>
      </c>
      <c r="V35" s="15" t="str">
        <f aca="false">IF($U35="","",$U35*10)</f>
        <v/>
      </c>
      <c r="W35" s="15" t="str">
        <f aca="false">IF(OR($V35="",$I35="",$J35="",$J35&lt;=$I35),"",$V35*MAX(0,MIN($J35,15)-MAX($I35,0))/($J35-$I35))</f>
        <v/>
      </c>
      <c r="X35" s="15" t="str">
        <f aca="false">IF(OR($V35="",$I35="",$J35="",$J35&lt;=$I35),"",$V35*MAX(0,MIN($J35,30)-MAX($I35,15))/($J35-$I35))</f>
        <v/>
      </c>
      <c r="Y35" s="15" t="str">
        <f aca="false">IF(OR($V35="",$I35="",$J35="",$J35&lt;=$I35),"",$V35*MAX(0,MIN($J35,50)-MAX($I35,30))/($J35-$I35))</f>
        <v/>
      </c>
      <c r="Z35" s="15" t="str">
        <f aca="false">IF(OR($V35="",$I35="",$J35="",$J35&lt;=$I35),"",$V35*MAX(0,MIN($J35,100)-MAX($I35,50))/($J35-$I35))</f>
        <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
      </c>
    </row>
    <row r="36" customFormat="false" ht="15.75" hidden="false" customHeight="true" outlineLevel="0" collapsed="false">
      <c r="A36" s="14"/>
      <c r="B36" s="14"/>
      <c r="C36" s="24"/>
      <c r="D36" s="24"/>
      <c r="E36" s="14"/>
      <c r="F36" s="16" t="str">
        <f aca="false">IF(OR($C36="",$D36=""),"",$D36-$C36)</f>
        <v/>
      </c>
      <c r="G36" s="25" t="str">
        <f aca="false">IF($A36="","",IFERROR(INDEX('2. Plot &amp; Core Log'!$M$6:$M$35,MATCH($A36,'2. Plot &amp; Core Log'!$B$6:$B$35,0)),""))</f>
        <v/>
      </c>
      <c r="H36" s="26" t="str">
        <f aca="false">IF($A36="","",IFERROR(INDEX('2. Plot &amp; Core Log'!$S$6:$S$35,MATCH($A36,'2. Plot &amp; Core Log'!$B$6:$B$35,0)),""))</f>
        <v/>
      </c>
      <c r="I36" s="16" t="str">
        <f aca="false">IF(OR($C36="",$G36=""),"",$C36*$G36)</f>
        <v/>
      </c>
      <c r="J36" s="16" t="str">
        <f aca="false">IF(OR($D36="",$G36=""),"",$D36*$G36)</f>
        <v/>
      </c>
      <c r="K36" s="16" t="str">
        <f aca="false">IF(OR($F36="",$H36=""),"",PI()*(($H36/2)^2)*$F36)</f>
        <v/>
      </c>
      <c r="L36" s="27"/>
      <c r="M36" s="27"/>
      <c r="N36" s="27"/>
      <c r="O36" s="27"/>
      <c r="P36" s="16" t="str">
        <f aca="false">IF(OR($L36="",$M36="",$L36=0),"",(($L36-$M36)/$L36)*100)</f>
        <v/>
      </c>
      <c r="Q36" s="15" t="str">
        <f aca="false">IF(OR($M36="",$K36="",$K36=0),"",$M36/$K36)</f>
        <v/>
      </c>
      <c r="R36" s="15" t="str">
        <f aca="false">IF(OR($N36="",$O36=""),"",IF(UPPER($O36)="OC",$N36,IF(UPPER($O36)="LOI",IF(OR(LOI_INTERCEPT="",LOI_SLOPE=""),"",IF(LOI_INTERCEPT+LOI_SLOPE*$N36&lt;0,"",LOI_INTERCEPT+LOI_SLOPE*$N36)),"")))</f>
        <v/>
      </c>
      <c r="S36" s="18" t="str">
        <f aca="false">IF($R36="","",$R36*10)</f>
        <v/>
      </c>
      <c r="T36" s="28" t="str">
        <f aca="false">IF(OR($Q36="",$R36=""),"",$Q36*$R36/100)</f>
        <v/>
      </c>
      <c r="U36" s="29" t="str">
        <f aca="false">IF(OR($T36="",$F36=""),"",$T36*$F36)</f>
        <v/>
      </c>
      <c r="V36" s="15" t="str">
        <f aca="false">IF($U36="","",$U36*10)</f>
        <v/>
      </c>
      <c r="W36" s="15" t="str">
        <f aca="false">IF(OR($V36="",$I36="",$J36="",$J36&lt;=$I36),"",$V36*MAX(0,MIN($J36,15)-MAX($I36,0))/($J36-$I36))</f>
        <v/>
      </c>
      <c r="X36" s="15" t="str">
        <f aca="false">IF(OR($V36="",$I36="",$J36="",$J36&lt;=$I36),"",$V36*MAX(0,MIN($J36,30)-MAX($I36,15))/($J36-$I36))</f>
        <v/>
      </c>
      <c r="Y36" s="15" t="str">
        <f aca="false">IF(OR($V36="",$I36="",$J36="",$J36&lt;=$I36),"",$V36*MAX(0,MIN($J36,50)-MAX($I36,30))/($J36-$I36))</f>
        <v/>
      </c>
      <c r="Z36" s="15" t="str">
        <f aca="false">IF(OR($V36="",$I36="",$J36="",$J36&lt;=$I36),"",$V36*MAX(0,MIN($J36,100)-MAX($I36,50))/($J36-$I36))</f>
        <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
      </c>
    </row>
    <row r="37" customFormat="false" ht="15.75" hidden="false" customHeight="true" outlineLevel="0" collapsed="false">
      <c r="A37" s="14"/>
      <c r="B37" s="14"/>
      <c r="C37" s="24"/>
      <c r="D37" s="24"/>
      <c r="E37" s="14"/>
      <c r="F37" s="16" t="str">
        <f aca="false">IF(OR($C37="",$D37=""),"",$D37-$C37)</f>
        <v/>
      </c>
      <c r="G37" s="25" t="str">
        <f aca="false">IF($A37="","",IFERROR(INDEX('2. Plot &amp; Core Log'!$M$6:$M$35,MATCH($A37,'2. Plot &amp; Core Log'!$B$6:$B$35,0)),""))</f>
        <v/>
      </c>
      <c r="H37" s="26" t="str">
        <f aca="false">IF($A37="","",IFERROR(INDEX('2. Plot &amp; Core Log'!$S$6:$S$35,MATCH($A37,'2. Plot &amp; Core Log'!$B$6:$B$35,0)),""))</f>
        <v/>
      </c>
      <c r="I37" s="16" t="str">
        <f aca="false">IF(OR($C37="",$G37=""),"",$C37*$G37)</f>
        <v/>
      </c>
      <c r="J37" s="16" t="str">
        <f aca="false">IF(OR($D37="",$G37=""),"",$D37*$G37)</f>
        <v/>
      </c>
      <c r="K37" s="16" t="str">
        <f aca="false">IF(OR($F37="",$H37=""),"",PI()*(($H37/2)^2)*$F37)</f>
        <v/>
      </c>
      <c r="L37" s="27"/>
      <c r="M37" s="27"/>
      <c r="N37" s="27"/>
      <c r="O37" s="27"/>
      <c r="P37" s="16" t="str">
        <f aca="false">IF(OR($L37="",$M37="",$L37=0),"",(($L37-$M37)/$L37)*100)</f>
        <v/>
      </c>
      <c r="Q37" s="15" t="str">
        <f aca="false">IF(OR($M37="",$K37="",$K37=0),"",$M37/$K37)</f>
        <v/>
      </c>
      <c r="R37" s="15" t="str">
        <f aca="false">IF(OR($N37="",$O37=""),"",IF(UPPER($O37)="OC",$N37,IF(UPPER($O37)="LOI",IF(OR(LOI_INTERCEPT="",LOI_SLOPE=""),"",IF(LOI_INTERCEPT+LOI_SLOPE*$N37&lt;0,"",LOI_INTERCEPT+LOI_SLOPE*$N37)),"")))</f>
        <v/>
      </c>
      <c r="S37" s="18" t="str">
        <f aca="false">IF($R37="","",$R37*10)</f>
        <v/>
      </c>
      <c r="T37" s="28" t="str">
        <f aca="false">IF(OR($Q37="",$R37=""),"",$Q37*$R37/100)</f>
        <v/>
      </c>
      <c r="U37" s="29" t="str">
        <f aca="false">IF(OR($T37="",$F37=""),"",$T37*$F37)</f>
        <v/>
      </c>
      <c r="V37" s="15" t="str">
        <f aca="false">IF($U37="","",$U37*10)</f>
        <v/>
      </c>
      <c r="W37" s="15" t="str">
        <f aca="false">IF(OR($V37="",$I37="",$J37="",$J37&lt;=$I37),"",$V37*MAX(0,MIN($J37,15)-MAX($I37,0))/($J37-$I37))</f>
        <v/>
      </c>
      <c r="X37" s="15" t="str">
        <f aca="false">IF(OR($V37="",$I37="",$J37="",$J37&lt;=$I37),"",$V37*MAX(0,MIN($J37,30)-MAX($I37,15))/($J37-$I37))</f>
        <v/>
      </c>
      <c r="Y37" s="15" t="str">
        <f aca="false">IF(OR($V37="",$I37="",$J37="",$J37&lt;=$I37),"",$V37*MAX(0,MIN($J37,50)-MAX($I37,30))/($J37-$I37))</f>
        <v/>
      </c>
      <c r="Z37" s="15" t="str">
        <f aca="false">IF(OR($V37="",$I37="",$J37="",$J37&lt;=$I37),"",$V37*MAX(0,MIN($J37,100)-MAX($I37,50))/($J37-$I37))</f>
        <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
      </c>
    </row>
    <row r="38" customFormat="false" ht="15.75" hidden="false" customHeight="true" outlineLevel="0" collapsed="false">
      <c r="A38" s="14"/>
      <c r="B38" s="14"/>
      <c r="C38" s="24"/>
      <c r="D38" s="24"/>
      <c r="E38" s="14"/>
      <c r="F38" s="16" t="str">
        <f aca="false">IF(OR($C38="",$D38=""),"",$D38-$C38)</f>
        <v/>
      </c>
      <c r="G38" s="25" t="str">
        <f aca="false">IF($A38="","",IFERROR(INDEX('2. Plot &amp; Core Log'!$M$6:$M$35,MATCH($A38,'2. Plot &amp; Core Log'!$B$6:$B$35,0)),""))</f>
        <v/>
      </c>
      <c r="H38" s="26" t="str">
        <f aca="false">IF($A38="","",IFERROR(INDEX('2. Plot &amp; Core Log'!$S$6:$S$35,MATCH($A38,'2. Plot &amp; Core Log'!$B$6:$B$35,0)),""))</f>
        <v/>
      </c>
      <c r="I38" s="16" t="str">
        <f aca="false">IF(OR($C38="",$G38=""),"",$C38*$G38)</f>
        <v/>
      </c>
      <c r="J38" s="16" t="str">
        <f aca="false">IF(OR($D38="",$G38=""),"",$D38*$G38)</f>
        <v/>
      </c>
      <c r="K38" s="16" t="str">
        <f aca="false">IF(OR($F38="",$H38=""),"",PI()*(($H38/2)^2)*$F38)</f>
        <v/>
      </c>
      <c r="L38" s="27"/>
      <c r="M38" s="27"/>
      <c r="N38" s="27"/>
      <c r="O38" s="27"/>
      <c r="P38" s="16" t="str">
        <f aca="false">IF(OR($L38="",$M38="",$L38=0),"",(($L38-$M38)/$L38)*100)</f>
        <v/>
      </c>
      <c r="Q38" s="15" t="str">
        <f aca="false">IF(OR($M38="",$K38="",$K38=0),"",$M38/$K38)</f>
        <v/>
      </c>
      <c r="R38" s="15" t="str">
        <f aca="false">IF(OR($N38="",$O38=""),"",IF(UPPER($O38)="OC",$N38,IF(UPPER($O38)="LOI",IF(OR(LOI_INTERCEPT="",LOI_SLOPE=""),"",IF(LOI_INTERCEPT+LOI_SLOPE*$N38&lt;0,"",LOI_INTERCEPT+LOI_SLOPE*$N38)),"")))</f>
        <v/>
      </c>
      <c r="S38" s="18" t="str">
        <f aca="false">IF($R38="","",$R38*10)</f>
        <v/>
      </c>
      <c r="T38" s="28" t="str">
        <f aca="false">IF(OR($Q38="",$R38=""),"",$Q38*$R38/100)</f>
        <v/>
      </c>
      <c r="U38" s="29" t="str">
        <f aca="false">IF(OR($T38="",$F38=""),"",$T38*$F38)</f>
        <v/>
      </c>
      <c r="V38" s="15" t="str">
        <f aca="false">IF($U38="","",$U38*10)</f>
        <v/>
      </c>
      <c r="W38" s="15" t="str">
        <f aca="false">IF(OR($V38="",$I38="",$J38="",$J38&lt;=$I38),"",$V38*MAX(0,MIN($J38,15)-MAX($I38,0))/($J38-$I38))</f>
        <v/>
      </c>
      <c r="X38" s="15" t="str">
        <f aca="false">IF(OR($V38="",$I38="",$J38="",$J38&lt;=$I38),"",$V38*MAX(0,MIN($J38,30)-MAX($I38,15))/($J38-$I38))</f>
        <v/>
      </c>
      <c r="Y38" s="15" t="str">
        <f aca="false">IF(OR($V38="",$I38="",$J38="",$J38&lt;=$I38),"",$V38*MAX(0,MIN($J38,50)-MAX($I38,30))/($J38-$I38))</f>
        <v/>
      </c>
      <c r="Z38" s="15" t="str">
        <f aca="false">IF(OR($V38="",$I38="",$J38="",$J38&lt;=$I38),"",$V38*MAX(0,MIN($J38,100)-MAX($I38,50))/($J38-$I38))</f>
        <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
      </c>
    </row>
    <row r="39" customFormat="false" ht="15.75" hidden="false" customHeight="true" outlineLevel="0" collapsed="false">
      <c r="A39" s="14"/>
      <c r="B39" s="14"/>
      <c r="C39" s="24"/>
      <c r="D39" s="24"/>
      <c r="E39" s="14"/>
      <c r="F39" s="16" t="str">
        <f aca="false">IF(OR($C39="",$D39=""),"",$D39-$C39)</f>
        <v/>
      </c>
      <c r="G39" s="25" t="str">
        <f aca="false">IF($A39="","",IFERROR(INDEX('2. Plot &amp; Core Log'!$M$6:$M$35,MATCH($A39,'2. Plot &amp; Core Log'!$B$6:$B$35,0)),""))</f>
        <v/>
      </c>
      <c r="H39" s="26" t="str">
        <f aca="false">IF($A39="","",IFERROR(INDEX('2. Plot &amp; Core Log'!$S$6:$S$35,MATCH($A39,'2. Plot &amp; Core Log'!$B$6:$B$35,0)),""))</f>
        <v/>
      </c>
      <c r="I39" s="16" t="str">
        <f aca="false">IF(OR($C39="",$G39=""),"",$C39*$G39)</f>
        <v/>
      </c>
      <c r="J39" s="16" t="str">
        <f aca="false">IF(OR($D39="",$G39=""),"",$D39*$G39)</f>
        <v/>
      </c>
      <c r="K39" s="16" t="str">
        <f aca="false">IF(OR($F39="",$H39=""),"",PI()*(($H39/2)^2)*$F39)</f>
        <v/>
      </c>
      <c r="L39" s="27"/>
      <c r="M39" s="27"/>
      <c r="N39" s="27"/>
      <c r="O39" s="27"/>
      <c r="P39" s="16" t="str">
        <f aca="false">IF(OR($L39="",$M39="",$L39=0),"",(($L39-$M39)/$L39)*100)</f>
        <v/>
      </c>
      <c r="Q39" s="15" t="str">
        <f aca="false">IF(OR($M39="",$K39="",$K39=0),"",$M39/$K39)</f>
        <v/>
      </c>
      <c r="R39" s="15" t="str">
        <f aca="false">IF(OR($N39="",$O39=""),"",IF(UPPER($O39)="OC",$N39,IF(UPPER($O39)="LOI",IF(OR(LOI_INTERCEPT="",LOI_SLOPE=""),"",IF(LOI_INTERCEPT+LOI_SLOPE*$N39&lt;0,"",LOI_INTERCEPT+LOI_SLOPE*$N39)),"")))</f>
        <v/>
      </c>
      <c r="S39" s="18" t="str">
        <f aca="false">IF($R39="","",$R39*10)</f>
        <v/>
      </c>
      <c r="T39" s="28" t="str">
        <f aca="false">IF(OR($Q39="",$R39=""),"",$Q39*$R39/100)</f>
        <v/>
      </c>
      <c r="U39" s="29" t="str">
        <f aca="false">IF(OR($T39="",$F39=""),"",$T39*$F39)</f>
        <v/>
      </c>
      <c r="V39" s="15" t="str">
        <f aca="false">IF($U39="","",$U39*10)</f>
        <v/>
      </c>
      <c r="W39" s="15" t="str">
        <f aca="false">IF(OR($V39="",$I39="",$J39="",$J39&lt;=$I39),"",$V39*MAX(0,MIN($J39,15)-MAX($I39,0))/($J39-$I39))</f>
        <v/>
      </c>
      <c r="X39" s="15" t="str">
        <f aca="false">IF(OR($V39="",$I39="",$J39="",$J39&lt;=$I39),"",$V39*MAX(0,MIN($J39,30)-MAX($I39,15))/($J39-$I39))</f>
        <v/>
      </c>
      <c r="Y39" s="15" t="str">
        <f aca="false">IF(OR($V39="",$I39="",$J39="",$J39&lt;=$I39),"",$V39*MAX(0,MIN($J39,50)-MAX($I39,30))/($J39-$I39))</f>
        <v/>
      </c>
      <c r="Z39" s="15" t="str">
        <f aca="false">IF(OR($V39="",$I39="",$J39="",$J39&lt;=$I39),"",$V39*MAX(0,MIN($J39,100)-MAX($I39,50))/($J39-$I39))</f>
        <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
      </c>
    </row>
    <row r="40" customFormat="false" ht="15.75" hidden="false" customHeight="true" outlineLevel="0" collapsed="false">
      <c r="A40" s="14"/>
      <c r="B40" s="14"/>
      <c r="C40" s="24"/>
      <c r="D40" s="24"/>
      <c r="E40" s="14"/>
      <c r="F40" s="16" t="str">
        <f aca="false">IF(OR($C40="",$D40=""),"",$D40-$C40)</f>
        <v/>
      </c>
      <c r="G40" s="25" t="str">
        <f aca="false">IF($A40="","",IFERROR(INDEX('2. Plot &amp; Core Log'!$M$6:$M$35,MATCH($A40,'2. Plot &amp; Core Log'!$B$6:$B$35,0)),""))</f>
        <v/>
      </c>
      <c r="H40" s="26" t="str">
        <f aca="false">IF($A40="","",IFERROR(INDEX('2. Plot &amp; Core Log'!$S$6:$S$35,MATCH($A40,'2. Plot &amp; Core Log'!$B$6:$B$35,0)),""))</f>
        <v/>
      </c>
      <c r="I40" s="16" t="str">
        <f aca="false">IF(OR($C40="",$G40=""),"",$C40*$G40)</f>
        <v/>
      </c>
      <c r="J40" s="16" t="str">
        <f aca="false">IF(OR($D40="",$G40=""),"",$D40*$G40)</f>
        <v/>
      </c>
      <c r="K40" s="16" t="str">
        <f aca="false">IF(OR($F40="",$H40=""),"",PI()*(($H40/2)^2)*$F40)</f>
        <v/>
      </c>
      <c r="L40" s="27"/>
      <c r="M40" s="27"/>
      <c r="N40" s="27"/>
      <c r="O40" s="27"/>
      <c r="P40" s="16" t="str">
        <f aca="false">IF(OR($L40="",$M40="",$L40=0),"",(($L40-$M40)/$L40)*100)</f>
        <v/>
      </c>
      <c r="Q40" s="15" t="str">
        <f aca="false">IF(OR($M40="",$K40="",$K40=0),"",$M40/$K40)</f>
        <v/>
      </c>
      <c r="R40" s="15" t="str">
        <f aca="false">IF(OR($N40="",$O40=""),"",IF(UPPER($O40)="OC",$N40,IF(UPPER($O40)="LOI",IF(OR(LOI_INTERCEPT="",LOI_SLOPE=""),"",IF(LOI_INTERCEPT+LOI_SLOPE*$N40&lt;0,"",LOI_INTERCEPT+LOI_SLOPE*$N40)),"")))</f>
        <v/>
      </c>
      <c r="S40" s="18" t="str">
        <f aca="false">IF($R40="","",$R40*10)</f>
        <v/>
      </c>
      <c r="T40" s="28" t="str">
        <f aca="false">IF(OR($Q40="",$R40=""),"",$Q40*$R40/100)</f>
        <v/>
      </c>
      <c r="U40" s="29" t="str">
        <f aca="false">IF(OR($T40="",$F40=""),"",$T40*$F40)</f>
        <v/>
      </c>
      <c r="V40" s="15" t="str">
        <f aca="false">IF($U40="","",$U40*10)</f>
        <v/>
      </c>
      <c r="W40" s="15" t="str">
        <f aca="false">IF(OR($V40="",$I40="",$J40="",$J40&lt;=$I40),"",$V40*MAX(0,MIN($J40,15)-MAX($I40,0))/($J40-$I40))</f>
        <v/>
      </c>
      <c r="X40" s="15" t="str">
        <f aca="false">IF(OR($V40="",$I40="",$J40="",$J40&lt;=$I40),"",$V40*MAX(0,MIN($J40,30)-MAX($I40,15))/($J40-$I40))</f>
        <v/>
      </c>
      <c r="Y40" s="15" t="str">
        <f aca="false">IF(OR($V40="",$I40="",$J40="",$J40&lt;=$I40),"",$V40*MAX(0,MIN($J40,50)-MAX($I40,30))/($J40-$I40))</f>
        <v/>
      </c>
      <c r="Z40" s="15" t="str">
        <f aca="false">IF(OR($V40="",$I40="",$J40="",$J40&lt;=$I40),"",$V40*MAX(0,MIN($J40,100)-MAX($I40,50))/($J40-$I40))</f>
        <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
      </c>
    </row>
    <row r="41" customFormat="false" ht="15.75" hidden="false" customHeight="true" outlineLevel="0" collapsed="false">
      <c r="A41" s="14"/>
      <c r="B41" s="14"/>
      <c r="C41" s="24"/>
      <c r="D41" s="24"/>
      <c r="E41" s="14"/>
      <c r="F41" s="16" t="str">
        <f aca="false">IF(OR($C41="",$D41=""),"",$D41-$C41)</f>
        <v/>
      </c>
      <c r="G41" s="25" t="str">
        <f aca="false">IF($A41="","",IFERROR(INDEX('2. Plot &amp; Core Log'!$M$6:$M$35,MATCH($A41,'2. Plot &amp; Core Log'!$B$6:$B$35,0)),""))</f>
        <v/>
      </c>
      <c r="H41" s="26" t="str">
        <f aca="false">IF($A41="","",IFERROR(INDEX('2. Plot &amp; Core Log'!$S$6:$S$35,MATCH($A41,'2. Plot &amp; Core Log'!$B$6:$B$35,0)),""))</f>
        <v/>
      </c>
      <c r="I41" s="16" t="str">
        <f aca="false">IF(OR($C41="",$G41=""),"",$C41*$G41)</f>
        <v/>
      </c>
      <c r="J41" s="16" t="str">
        <f aca="false">IF(OR($D41="",$G41=""),"",$D41*$G41)</f>
        <v/>
      </c>
      <c r="K41" s="16" t="str">
        <f aca="false">IF(OR($F41="",$H41=""),"",PI()*(($H41/2)^2)*$F41)</f>
        <v/>
      </c>
      <c r="L41" s="27"/>
      <c r="M41" s="27"/>
      <c r="N41" s="27"/>
      <c r="O41" s="27"/>
      <c r="P41" s="16" t="str">
        <f aca="false">IF(OR($L41="",$M41="",$L41=0),"",(($L41-$M41)/$L41)*100)</f>
        <v/>
      </c>
      <c r="Q41" s="15" t="str">
        <f aca="false">IF(OR($M41="",$K41="",$K41=0),"",$M41/$K41)</f>
        <v/>
      </c>
      <c r="R41" s="15" t="str">
        <f aca="false">IF(OR($N41="",$O41=""),"",IF(UPPER($O41)="OC",$N41,IF(UPPER($O41)="LOI",IF(OR(LOI_INTERCEPT="",LOI_SLOPE=""),"",IF(LOI_INTERCEPT+LOI_SLOPE*$N41&lt;0,"",LOI_INTERCEPT+LOI_SLOPE*$N41)),"")))</f>
        <v/>
      </c>
      <c r="S41" s="18" t="str">
        <f aca="false">IF($R41="","",$R41*10)</f>
        <v/>
      </c>
      <c r="T41" s="28" t="str">
        <f aca="false">IF(OR($Q41="",$R41=""),"",$Q41*$R41/100)</f>
        <v/>
      </c>
      <c r="U41" s="29" t="str">
        <f aca="false">IF(OR($T41="",$F41=""),"",$T41*$F41)</f>
        <v/>
      </c>
      <c r="V41" s="15" t="str">
        <f aca="false">IF($U41="","",$U41*10)</f>
        <v/>
      </c>
      <c r="W41" s="15" t="str">
        <f aca="false">IF(OR($V41="",$I41="",$J41="",$J41&lt;=$I41),"",$V41*MAX(0,MIN($J41,15)-MAX($I41,0))/($J41-$I41))</f>
        <v/>
      </c>
      <c r="X41" s="15" t="str">
        <f aca="false">IF(OR($V41="",$I41="",$J41="",$J41&lt;=$I41),"",$V41*MAX(0,MIN($J41,30)-MAX($I41,15))/($J41-$I41))</f>
        <v/>
      </c>
      <c r="Y41" s="15" t="str">
        <f aca="false">IF(OR($V41="",$I41="",$J41="",$J41&lt;=$I41),"",$V41*MAX(0,MIN($J41,50)-MAX($I41,30))/($J41-$I41))</f>
        <v/>
      </c>
      <c r="Z41" s="15" t="str">
        <f aca="false">IF(OR($V41="",$I41="",$J41="",$J41&lt;=$I41),"",$V41*MAX(0,MIN($J41,100)-MAX($I41,50))/($J41-$I41))</f>
        <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
      </c>
    </row>
    <row r="42" customFormat="false" ht="15.75" hidden="false" customHeight="true" outlineLevel="0" collapsed="false">
      <c r="A42" s="14"/>
      <c r="B42" s="14"/>
      <c r="C42" s="24"/>
      <c r="D42" s="24"/>
      <c r="E42" s="14"/>
      <c r="F42" s="16" t="str">
        <f aca="false">IF(OR($C42="",$D42=""),"",$D42-$C42)</f>
        <v/>
      </c>
      <c r="G42" s="25" t="str">
        <f aca="false">IF($A42="","",IFERROR(INDEX('2. Plot &amp; Core Log'!$M$6:$M$35,MATCH($A42,'2. Plot &amp; Core Log'!$B$6:$B$35,0)),""))</f>
        <v/>
      </c>
      <c r="H42" s="26" t="str">
        <f aca="false">IF($A42="","",IFERROR(INDEX('2. Plot &amp; Core Log'!$S$6:$S$35,MATCH($A42,'2. Plot &amp; Core Log'!$B$6:$B$35,0)),""))</f>
        <v/>
      </c>
      <c r="I42" s="16" t="str">
        <f aca="false">IF(OR($C42="",$G42=""),"",$C42*$G42)</f>
        <v/>
      </c>
      <c r="J42" s="16" t="str">
        <f aca="false">IF(OR($D42="",$G42=""),"",$D42*$G42)</f>
        <v/>
      </c>
      <c r="K42" s="16" t="str">
        <f aca="false">IF(OR($F42="",$H42=""),"",PI()*(($H42/2)^2)*$F42)</f>
        <v/>
      </c>
      <c r="L42" s="27"/>
      <c r="M42" s="27"/>
      <c r="N42" s="27"/>
      <c r="O42" s="27"/>
      <c r="P42" s="16" t="str">
        <f aca="false">IF(OR($L42="",$M42="",$L42=0),"",(($L42-$M42)/$L42)*100)</f>
        <v/>
      </c>
      <c r="Q42" s="15" t="str">
        <f aca="false">IF(OR($M42="",$K42="",$K42=0),"",$M42/$K42)</f>
        <v/>
      </c>
      <c r="R42" s="15" t="str">
        <f aca="false">IF(OR($N42="",$O42=""),"",IF(UPPER($O42)="OC",$N42,IF(UPPER($O42)="LOI",IF(OR(LOI_INTERCEPT="",LOI_SLOPE=""),"",IF(LOI_INTERCEPT+LOI_SLOPE*$N42&lt;0,"",LOI_INTERCEPT+LOI_SLOPE*$N42)),"")))</f>
        <v/>
      </c>
      <c r="S42" s="18" t="str">
        <f aca="false">IF($R42="","",$R42*10)</f>
        <v/>
      </c>
      <c r="T42" s="28" t="str">
        <f aca="false">IF(OR($Q42="",$R42=""),"",$Q42*$R42/100)</f>
        <v/>
      </c>
      <c r="U42" s="29" t="str">
        <f aca="false">IF(OR($T42="",$F42=""),"",$T42*$F42)</f>
        <v/>
      </c>
      <c r="V42" s="15" t="str">
        <f aca="false">IF($U42="","",$U42*10)</f>
        <v/>
      </c>
      <c r="W42" s="15" t="str">
        <f aca="false">IF(OR($V42="",$I42="",$J42="",$J42&lt;=$I42),"",$V42*MAX(0,MIN($J42,15)-MAX($I42,0))/($J42-$I42))</f>
        <v/>
      </c>
      <c r="X42" s="15" t="str">
        <f aca="false">IF(OR($V42="",$I42="",$J42="",$J42&lt;=$I42),"",$V42*MAX(0,MIN($J42,30)-MAX($I42,15))/($J42-$I42))</f>
        <v/>
      </c>
      <c r="Y42" s="15" t="str">
        <f aca="false">IF(OR($V42="",$I42="",$J42="",$J42&lt;=$I42),"",$V42*MAX(0,MIN($J42,50)-MAX($I42,30))/($J42-$I42))</f>
        <v/>
      </c>
      <c r="Z42" s="15" t="str">
        <f aca="false">IF(OR($V42="",$I42="",$J42="",$J42&lt;=$I42),"",$V42*MAX(0,MIN($J42,100)-MAX($I42,50))/($J42-$I42))</f>
        <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
      </c>
    </row>
    <row r="43" customFormat="false" ht="15.75" hidden="false" customHeight="true" outlineLevel="0" collapsed="false">
      <c r="A43" s="14"/>
      <c r="B43" s="14"/>
      <c r="C43" s="24"/>
      <c r="D43" s="24"/>
      <c r="E43" s="14"/>
      <c r="F43" s="16" t="str">
        <f aca="false">IF(OR($C43="",$D43=""),"",$D43-$C43)</f>
        <v/>
      </c>
      <c r="G43" s="25" t="str">
        <f aca="false">IF($A43="","",IFERROR(INDEX('2. Plot &amp; Core Log'!$M$6:$M$35,MATCH($A43,'2. Plot &amp; Core Log'!$B$6:$B$35,0)),""))</f>
        <v/>
      </c>
      <c r="H43" s="26" t="str">
        <f aca="false">IF($A43="","",IFERROR(INDEX('2. Plot &amp; Core Log'!$S$6:$S$35,MATCH($A43,'2. Plot &amp; Core Log'!$B$6:$B$35,0)),""))</f>
        <v/>
      </c>
      <c r="I43" s="16" t="str">
        <f aca="false">IF(OR($C43="",$G43=""),"",$C43*$G43)</f>
        <v/>
      </c>
      <c r="J43" s="16" t="str">
        <f aca="false">IF(OR($D43="",$G43=""),"",$D43*$G43)</f>
        <v/>
      </c>
      <c r="K43" s="16" t="str">
        <f aca="false">IF(OR($F43="",$H43=""),"",PI()*(($H43/2)^2)*$F43)</f>
        <v/>
      </c>
      <c r="L43" s="27"/>
      <c r="M43" s="27"/>
      <c r="N43" s="27"/>
      <c r="O43" s="27"/>
      <c r="P43" s="16" t="str">
        <f aca="false">IF(OR($L43="",$M43="",$L43=0),"",(($L43-$M43)/$L43)*100)</f>
        <v/>
      </c>
      <c r="Q43" s="15" t="str">
        <f aca="false">IF(OR($M43="",$K43="",$K43=0),"",$M43/$K43)</f>
        <v/>
      </c>
      <c r="R43" s="15" t="str">
        <f aca="false">IF(OR($N43="",$O43=""),"",IF(UPPER($O43)="OC",$N43,IF(UPPER($O43)="LOI",IF(OR(LOI_INTERCEPT="",LOI_SLOPE=""),"",IF(LOI_INTERCEPT+LOI_SLOPE*$N43&lt;0,"",LOI_INTERCEPT+LOI_SLOPE*$N43)),"")))</f>
        <v/>
      </c>
      <c r="S43" s="18" t="str">
        <f aca="false">IF($R43="","",$R43*10)</f>
        <v/>
      </c>
      <c r="T43" s="28" t="str">
        <f aca="false">IF(OR($Q43="",$R43=""),"",$Q43*$R43/100)</f>
        <v/>
      </c>
      <c r="U43" s="29" t="str">
        <f aca="false">IF(OR($T43="",$F43=""),"",$T43*$F43)</f>
        <v/>
      </c>
      <c r="V43" s="15" t="str">
        <f aca="false">IF($U43="","",$U43*10)</f>
        <v/>
      </c>
      <c r="W43" s="15" t="str">
        <f aca="false">IF(OR($V43="",$I43="",$J43="",$J43&lt;=$I43),"",$V43*MAX(0,MIN($J43,15)-MAX($I43,0))/($J43-$I43))</f>
        <v/>
      </c>
      <c r="X43" s="15" t="str">
        <f aca="false">IF(OR($V43="",$I43="",$J43="",$J43&lt;=$I43),"",$V43*MAX(0,MIN($J43,30)-MAX($I43,15))/($J43-$I43))</f>
        <v/>
      </c>
      <c r="Y43" s="15" t="str">
        <f aca="false">IF(OR($V43="",$I43="",$J43="",$J43&lt;=$I43),"",$V43*MAX(0,MIN($J43,50)-MAX($I43,30))/($J43-$I43))</f>
        <v/>
      </c>
      <c r="Z43" s="15" t="str">
        <f aca="false">IF(OR($V43="",$I43="",$J43="",$J43&lt;=$I43),"",$V43*MAX(0,MIN($J43,100)-MAX($I43,50))/($J43-$I43))</f>
        <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
      </c>
    </row>
    <row r="44" customFormat="false" ht="15.75" hidden="false" customHeight="true" outlineLevel="0" collapsed="false">
      <c r="A44" s="14"/>
      <c r="B44" s="14"/>
      <c r="C44" s="24"/>
      <c r="D44" s="24"/>
      <c r="E44" s="14"/>
      <c r="F44" s="16" t="str">
        <f aca="false">IF(OR($C44="",$D44=""),"",$D44-$C44)</f>
        <v/>
      </c>
      <c r="G44" s="25" t="str">
        <f aca="false">IF($A44="","",IFERROR(INDEX('2. Plot &amp; Core Log'!$M$6:$M$35,MATCH($A44,'2. Plot &amp; Core Log'!$B$6:$B$35,0)),""))</f>
        <v/>
      </c>
      <c r="H44" s="26" t="str">
        <f aca="false">IF($A44="","",IFERROR(INDEX('2. Plot &amp; Core Log'!$S$6:$S$35,MATCH($A44,'2. Plot &amp; Core Log'!$B$6:$B$35,0)),""))</f>
        <v/>
      </c>
      <c r="I44" s="16" t="str">
        <f aca="false">IF(OR($C44="",$G44=""),"",$C44*$G44)</f>
        <v/>
      </c>
      <c r="J44" s="16" t="str">
        <f aca="false">IF(OR($D44="",$G44=""),"",$D44*$G44)</f>
        <v/>
      </c>
      <c r="K44" s="16" t="str">
        <f aca="false">IF(OR($F44="",$H44=""),"",PI()*(($H44/2)^2)*$F44)</f>
        <v/>
      </c>
      <c r="L44" s="27"/>
      <c r="M44" s="27"/>
      <c r="N44" s="27"/>
      <c r="O44" s="27"/>
      <c r="P44" s="16" t="str">
        <f aca="false">IF(OR($L44="",$M44="",$L44=0),"",(($L44-$M44)/$L44)*100)</f>
        <v/>
      </c>
      <c r="Q44" s="15" t="str">
        <f aca="false">IF(OR($M44="",$K44="",$K44=0),"",$M44/$K44)</f>
        <v/>
      </c>
      <c r="R44" s="15" t="str">
        <f aca="false">IF(OR($N44="",$O44=""),"",IF(UPPER($O44)="OC",$N44,IF(UPPER($O44)="LOI",IF(OR(LOI_INTERCEPT="",LOI_SLOPE=""),"",IF(LOI_INTERCEPT+LOI_SLOPE*$N44&lt;0,"",LOI_INTERCEPT+LOI_SLOPE*$N44)),"")))</f>
        <v/>
      </c>
      <c r="S44" s="18" t="str">
        <f aca="false">IF($R44="","",$R44*10)</f>
        <v/>
      </c>
      <c r="T44" s="28" t="str">
        <f aca="false">IF(OR($Q44="",$R44=""),"",$Q44*$R44/100)</f>
        <v/>
      </c>
      <c r="U44" s="29" t="str">
        <f aca="false">IF(OR($T44="",$F44=""),"",$T44*$F44)</f>
        <v/>
      </c>
      <c r="V44" s="15" t="str">
        <f aca="false">IF($U44="","",$U44*10)</f>
        <v/>
      </c>
      <c r="W44" s="15" t="str">
        <f aca="false">IF(OR($V44="",$I44="",$J44="",$J44&lt;=$I44),"",$V44*MAX(0,MIN($J44,15)-MAX($I44,0))/($J44-$I44))</f>
        <v/>
      </c>
      <c r="X44" s="15" t="str">
        <f aca="false">IF(OR($V44="",$I44="",$J44="",$J44&lt;=$I44),"",$V44*MAX(0,MIN($J44,30)-MAX($I44,15))/($J44-$I44))</f>
        <v/>
      </c>
      <c r="Y44" s="15" t="str">
        <f aca="false">IF(OR($V44="",$I44="",$J44="",$J44&lt;=$I44),"",$V44*MAX(0,MIN($J44,50)-MAX($I44,30))/($J44-$I44))</f>
        <v/>
      </c>
      <c r="Z44" s="15" t="str">
        <f aca="false">IF(OR($V44="",$I44="",$J44="",$J44&lt;=$I44),"",$V44*MAX(0,MIN($J44,100)-MAX($I44,50))/($J44-$I44))</f>
        <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
      </c>
    </row>
    <row r="45" customFormat="false" ht="15.75" hidden="false" customHeight="true" outlineLevel="0" collapsed="false">
      <c r="A45" s="14"/>
      <c r="B45" s="14"/>
      <c r="C45" s="24"/>
      <c r="D45" s="24"/>
      <c r="E45" s="14"/>
      <c r="F45" s="16" t="str">
        <f aca="false">IF(OR($C45="",$D45=""),"",$D45-$C45)</f>
        <v/>
      </c>
      <c r="G45" s="25" t="str">
        <f aca="false">IF($A45="","",IFERROR(INDEX('2. Plot &amp; Core Log'!$M$6:$M$35,MATCH($A45,'2. Plot &amp; Core Log'!$B$6:$B$35,0)),""))</f>
        <v/>
      </c>
      <c r="H45" s="26" t="str">
        <f aca="false">IF($A45="","",IFERROR(INDEX('2. Plot &amp; Core Log'!$S$6:$S$35,MATCH($A45,'2. Plot &amp; Core Log'!$B$6:$B$35,0)),""))</f>
        <v/>
      </c>
      <c r="I45" s="16" t="str">
        <f aca="false">IF(OR($C45="",$G45=""),"",$C45*$G45)</f>
        <v/>
      </c>
      <c r="J45" s="16" t="str">
        <f aca="false">IF(OR($D45="",$G45=""),"",$D45*$G45)</f>
        <v/>
      </c>
      <c r="K45" s="16" t="str">
        <f aca="false">IF(OR($F45="",$H45=""),"",PI()*(($H45/2)^2)*$F45)</f>
        <v/>
      </c>
      <c r="L45" s="27"/>
      <c r="M45" s="27"/>
      <c r="N45" s="27"/>
      <c r="O45" s="27"/>
      <c r="P45" s="16" t="str">
        <f aca="false">IF(OR($L45="",$M45="",$L45=0),"",(($L45-$M45)/$L45)*100)</f>
        <v/>
      </c>
      <c r="Q45" s="15" t="str">
        <f aca="false">IF(OR($M45="",$K45="",$K45=0),"",$M45/$K45)</f>
        <v/>
      </c>
      <c r="R45" s="15" t="str">
        <f aca="false">IF(OR($N45="",$O45=""),"",IF(UPPER($O45)="OC",$N45,IF(UPPER($O45)="LOI",IF(OR(LOI_INTERCEPT="",LOI_SLOPE=""),"",IF(LOI_INTERCEPT+LOI_SLOPE*$N45&lt;0,"",LOI_INTERCEPT+LOI_SLOPE*$N45)),"")))</f>
        <v/>
      </c>
      <c r="S45" s="18" t="str">
        <f aca="false">IF($R45="","",$R45*10)</f>
        <v/>
      </c>
      <c r="T45" s="28" t="str">
        <f aca="false">IF(OR($Q45="",$R45=""),"",$Q45*$R45/100)</f>
        <v/>
      </c>
      <c r="U45" s="29" t="str">
        <f aca="false">IF(OR($T45="",$F45=""),"",$T45*$F45)</f>
        <v/>
      </c>
      <c r="V45" s="15" t="str">
        <f aca="false">IF($U45="","",$U45*10)</f>
        <v/>
      </c>
      <c r="W45" s="15" t="str">
        <f aca="false">IF(OR($V45="",$I45="",$J45="",$J45&lt;=$I45),"",$V45*MAX(0,MIN($J45,15)-MAX($I45,0))/($J45-$I45))</f>
        <v/>
      </c>
      <c r="X45" s="15" t="str">
        <f aca="false">IF(OR($V45="",$I45="",$J45="",$J45&lt;=$I45),"",$V45*MAX(0,MIN($J45,30)-MAX($I45,15))/($J45-$I45))</f>
        <v/>
      </c>
      <c r="Y45" s="15" t="str">
        <f aca="false">IF(OR($V45="",$I45="",$J45="",$J45&lt;=$I45),"",$V45*MAX(0,MIN($J45,50)-MAX($I45,30))/($J45-$I45))</f>
        <v/>
      </c>
      <c r="Z45" s="15" t="str">
        <f aca="false">IF(OR($V45="",$I45="",$J45="",$J45&lt;=$I45),"",$V45*MAX(0,MIN($J45,100)-MAX($I45,50))/($J45-$I45))</f>
        <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
      </c>
    </row>
    <row r="46" customFormat="false" ht="15.75" hidden="false" customHeight="true" outlineLevel="0" collapsed="false">
      <c r="A46" s="14"/>
      <c r="B46" s="14"/>
      <c r="C46" s="24"/>
      <c r="D46" s="24"/>
      <c r="E46" s="14"/>
      <c r="F46" s="16" t="str">
        <f aca="false">IF(OR($C46="",$D46=""),"",$D46-$C46)</f>
        <v/>
      </c>
      <c r="G46" s="25" t="str">
        <f aca="false">IF($A46="","",IFERROR(INDEX('2. Plot &amp; Core Log'!$M$6:$M$35,MATCH($A46,'2. Plot &amp; Core Log'!$B$6:$B$35,0)),""))</f>
        <v/>
      </c>
      <c r="H46" s="26" t="str">
        <f aca="false">IF($A46="","",IFERROR(INDEX('2. Plot &amp; Core Log'!$S$6:$S$35,MATCH($A46,'2. Plot &amp; Core Log'!$B$6:$B$35,0)),""))</f>
        <v/>
      </c>
      <c r="I46" s="16" t="str">
        <f aca="false">IF(OR($C46="",$G46=""),"",$C46*$G46)</f>
        <v/>
      </c>
      <c r="J46" s="16" t="str">
        <f aca="false">IF(OR($D46="",$G46=""),"",$D46*$G46)</f>
        <v/>
      </c>
      <c r="K46" s="16" t="str">
        <f aca="false">IF(OR($F46="",$H46=""),"",PI()*(($H46/2)^2)*$F46)</f>
        <v/>
      </c>
      <c r="L46" s="27"/>
      <c r="M46" s="27"/>
      <c r="N46" s="27"/>
      <c r="O46" s="27"/>
      <c r="P46" s="16" t="str">
        <f aca="false">IF(OR($L46="",$M46="",$L46=0),"",(($L46-$M46)/$L46)*100)</f>
        <v/>
      </c>
      <c r="Q46" s="15" t="str">
        <f aca="false">IF(OR($M46="",$K46="",$K46=0),"",$M46/$K46)</f>
        <v/>
      </c>
      <c r="R46" s="15" t="str">
        <f aca="false">IF(OR($N46="",$O46=""),"",IF(UPPER($O46)="OC",$N46,IF(UPPER($O46)="LOI",IF(OR(LOI_INTERCEPT="",LOI_SLOPE=""),"",IF(LOI_INTERCEPT+LOI_SLOPE*$N46&lt;0,"",LOI_INTERCEPT+LOI_SLOPE*$N46)),"")))</f>
        <v/>
      </c>
      <c r="S46" s="18" t="str">
        <f aca="false">IF($R46="","",$R46*10)</f>
        <v/>
      </c>
      <c r="T46" s="28" t="str">
        <f aca="false">IF(OR($Q46="",$R46=""),"",$Q46*$R46/100)</f>
        <v/>
      </c>
      <c r="U46" s="29" t="str">
        <f aca="false">IF(OR($T46="",$F46=""),"",$T46*$F46)</f>
        <v/>
      </c>
      <c r="V46" s="15" t="str">
        <f aca="false">IF($U46="","",$U46*10)</f>
        <v/>
      </c>
      <c r="W46" s="15" t="str">
        <f aca="false">IF(OR($V46="",$I46="",$J46="",$J46&lt;=$I46),"",$V46*MAX(0,MIN($J46,15)-MAX($I46,0))/($J46-$I46))</f>
        <v/>
      </c>
      <c r="X46" s="15" t="str">
        <f aca="false">IF(OR($V46="",$I46="",$J46="",$J46&lt;=$I46),"",$V46*MAX(0,MIN($J46,30)-MAX($I46,15))/($J46-$I46))</f>
        <v/>
      </c>
      <c r="Y46" s="15" t="str">
        <f aca="false">IF(OR($V46="",$I46="",$J46="",$J46&lt;=$I46),"",$V46*MAX(0,MIN($J46,50)-MAX($I46,30))/($J46-$I46))</f>
        <v/>
      </c>
      <c r="Z46" s="15" t="str">
        <f aca="false">IF(OR($V46="",$I46="",$J46="",$J46&lt;=$I46),"",$V46*MAX(0,MIN($J46,100)-MAX($I46,50))/($J46-$I46))</f>
        <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
      </c>
    </row>
    <row r="47" customFormat="false" ht="15.75" hidden="false" customHeight="true" outlineLevel="0" collapsed="false">
      <c r="A47" s="14"/>
      <c r="B47" s="14"/>
      <c r="C47" s="24"/>
      <c r="D47" s="24"/>
      <c r="E47" s="14"/>
      <c r="F47" s="16" t="str">
        <f aca="false">IF(OR($C47="",$D47=""),"",$D47-$C47)</f>
        <v/>
      </c>
      <c r="G47" s="25" t="str">
        <f aca="false">IF($A47="","",IFERROR(INDEX('2. Plot &amp; Core Log'!$M$6:$M$35,MATCH($A47,'2. Plot &amp; Core Log'!$B$6:$B$35,0)),""))</f>
        <v/>
      </c>
      <c r="H47" s="26" t="str">
        <f aca="false">IF($A47="","",IFERROR(INDEX('2. Plot &amp; Core Log'!$S$6:$S$35,MATCH($A47,'2. Plot &amp; Core Log'!$B$6:$B$35,0)),""))</f>
        <v/>
      </c>
      <c r="I47" s="16" t="str">
        <f aca="false">IF(OR($C47="",$G47=""),"",$C47*$G47)</f>
        <v/>
      </c>
      <c r="J47" s="16" t="str">
        <f aca="false">IF(OR($D47="",$G47=""),"",$D47*$G47)</f>
        <v/>
      </c>
      <c r="K47" s="16" t="str">
        <f aca="false">IF(OR($F47="",$H47=""),"",PI()*(($H47/2)^2)*$F47)</f>
        <v/>
      </c>
      <c r="L47" s="27"/>
      <c r="M47" s="27"/>
      <c r="N47" s="27"/>
      <c r="O47" s="27"/>
      <c r="P47" s="16" t="str">
        <f aca="false">IF(OR($L47="",$M47="",$L47=0),"",(($L47-$M47)/$L47)*100)</f>
        <v/>
      </c>
      <c r="Q47" s="15" t="str">
        <f aca="false">IF(OR($M47="",$K47="",$K47=0),"",$M47/$K47)</f>
        <v/>
      </c>
      <c r="R47" s="15" t="str">
        <f aca="false">IF(OR($N47="",$O47=""),"",IF(UPPER($O47)="OC",$N47,IF(UPPER($O47)="LOI",IF(OR(LOI_INTERCEPT="",LOI_SLOPE=""),"",IF(LOI_INTERCEPT+LOI_SLOPE*$N47&lt;0,"",LOI_INTERCEPT+LOI_SLOPE*$N47)),"")))</f>
        <v/>
      </c>
      <c r="S47" s="18" t="str">
        <f aca="false">IF($R47="","",$R47*10)</f>
        <v/>
      </c>
      <c r="T47" s="28" t="str">
        <f aca="false">IF(OR($Q47="",$R47=""),"",$Q47*$R47/100)</f>
        <v/>
      </c>
      <c r="U47" s="29" t="str">
        <f aca="false">IF(OR($T47="",$F47=""),"",$T47*$F47)</f>
        <v/>
      </c>
      <c r="V47" s="15" t="str">
        <f aca="false">IF($U47="","",$U47*10)</f>
        <v/>
      </c>
      <c r="W47" s="15" t="str">
        <f aca="false">IF(OR($V47="",$I47="",$J47="",$J47&lt;=$I47),"",$V47*MAX(0,MIN($J47,15)-MAX($I47,0))/($J47-$I47))</f>
        <v/>
      </c>
      <c r="X47" s="15" t="str">
        <f aca="false">IF(OR($V47="",$I47="",$J47="",$J47&lt;=$I47),"",$V47*MAX(0,MIN($J47,30)-MAX($I47,15))/($J47-$I47))</f>
        <v/>
      </c>
      <c r="Y47" s="15" t="str">
        <f aca="false">IF(OR($V47="",$I47="",$J47="",$J47&lt;=$I47),"",$V47*MAX(0,MIN($J47,50)-MAX($I47,30))/($J47-$I47))</f>
        <v/>
      </c>
      <c r="Z47" s="15" t="str">
        <f aca="false">IF(OR($V47="",$I47="",$J47="",$J47&lt;=$I47),"",$V47*MAX(0,MIN($J47,100)-MAX($I47,50))/($J47-$I47))</f>
        <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
      </c>
    </row>
    <row r="48" customFormat="false" ht="15.75" hidden="false" customHeight="true" outlineLevel="0" collapsed="false">
      <c r="A48" s="14"/>
      <c r="B48" s="14"/>
      <c r="C48" s="24"/>
      <c r="D48" s="24"/>
      <c r="E48" s="14"/>
      <c r="F48" s="16" t="str">
        <f aca="false">IF(OR($C48="",$D48=""),"",$D48-$C48)</f>
        <v/>
      </c>
      <c r="G48" s="25" t="str">
        <f aca="false">IF($A48="","",IFERROR(INDEX('2. Plot &amp; Core Log'!$M$6:$M$35,MATCH($A48,'2. Plot &amp; Core Log'!$B$6:$B$35,0)),""))</f>
        <v/>
      </c>
      <c r="H48" s="26" t="str">
        <f aca="false">IF($A48="","",IFERROR(INDEX('2. Plot &amp; Core Log'!$S$6:$S$35,MATCH($A48,'2. Plot &amp; Core Log'!$B$6:$B$35,0)),""))</f>
        <v/>
      </c>
      <c r="I48" s="16" t="str">
        <f aca="false">IF(OR($C48="",$G48=""),"",$C48*$G48)</f>
        <v/>
      </c>
      <c r="J48" s="16" t="str">
        <f aca="false">IF(OR($D48="",$G48=""),"",$D48*$G48)</f>
        <v/>
      </c>
      <c r="K48" s="16" t="str">
        <f aca="false">IF(OR($F48="",$H48=""),"",PI()*(($H48/2)^2)*$F48)</f>
        <v/>
      </c>
      <c r="L48" s="27"/>
      <c r="M48" s="27"/>
      <c r="N48" s="27"/>
      <c r="O48" s="27"/>
      <c r="P48" s="16" t="str">
        <f aca="false">IF(OR($L48="",$M48="",$L48=0),"",(($L48-$M48)/$L48)*100)</f>
        <v/>
      </c>
      <c r="Q48" s="15" t="str">
        <f aca="false">IF(OR($M48="",$K48="",$K48=0),"",$M48/$K48)</f>
        <v/>
      </c>
      <c r="R48" s="15" t="str">
        <f aca="false">IF(OR($N48="",$O48=""),"",IF(UPPER($O48)="OC",$N48,IF(UPPER($O48)="LOI",IF(OR(LOI_INTERCEPT="",LOI_SLOPE=""),"",IF(LOI_INTERCEPT+LOI_SLOPE*$N48&lt;0,"",LOI_INTERCEPT+LOI_SLOPE*$N48)),"")))</f>
        <v/>
      </c>
      <c r="S48" s="18" t="str">
        <f aca="false">IF($R48="","",$R48*10)</f>
        <v/>
      </c>
      <c r="T48" s="28" t="str">
        <f aca="false">IF(OR($Q48="",$R48=""),"",$Q48*$R48/100)</f>
        <v/>
      </c>
      <c r="U48" s="29" t="str">
        <f aca="false">IF(OR($T48="",$F48=""),"",$T48*$F48)</f>
        <v/>
      </c>
      <c r="V48" s="15" t="str">
        <f aca="false">IF($U48="","",$U48*10)</f>
        <v/>
      </c>
      <c r="W48" s="15" t="str">
        <f aca="false">IF(OR($V48="",$I48="",$J48="",$J48&lt;=$I48),"",$V48*MAX(0,MIN($J48,15)-MAX($I48,0))/($J48-$I48))</f>
        <v/>
      </c>
      <c r="X48" s="15" t="str">
        <f aca="false">IF(OR($V48="",$I48="",$J48="",$J48&lt;=$I48),"",$V48*MAX(0,MIN($J48,30)-MAX($I48,15))/($J48-$I48))</f>
        <v/>
      </c>
      <c r="Y48" s="15" t="str">
        <f aca="false">IF(OR($V48="",$I48="",$J48="",$J48&lt;=$I48),"",$V48*MAX(0,MIN($J48,50)-MAX($I48,30))/($J48-$I48))</f>
        <v/>
      </c>
      <c r="Z48" s="15" t="str">
        <f aca="false">IF(OR($V48="",$I48="",$J48="",$J48&lt;=$I48),"",$V48*MAX(0,MIN($J48,100)-MAX($I48,50))/($J48-$I48))</f>
        <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
      </c>
    </row>
    <row r="49" customFormat="false" ht="15.75" hidden="false" customHeight="true" outlineLevel="0" collapsed="false">
      <c r="A49" s="14"/>
      <c r="B49" s="14"/>
      <c r="C49" s="24"/>
      <c r="D49" s="24"/>
      <c r="E49" s="14"/>
      <c r="F49" s="16" t="str">
        <f aca="false">IF(OR($C49="",$D49=""),"",$D49-$C49)</f>
        <v/>
      </c>
      <c r="G49" s="25" t="str">
        <f aca="false">IF($A49="","",IFERROR(INDEX('2. Plot &amp; Core Log'!$M$6:$M$35,MATCH($A49,'2. Plot &amp; Core Log'!$B$6:$B$35,0)),""))</f>
        <v/>
      </c>
      <c r="H49" s="26" t="str">
        <f aca="false">IF($A49="","",IFERROR(INDEX('2. Plot &amp; Core Log'!$S$6:$S$35,MATCH($A49,'2. Plot &amp; Core Log'!$B$6:$B$35,0)),""))</f>
        <v/>
      </c>
      <c r="I49" s="16" t="str">
        <f aca="false">IF(OR($C49="",$G49=""),"",$C49*$G49)</f>
        <v/>
      </c>
      <c r="J49" s="16" t="str">
        <f aca="false">IF(OR($D49="",$G49=""),"",$D49*$G49)</f>
        <v/>
      </c>
      <c r="K49" s="16" t="str">
        <f aca="false">IF(OR($F49="",$H49=""),"",PI()*(($H49/2)^2)*$F49)</f>
        <v/>
      </c>
      <c r="L49" s="27"/>
      <c r="M49" s="27"/>
      <c r="N49" s="27"/>
      <c r="O49" s="27"/>
      <c r="P49" s="16" t="str">
        <f aca="false">IF(OR($L49="",$M49="",$L49=0),"",(($L49-$M49)/$L49)*100)</f>
        <v/>
      </c>
      <c r="Q49" s="15" t="str">
        <f aca="false">IF(OR($M49="",$K49="",$K49=0),"",$M49/$K49)</f>
        <v/>
      </c>
      <c r="R49" s="15" t="str">
        <f aca="false">IF(OR($N49="",$O49=""),"",IF(UPPER($O49)="OC",$N49,IF(UPPER($O49)="LOI",IF(OR(LOI_INTERCEPT="",LOI_SLOPE=""),"",IF(LOI_INTERCEPT+LOI_SLOPE*$N49&lt;0,"",LOI_INTERCEPT+LOI_SLOPE*$N49)),"")))</f>
        <v/>
      </c>
      <c r="S49" s="18" t="str">
        <f aca="false">IF($R49="","",$R49*10)</f>
        <v/>
      </c>
      <c r="T49" s="28" t="str">
        <f aca="false">IF(OR($Q49="",$R49=""),"",$Q49*$R49/100)</f>
        <v/>
      </c>
      <c r="U49" s="29" t="str">
        <f aca="false">IF(OR($T49="",$F49=""),"",$T49*$F49)</f>
        <v/>
      </c>
      <c r="V49" s="15" t="str">
        <f aca="false">IF($U49="","",$U49*10)</f>
        <v/>
      </c>
      <c r="W49" s="15" t="str">
        <f aca="false">IF(OR($V49="",$I49="",$J49="",$J49&lt;=$I49),"",$V49*MAX(0,MIN($J49,15)-MAX($I49,0))/($J49-$I49))</f>
        <v/>
      </c>
      <c r="X49" s="15" t="str">
        <f aca="false">IF(OR($V49="",$I49="",$J49="",$J49&lt;=$I49),"",$V49*MAX(0,MIN($J49,30)-MAX($I49,15))/($J49-$I49))</f>
        <v/>
      </c>
      <c r="Y49" s="15" t="str">
        <f aca="false">IF(OR($V49="",$I49="",$J49="",$J49&lt;=$I49),"",$V49*MAX(0,MIN($J49,50)-MAX($I49,30))/($J49-$I49))</f>
        <v/>
      </c>
      <c r="Z49" s="15" t="str">
        <f aca="false">IF(OR($V49="",$I49="",$J49="",$J49&lt;=$I49),"",$V49*MAX(0,MIN($J49,100)-MAX($I49,50))/($J49-$I49))</f>
        <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
      </c>
    </row>
    <row r="50" customFormat="false" ht="15.75" hidden="false" customHeight="true" outlineLevel="0" collapsed="false">
      <c r="A50" s="14"/>
      <c r="B50" s="14"/>
      <c r="C50" s="24"/>
      <c r="D50" s="24"/>
      <c r="E50" s="14"/>
      <c r="F50" s="16" t="str">
        <f aca="false">IF(OR($C50="",$D50=""),"",$D50-$C50)</f>
        <v/>
      </c>
      <c r="G50" s="25" t="str">
        <f aca="false">IF($A50="","",IFERROR(INDEX('2. Plot &amp; Core Log'!$M$6:$M$35,MATCH($A50,'2. Plot &amp; Core Log'!$B$6:$B$35,0)),""))</f>
        <v/>
      </c>
      <c r="H50" s="26" t="str">
        <f aca="false">IF($A50="","",IFERROR(INDEX('2. Plot &amp; Core Log'!$S$6:$S$35,MATCH($A50,'2. Plot &amp; Core Log'!$B$6:$B$35,0)),""))</f>
        <v/>
      </c>
      <c r="I50" s="16" t="str">
        <f aca="false">IF(OR($C50="",$G50=""),"",$C50*$G50)</f>
        <v/>
      </c>
      <c r="J50" s="16" t="str">
        <f aca="false">IF(OR($D50="",$G50=""),"",$D50*$G50)</f>
        <v/>
      </c>
      <c r="K50" s="16" t="str">
        <f aca="false">IF(OR($F50="",$H50=""),"",PI()*(($H50/2)^2)*$F50)</f>
        <v/>
      </c>
      <c r="L50" s="27"/>
      <c r="M50" s="27"/>
      <c r="N50" s="27"/>
      <c r="O50" s="27"/>
      <c r="P50" s="16" t="str">
        <f aca="false">IF(OR($L50="",$M50="",$L50=0),"",(($L50-$M50)/$L50)*100)</f>
        <v/>
      </c>
      <c r="Q50" s="15" t="str">
        <f aca="false">IF(OR($M50="",$K50="",$K50=0),"",$M50/$K50)</f>
        <v/>
      </c>
      <c r="R50" s="15" t="str">
        <f aca="false">IF(OR($N50="",$O50=""),"",IF(UPPER($O50)="OC",$N50,IF(UPPER($O50)="LOI",IF(OR(LOI_INTERCEPT="",LOI_SLOPE=""),"",IF(LOI_INTERCEPT+LOI_SLOPE*$N50&lt;0,"",LOI_INTERCEPT+LOI_SLOPE*$N50)),"")))</f>
        <v/>
      </c>
      <c r="S50" s="18" t="str">
        <f aca="false">IF($R50="","",$R50*10)</f>
        <v/>
      </c>
      <c r="T50" s="28" t="str">
        <f aca="false">IF(OR($Q50="",$R50=""),"",$Q50*$R50/100)</f>
        <v/>
      </c>
      <c r="U50" s="29" t="str">
        <f aca="false">IF(OR($T50="",$F50=""),"",$T50*$F50)</f>
        <v/>
      </c>
      <c r="V50" s="15" t="str">
        <f aca="false">IF($U50="","",$U50*10)</f>
        <v/>
      </c>
      <c r="W50" s="15" t="str">
        <f aca="false">IF(OR($V50="",$I50="",$J50="",$J50&lt;=$I50),"",$V50*MAX(0,MIN($J50,15)-MAX($I50,0))/($J50-$I50))</f>
        <v/>
      </c>
      <c r="X50" s="15" t="str">
        <f aca="false">IF(OR($V50="",$I50="",$J50="",$J50&lt;=$I50),"",$V50*MAX(0,MIN($J50,30)-MAX($I50,15))/($J50-$I50))</f>
        <v/>
      </c>
      <c r="Y50" s="15" t="str">
        <f aca="false">IF(OR($V50="",$I50="",$J50="",$J50&lt;=$I50),"",$V50*MAX(0,MIN($J50,50)-MAX($I50,30))/($J50-$I50))</f>
        <v/>
      </c>
      <c r="Z50" s="15" t="str">
        <f aca="false">IF(OR($V50="",$I50="",$J50="",$J50&lt;=$I50),"",$V50*MAX(0,MIN($J50,100)-MAX($I50,50))/($J50-$I50))</f>
        <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
      </c>
    </row>
    <row r="51" customFormat="false" ht="15.75" hidden="false" customHeight="true" outlineLevel="0" collapsed="false">
      <c r="A51" s="14"/>
      <c r="B51" s="14"/>
      <c r="C51" s="24"/>
      <c r="D51" s="24"/>
      <c r="E51" s="14"/>
      <c r="F51" s="16" t="str">
        <f aca="false">IF(OR($C51="",$D51=""),"",$D51-$C51)</f>
        <v/>
      </c>
      <c r="G51" s="25" t="str">
        <f aca="false">IF($A51="","",IFERROR(INDEX('2. Plot &amp; Core Log'!$M$6:$M$35,MATCH($A51,'2. Plot &amp; Core Log'!$B$6:$B$35,0)),""))</f>
        <v/>
      </c>
      <c r="H51" s="26" t="str">
        <f aca="false">IF($A51="","",IFERROR(INDEX('2. Plot &amp; Core Log'!$S$6:$S$35,MATCH($A51,'2. Plot &amp; Core Log'!$B$6:$B$35,0)),""))</f>
        <v/>
      </c>
      <c r="I51" s="16" t="str">
        <f aca="false">IF(OR($C51="",$G51=""),"",$C51*$G51)</f>
        <v/>
      </c>
      <c r="J51" s="16" t="str">
        <f aca="false">IF(OR($D51="",$G51=""),"",$D51*$G51)</f>
        <v/>
      </c>
      <c r="K51" s="16" t="str">
        <f aca="false">IF(OR($F51="",$H51=""),"",PI()*(($H51/2)^2)*$F51)</f>
        <v/>
      </c>
      <c r="L51" s="27"/>
      <c r="M51" s="27"/>
      <c r="N51" s="27"/>
      <c r="O51" s="27"/>
      <c r="P51" s="16" t="str">
        <f aca="false">IF(OR($L51="",$M51="",$L51=0),"",(($L51-$M51)/$L51)*100)</f>
        <v/>
      </c>
      <c r="Q51" s="15" t="str">
        <f aca="false">IF(OR($M51="",$K51="",$K51=0),"",$M51/$K51)</f>
        <v/>
      </c>
      <c r="R51" s="15" t="str">
        <f aca="false">IF(OR($N51="",$O51=""),"",IF(UPPER($O51)="OC",$N51,IF(UPPER($O51)="LOI",IF(OR(LOI_INTERCEPT="",LOI_SLOPE=""),"",IF(LOI_INTERCEPT+LOI_SLOPE*$N51&lt;0,"",LOI_INTERCEPT+LOI_SLOPE*$N51)),"")))</f>
        <v/>
      </c>
      <c r="S51" s="18" t="str">
        <f aca="false">IF($R51="","",$R51*10)</f>
        <v/>
      </c>
      <c r="T51" s="28" t="str">
        <f aca="false">IF(OR($Q51="",$R51=""),"",$Q51*$R51/100)</f>
        <v/>
      </c>
      <c r="U51" s="29" t="str">
        <f aca="false">IF(OR($T51="",$F51=""),"",$T51*$F51)</f>
        <v/>
      </c>
      <c r="V51" s="15" t="str">
        <f aca="false">IF($U51="","",$U51*10)</f>
        <v/>
      </c>
      <c r="W51" s="15" t="str">
        <f aca="false">IF(OR($V51="",$I51="",$J51="",$J51&lt;=$I51),"",$V51*MAX(0,MIN($J51,15)-MAX($I51,0))/($J51-$I51))</f>
        <v/>
      </c>
      <c r="X51" s="15" t="str">
        <f aca="false">IF(OR($V51="",$I51="",$J51="",$J51&lt;=$I51),"",$V51*MAX(0,MIN($J51,30)-MAX($I51,15))/($J51-$I51))</f>
        <v/>
      </c>
      <c r="Y51" s="15" t="str">
        <f aca="false">IF(OR($V51="",$I51="",$J51="",$J51&lt;=$I51),"",$V51*MAX(0,MIN($J51,50)-MAX($I51,30))/($J51-$I51))</f>
        <v/>
      </c>
      <c r="Z51" s="15" t="str">
        <f aca="false">IF(OR($V51="",$I51="",$J51="",$J51&lt;=$I51),"",$V51*MAX(0,MIN($J51,100)-MAX($I51,50))/($J51-$I51))</f>
        <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
      </c>
    </row>
    <row r="52" customFormat="false" ht="15.75" hidden="false" customHeight="true" outlineLevel="0" collapsed="false">
      <c r="A52" s="14"/>
      <c r="B52" s="14"/>
      <c r="C52" s="24"/>
      <c r="D52" s="24"/>
      <c r="E52" s="14"/>
      <c r="F52" s="16" t="str">
        <f aca="false">IF(OR($C52="",$D52=""),"",$D52-$C52)</f>
        <v/>
      </c>
      <c r="G52" s="25" t="str">
        <f aca="false">IF($A52="","",IFERROR(INDEX('2. Plot &amp; Core Log'!$M$6:$M$35,MATCH($A52,'2. Plot &amp; Core Log'!$B$6:$B$35,0)),""))</f>
        <v/>
      </c>
      <c r="H52" s="26" t="str">
        <f aca="false">IF($A52="","",IFERROR(INDEX('2. Plot &amp; Core Log'!$S$6:$S$35,MATCH($A52,'2. Plot &amp; Core Log'!$B$6:$B$35,0)),""))</f>
        <v/>
      </c>
      <c r="I52" s="16" t="str">
        <f aca="false">IF(OR($C52="",$G52=""),"",$C52*$G52)</f>
        <v/>
      </c>
      <c r="J52" s="16" t="str">
        <f aca="false">IF(OR($D52="",$G52=""),"",$D52*$G52)</f>
        <v/>
      </c>
      <c r="K52" s="16" t="str">
        <f aca="false">IF(OR($F52="",$H52=""),"",PI()*(($H52/2)^2)*$F52)</f>
        <v/>
      </c>
      <c r="L52" s="27"/>
      <c r="M52" s="27"/>
      <c r="N52" s="27"/>
      <c r="O52" s="27"/>
      <c r="P52" s="16" t="str">
        <f aca="false">IF(OR($L52="",$M52="",$L52=0),"",(($L52-$M52)/$L52)*100)</f>
        <v/>
      </c>
      <c r="Q52" s="15" t="str">
        <f aca="false">IF(OR($M52="",$K52="",$K52=0),"",$M52/$K52)</f>
        <v/>
      </c>
      <c r="R52" s="15" t="str">
        <f aca="false">IF(OR($N52="",$O52=""),"",IF(UPPER($O52)="OC",$N52,IF(UPPER($O52)="LOI",IF(OR(LOI_INTERCEPT="",LOI_SLOPE=""),"",IF(LOI_INTERCEPT+LOI_SLOPE*$N52&lt;0,"",LOI_INTERCEPT+LOI_SLOPE*$N52)),"")))</f>
        <v/>
      </c>
      <c r="S52" s="18" t="str">
        <f aca="false">IF($R52="","",$R52*10)</f>
        <v/>
      </c>
      <c r="T52" s="28" t="str">
        <f aca="false">IF(OR($Q52="",$R52=""),"",$Q52*$R52/100)</f>
        <v/>
      </c>
      <c r="U52" s="29" t="str">
        <f aca="false">IF(OR($T52="",$F52=""),"",$T52*$F52)</f>
        <v/>
      </c>
      <c r="V52" s="15" t="str">
        <f aca="false">IF($U52="","",$U52*10)</f>
        <v/>
      </c>
      <c r="W52" s="15" t="str">
        <f aca="false">IF(OR($V52="",$I52="",$J52="",$J52&lt;=$I52),"",$V52*MAX(0,MIN($J52,15)-MAX($I52,0))/($J52-$I52))</f>
        <v/>
      </c>
      <c r="X52" s="15" t="str">
        <f aca="false">IF(OR($V52="",$I52="",$J52="",$J52&lt;=$I52),"",$V52*MAX(0,MIN($J52,30)-MAX($I52,15))/($J52-$I52))</f>
        <v/>
      </c>
      <c r="Y52" s="15" t="str">
        <f aca="false">IF(OR($V52="",$I52="",$J52="",$J52&lt;=$I52),"",$V52*MAX(0,MIN($J52,50)-MAX($I52,30))/($J52-$I52))</f>
        <v/>
      </c>
      <c r="Z52" s="15" t="str">
        <f aca="false">IF(OR($V52="",$I52="",$J52="",$J52&lt;=$I52),"",$V52*MAX(0,MIN($J52,100)-MAX($I52,50))/($J52-$I52))</f>
        <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
      </c>
    </row>
    <row r="53" customFormat="false" ht="15.75" hidden="false" customHeight="true" outlineLevel="0" collapsed="false">
      <c r="A53" s="14"/>
      <c r="B53" s="14"/>
      <c r="C53" s="24"/>
      <c r="D53" s="24"/>
      <c r="E53" s="14"/>
      <c r="F53" s="16" t="str">
        <f aca="false">IF(OR($C53="",$D53=""),"",$D53-$C53)</f>
        <v/>
      </c>
      <c r="G53" s="25" t="str">
        <f aca="false">IF($A53="","",IFERROR(INDEX('2. Plot &amp; Core Log'!$M$6:$M$35,MATCH($A53,'2. Plot &amp; Core Log'!$B$6:$B$35,0)),""))</f>
        <v/>
      </c>
      <c r="H53" s="26" t="str">
        <f aca="false">IF($A53="","",IFERROR(INDEX('2. Plot &amp; Core Log'!$S$6:$S$35,MATCH($A53,'2. Plot &amp; Core Log'!$B$6:$B$35,0)),""))</f>
        <v/>
      </c>
      <c r="I53" s="16" t="str">
        <f aca="false">IF(OR($C53="",$G53=""),"",$C53*$G53)</f>
        <v/>
      </c>
      <c r="J53" s="16" t="str">
        <f aca="false">IF(OR($D53="",$G53=""),"",$D53*$G53)</f>
        <v/>
      </c>
      <c r="K53" s="16" t="str">
        <f aca="false">IF(OR($F53="",$H53=""),"",PI()*(($H53/2)^2)*$F53)</f>
        <v/>
      </c>
      <c r="L53" s="27"/>
      <c r="M53" s="27"/>
      <c r="N53" s="27"/>
      <c r="O53" s="27"/>
      <c r="P53" s="16" t="str">
        <f aca="false">IF(OR($L53="",$M53="",$L53=0),"",(($L53-$M53)/$L53)*100)</f>
        <v/>
      </c>
      <c r="Q53" s="15" t="str">
        <f aca="false">IF(OR($M53="",$K53="",$K53=0),"",$M53/$K53)</f>
        <v/>
      </c>
      <c r="R53" s="15" t="str">
        <f aca="false">IF(OR($N53="",$O53=""),"",IF(UPPER($O53)="OC",$N53,IF(UPPER($O53)="LOI",IF(OR(LOI_INTERCEPT="",LOI_SLOPE=""),"",IF(LOI_INTERCEPT+LOI_SLOPE*$N53&lt;0,"",LOI_INTERCEPT+LOI_SLOPE*$N53)),"")))</f>
        <v/>
      </c>
      <c r="S53" s="18" t="str">
        <f aca="false">IF($R53="","",$R53*10)</f>
        <v/>
      </c>
      <c r="T53" s="28" t="str">
        <f aca="false">IF(OR($Q53="",$R53=""),"",$Q53*$R53/100)</f>
        <v/>
      </c>
      <c r="U53" s="29" t="str">
        <f aca="false">IF(OR($T53="",$F53=""),"",$T53*$F53)</f>
        <v/>
      </c>
      <c r="V53" s="15" t="str">
        <f aca="false">IF($U53="","",$U53*10)</f>
        <v/>
      </c>
      <c r="W53" s="15" t="str">
        <f aca="false">IF(OR($V53="",$I53="",$J53="",$J53&lt;=$I53),"",$V53*MAX(0,MIN($J53,15)-MAX($I53,0))/($J53-$I53))</f>
        <v/>
      </c>
      <c r="X53" s="15" t="str">
        <f aca="false">IF(OR($V53="",$I53="",$J53="",$J53&lt;=$I53),"",$V53*MAX(0,MIN($J53,30)-MAX($I53,15))/($J53-$I53))</f>
        <v/>
      </c>
      <c r="Y53" s="15" t="str">
        <f aca="false">IF(OR($V53="",$I53="",$J53="",$J53&lt;=$I53),"",$V53*MAX(0,MIN($J53,50)-MAX($I53,30))/($J53-$I53))</f>
        <v/>
      </c>
      <c r="Z53" s="15" t="str">
        <f aca="false">IF(OR($V53="",$I53="",$J53="",$J53&lt;=$I53),"",$V53*MAX(0,MIN($J53,100)-MAX($I53,50))/($J53-$I53))</f>
        <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
      </c>
    </row>
    <row r="54" customFormat="false" ht="15.75" hidden="false" customHeight="true" outlineLevel="0" collapsed="false">
      <c r="A54" s="14"/>
      <c r="B54" s="14"/>
      <c r="C54" s="24"/>
      <c r="D54" s="24"/>
      <c r="E54" s="14"/>
      <c r="F54" s="16" t="str">
        <f aca="false">IF(OR($C54="",$D54=""),"",$D54-$C54)</f>
        <v/>
      </c>
      <c r="G54" s="25" t="str">
        <f aca="false">IF($A54="","",IFERROR(INDEX('2. Plot &amp; Core Log'!$M$6:$M$35,MATCH($A54,'2. Plot &amp; Core Log'!$B$6:$B$35,0)),""))</f>
        <v/>
      </c>
      <c r="H54" s="26" t="str">
        <f aca="false">IF($A54="","",IFERROR(INDEX('2. Plot &amp; Core Log'!$S$6:$S$35,MATCH($A54,'2. Plot &amp; Core Log'!$B$6:$B$35,0)),""))</f>
        <v/>
      </c>
      <c r="I54" s="16" t="str">
        <f aca="false">IF(OR($C54="",$G54=""),"",$C54*$G54)</f>
        <v/>
      </c>
      <c r="J54" s="16" t="str">
        <f aca="false">IF(OR($D54="",$G54=""),"",$D54*$G54)</f>
        <v/>
      </c>
      <c r="K54" s="16" t="str">
        <f aca="false">IF(OR($F54="",$H54=""),"",PI()*(($H54/2)^2)*$F54)</f>
        <v/>
      </c>
      <c r="L54" s="27"/>
      <c r="M54" s="27"/>
      <c r="N54" s="27"/>
      <c r="O54" s="27"/>
      <c r="P54" s="16" t="str">
        <f aca="false">IF(OR($L54="",$M54="",$L54=0),"",(($L54-$M54)/$L54)*100)</f>
        <v/>
      </c>
      <c r="Q54" s="15" t="str">
        <f aca="false">IF(OR($M54="",$K54="",$K54=0),"",$M54/$K54)</f>
        <v/>
      </c>
      <c r="R54" s="15" t="str">
        <f aca="false">IF(OR($N54="",$O54=""),"",IF(UPPER($O54)="OC",$N54,IF(UPPER($O54)="LOI",IF(OR(LOI_INTERCEPT="",LOI_SLOPE=""),"",IF(LOI_INTERCEPT+LOI_SLOPE*$N54&lt;0,"",LOI_INTERCEPT+LOI_SLOPE*$N54)),"")))</f>
        <v/>
      </c>
      <c r="S54" s="18" t="str">
        <f aca="false">IF($R54="","",$R54*10)</f>
        <v/>
      </c>
      <c r="T54" s="28" t="str">
        <f aca="false">IF(OR($Q54="",$R54=""),"",$Q54*$R54/100)</f>
        <v/>
      </c>
      <c r="U54" s="29" t="str">
        <f aca="false">IF(OR($T54="",$F54=""),"",$T54*$F54)</f>
        <v/>
      </c>
      <c r="V54" s="15" t="str">
        <f aca="false">IF($U54="","",$U54*10)</f>
        <v/>
      </c>
      <c r="W54" s="15" t="str">
        <f aca="false">IF(OR($V54="",$I54="",$J54="",$J54&lt;=$I54),"",$V54*MAX(0,MIN($J54,15)-MAX($I54,0))/($J54-$I54))</f>
        <v/>
      </c>
      <c r="X54" s="15" t="str">
        <f aca="false">IF(OR($V54="",$I54="",$J54="",$J54&lt;=$I54),"",$V54*MAX(0,MIN($J54,30)-MAX($I54,15))/($J54-$I54))</f>
        <v/>
      </c>
      <c r="Y54" s="15" t="str">
        <f aca="false">IF(OR($V54="",$I54="",$J54="",$J54&lt;=$I54),"",$V54*MAX(0,MIN($J54,50)-MAX($I54,30))/($J54-$I54))</f>
        <v/>
      </c>
      <c r="Z54" s="15" t="str">
        <f aca="false">IF(OR($V54="",$I54="",$J54="",$J54&lt;=$I54),"",$V54*MAX(0,MIN($J54,100)-MAX($I54,50))/($J54-$I54))</f>
        <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
      </c>
    </row>
    <row r="55" customFormat="false" ht="15.75" hidden="false" customHeight="true" outlineLevel="0" collapsed="false">
      <c r="A55" s="14"/>
      <c r="B55" s="14"/>
      <c r="C55" s="24"/>
      <c r="D55" s="24"/>
      <c r="E55" s="14"/>
      <c r="F55" s="16" t="str">
        <f aca="false">IF(OR($C55="",$D55=""),"",$D55-$C55)</f>
        <v/>
      </c>
      <c r="G55" s="25" t="str">
        <f aca="false">IF($A55="","",IFERROR(INDEX('2. Plot &amp; Core Log'!$M$6:$M$35,MATCH($A55,'2. Plot &amp; Core Log'!$B$6:$B$35,0)),""))</f>
        <v/>
      </c>
      <c r="H55" s="26" t="str">
        <f aca="false">IF($A55="","",IFERROR(INDEX('2. Plot &amp; Core Log'!$S$6:$S$35,MATCH($A55,'2. Plot &amp; Core Log'!$B$6:$B$35,0)),""))</f>
        <v/>
      </c>
      <c r="I55" s="16" t="str">
        <f aca="false">IF(OR($C55="",$G55=""),"",$C55*$G55)</f>
        <v/>
      </c>
      <c r="J55" s="16" t="str">
        <f aca="false">IF(OR($D55="",$G55=""),"",$D55*$G55)</f>
        <v/>
      </c>
      <c r="K55" s="16" t="str">
        <f aca="false">IF(OR($F55="",$H55=""),"",PI()*(($H55/2)^2)*$F55)</f>
        <v/>
      </c>
      <c r="L55" s="27"/>
      <c r="M55" s="27"/>
      <c r="N55" s="27"/>
      <c r="O55" s="27"/>
      <c r="P55" s="16" t="str">
        <f aca="false">IF(OR($L55="",$M55="",$L55=0),"",(($L55-$M55)/$L55)*100)</f>
        <v/>
      </c>
      <c r="Q55" s="15" t="str">
        <f aca="false">IF(OR($M55="",$K55="",$K55=0),"",$M55/$K55)</f>
        <v/>
      </c>
      <c r="R55" s="15" t="str">
        <f aca="false">IF(OR($N55="",$O55=""),"",IF(UPPER($O55)="OC",$N55,IF(UPPER($O55)="LOI",IF(OR(LOI_INTERCEPT="",LOI_SLOPE=""),"",IF(LOI_INTERCEPT+LOI_SLOPE*$N55&lt;0,"",LOI_INTERCEPT+LOI_SLOPE*$N55)),"")))</f>
        <v/>
      </c>
      <c r="S55" s="18" t="str">
        <f aca="false">IF($R55="","",$R55*10)</f>
        <v/>
      </c>
      <c r="T55" s="28" t="str">
        <f aca="false">IF(OR($Q55="",$R55=""),"",$Q55*$R55/100)</f>
        <v/>
      </c>
      <c r="U55" s="29" t="str">
        <f aca="false">IF(OR($T55="",$F55=""),"",$T55*$F55)</f>
        <v/>
      </c>
      <c r="V55" s="15" t="str">
        <f aca="false">IF($U55="","",$U55*10)</f>
        <v/>
      </c>
      <c r="W55" s="15" t="str">
        <f aca="false">IF(OR($V55="",$I55="",$J55="",$J55&lt;=$I55),"",$V55*MAX(0,MIN($J55,15)-MAX($I55,0))/($J55-$I55))</f>
        <v/>
      </c>
      <c r="X55" s="15" t="str">
        <f aca="false">IF(OR($V55="",$I55="",$J55="",$J55&lt;=$I55),"",$V55*MAX(0,MIN($J55,30)-MAX($I55,15))/($J55-$I55))</f>
        <v/>
      </c>
      <c r="Y55" s="15" t="str">
        <f aca="false">IF(OR($V55="",$I55="",$J55="",$J55&lt;=$I55),"",$V55*MAX(0,MIN($J55,50)-MAX($I55,30))/($J55-$I55))</f>
        <v/>
      </c>
      <c r="Z55" s="15" t="str">
        <f aca="false">IF(OR($V55="",$I55="",$J55="",$J55&lt;=$I55),"",$V55*MAX(0,MIN($J55,100)-MAX($I55,50))/($J55-$I55))</f>
        <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
      </c>
    </row>
    <row r="56" customFormat="false" ht="15.75" hidden="false" customHeight="true" outlineLevel="0" collapsed="false">
      <c r="A56" s="14"/>
      <c r="B56" s="14"/>
      <c r="C56" s="24"/>
      <c r="D56" s="24"/>
      <c r="E56" s="14"/>
      <c r="F56" s="16" t="str">
        <f aca="false">IF(OR($C56="",$D56=""),"",$D56-$C56)</f>
        <v/>
      </c>
      <c r="G56" s="25" t="str">
        <f aca="false">IF($A56="","",IFERROR(INDEX('2. Plot &amp; Core Log'!$M$6:$M$35,MATCH($A56,'2. Plot &amp; Core Log'!$B$6:$B$35,0)),""))</f>
        <v/>
      </c>
      <c r="H56" s="26" t="str">
        <f aca="false">IF($A56="","",IFERROR(INDEX('2. Plot &amp; Core Log'!$S$6:$S$35,MATCH($A56,'2. Plot &amp; Core Log'!$B$6:$B$35,0)),""))</f>
        <v/>
      </c>
      <c r="I56" s="16" t="str">
        <f aca="false">IF(OR($C56="",$G56=""),"",$C56*$G56)</f>
        <v/>
      </c>
      <c r="J56" s="16" t="str">
        <f aca="false">IF(OR($D56="",$G56=""),"",$D56*$G56)</f>
        <v/>
      </c>
      <c r="K56" s="16" t="str">
        <f aca="false">IF(OR($F56="",$H56=""),"",PI()*(($H56/2)^2)*$F56)</f>
        <v/>
      </c>
      <c r="L56" s="27"/>
      <c r="M56" s="27"/>
      <c r="N56" s="27"/>
      <c r="O56" s="27"/>
      <c r="P56" s="16" t="str">
        <f aca="false">IF(OR($L56="",$M56="",$L56=0),"",(($L56-$M56)/$L56)*100)</f>
        <v/>
      </c>
      <c r="Q56" s="15" t="str">
        <f aca="false">IF(OR($M56="",$K56="",$K56=0),"",$M56/$K56)</f>
        <v/>
      </c>
      <c r="R56" s="15" t="str">
        <f aca="false">IF(OR($N56="",$O56=""),"",IF(UPPER($O56)="OC",$N56,IF(UPPER($O56)="LOI",IF(OR(LOI_INTERCEPT="",LOI_SLOPE=""),"",IF(LOI_INTERCEPT+LOI_SLOPE*$N56&lt;0,"",LOI_INTERCEPT+LOI_SLOPE*$N56)),"")))</f>
        <v/>
      </c>
      <c r="S56" s="18" t="str">
        <f aca="false">IF($R56="","",$R56*10)</f>
        <v/>
      </c>
      <c r="T56" s="28" t="str">
        <f aca="false">IF(OR($Q56="",$R56=""),"",$Q56*$R56/100)</f>
        <v/>
      </c>
      <c r="U56" s="29" t="str">
        <f aca="false">IF(OR($T56="",$F56=""),"",$T56*$F56)</f>
        <v/>
      </c>
      <c r="V56" s="15" t="str">
        <f aca="false">IF($U56="","",$U56*10)</f>
        <v/>
      </c>
      <c r="W56" s="15" t="str">
        <f aca="false">IF(OR($V56="",$I56="",$J56="",$J56&lt;=$I56),"",$V56*MAX(0,MIN($J56,15)-MAX($I56,0))/($J56-$I56))</f>
        <v/>
      </c>
      <c r="X56" s="15" t="str">
        <f aca="false">IF(OR($V56="",$I56="",$J56="",$J56&lt;=$I56),"",$V56*MAX(0,MIN($J56,30)-MAX($I56,15))/($J56-$I56))</f>
        <v/>
      </c>
      <c r="Y56" s="15" t="str">
        <f aca="false">IF(OR($V56="",$I56="",$J56="",$J56&lt;=$I56),"",$V56*MAX(0,MIN($J56,50)-MAX($I56,30))/($J56-$I56))</f>
        <v/>
      </c>
      <c r="Z56" s="15" t="str">
        <f aca="false">IF(OR($V56="",$I56="",$J56="",$J56&lt;=$I56),"",$V56*MAX(0,MIN($J56,100)-MAX($I56,50))/($J56-$I56))</f>
        <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
      </c>
    </row>
    <row r="57" customFormat="false" ht="15.75" hidden="false" customHeight="true" outlineLevel="0" collapsed="false">
      <c r="A57" s="14"/>
      <c r="B57" s="14"/>
      <c r="C57" s="24"/>
      <c r="D57" s="24"/>
      <c r="E57" s="14"/>
      <c r="F57" s="16" t="str">
        <f aca="false">IF(OR($C57="",$D57=""),"",$D57-$C57)</f>
        <v/>
      </c>
      <c r="G57" s="25" t="str">
        <f aca="false">IF($A57="","",IFERROR(INDEX('2. Plot &amp; Core Log'!$M$6:$M$35,MATCH($A57,'2. Plot &amp; Core Log'!$B$6:$B$35,0)),""))</f>
        <v/>
      </c>
      <c r="H57" s="26" t="str">
        <f aca="false">IF($A57="","",IFERROR(INDEX('2. Plot &amp; Core Log'!$S$6:$S$35,MATCH($A57,'2. Plot &amp; Core Log'!$B$6:$B$35,0)),""))</f>
        <v/>
      </c>
      <c r="I57" s="16" t="str">
        <f aca="false">IF(OR($C57="",$G57=""),"",$C57*$G57)</f>
        <v/>
      </c>
      <c r="J57" s="16" t="str">
        <f aca="false">IF(OR($D57="",$G57=""),"",$D57*$G57)</f>
        <v/>
      </c>
      <c r="K57" s="16" t="str">
        <f aca="false">IF(OR($F57="",$H57=""),"",PI()*(($H57/2)^2)*$F57)</f>
        <v/>
      </c>
      <c r="L57" s="27"/>
      <c r="M57" s="27"/>
      <c r="N57" s="27"/>
      <c r="O57" s="27"/>
      <c r="P57" s="16" t="str">
        <f aca="false">IF(OR($L57="",$M57="",$L57=0),"",(($L57-$M57)/$L57)*100)</f>
        <v/>
      </c>
      <c r="Q57" s="15" t="str">
        <f aca="false">IF(OR($M57="",$K57="",$K57=0),"",$M57/$K57)</f>
        <v/>
      </c>
      <c r="R57" s="15" t="str">
        <f aca="false">IF(OR($N57="",$O57=""),"",IF(UPPER($O57)="OC",$N57,IF(UPPER($O57)="LOI",IF(OR(LOI_INTERCEPT="",LOI_SLOPE=""),"",IF(LOI_INTERCEPT+LOI_SLOPE*$N57&lt;0,"",LOI_INTERCEPT+LOI_SLOPE*$N57)),"")))</f>
        <v/>
      </c>
      <c r="S57" s="18" t="str">
        <f aca="false">IF($R57="","",$R57*10)</f>
        <v/>
      </c>
      <c r="T57" s="28" t="str">
        <f aca="false">IF(OR($Q57="",$R57=""),"",$Q57*$R57/100)</f>
        <v/>
      </c>
      <c r="U57" s="29" t="str">
        <f aca="false">IF(OR($T57="",$F57=""),"",$T57*$F57)</f>
        <v/>
      </c>
      <c r="V57" s="15" t="str">
        <f aca="false">IF($U57="","",$U57*10)</f>
        <v/>
      </c>
      <c r="W57" s="15" t="str">
        <f aca="false">IF(OR($V57="",$I57="",$J57="",$J57&lt;=$I57),"",$V57*MAX(0,MIN($J57,15)-MAX($I57,0))/($J57-$I57))</f>
        <v/>
      </c>
      <c r="X57" s="15" t="str">
        <f aca="false">IF(OR($V57="",$I57="",$J57="",$J57&lt;=$I57),"",$V57*MAX(0,MIN($J57,30)-MAX($I57,15))/($J57-$I57))</f>
        <v/>
      </c>
      <c r="Y57" s="15" t="str">
        <f aca="false">IF(OR($V57="",$I57="",$J57="",$J57&lt;=$I57),"",$V57*MAX(0,MIN($J57,50)-MAX($I57,30))/($J57-$I57))</f>
        <v/>
      </c>
      <c r="Z57" s="15" t="str">
        <f aca="false">IF(OR($V57="",$I57="",$J57="",$J57&lt;=$I57),"",$V57*MAX(0,MIN($J57,100)-MAX($I57,50))/($J57-$I57))</f>
        <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
      </c>
    </row>
    <row r="58" customFormat="false" ht="15.75" hidden="false" customHeight="true" outlineLevel="0" collapsed="false">
      <c r="A58" s="14"/>
      <c r="B58" s="14"/>
      <c r="C58" s="24"/>
      <c r="D58" s="24"/>
      <c r="E58" s="14"/>
      <c r="F58" s="16" t="str">
        <f aca="false">IF(OR($C58="",$D58=""),"",$D58-$C58)</f>
        <v/>
      </c>
      <c r="G58" s="25" t="str">
        <f aca="false">IF($A58="","",IFERROR(INDEX('2. Plot &amp; Core Log'!$M$6:$M$35,MATCH($A58,'2. Plot &amp; Core Log'!$B$6:$B$35,0)),""))</f>
        <v/>
      </c>
      <c r="H58" s="26" t="str">
        <f aca="false">IF($A58="","",IFERROR(INDEX('2. Plot &amp; Core Log'!$S$6:$S$35,MATCH($A58,'2. Plot &amp; Core Log'!$B$6:$B$35,0)),""))</f>
        <v/>
      </c>
      <c r="I58" s="16" t="str">
        <f aca="false">IF(OR($C58="",$G58=""),"",$C58*$G58)</f>
        <v/>
      </c>
      <c r="J58" s="16" t="str">
        <f aca="false">IF(OR($D58="",$G58=""),"",$D58*$G58)</f>
        <v/>
      </c>
      <c r="K58" s="16" t="str">
        <f aca="false">IF(OR($F58="",$H58=""),"",PI()*(($H58/2)^2)*$F58)</f>
        <v/>
      </c>
      <c r="L58" s="27"/>
      <c r="M58" s="27"/>
      <c r="N58" s="27"/>
      <c r="O58" s="27"/>
      <c r="P58" s="16" t="str">
        <f aca="false">IF(OR($L58="",$M58="",$L58=0),"",(($L58-$M58)/$L58)*100)</f>
        <v/>
      </c>
      <c r="Q58" s="15" t="str">
        <f aca="false">IF(OR($M58="",$K58="",$K58=0),"",$M58/$K58)</f>
        <v/>
      </c>
      <c r="R58" s="15" t="str">
        <f aca="false">IF(OR($N58="",$O58=""),"",IF(UPPER($O58)="OC",$N58,IF(UPPER($O58)="LOI",IF(OR(LOI_INTERCEPT="",LOI_SLOPE=""),"",IF(LOI_INTERCEPT+LOI_SLOPE*$N58&lt;0,"",LOI_INTERCEPT+LOI_SLOPE*$N58)),"")))</f>
        <v/>
      </c>
      <c r="S58" s="18" t="str">
        <f aca="false">IF($R58="","",$R58*10)</f>
        <v/>
      </c>
      <c r="T58" s="28" t="str">
        <f aca="false">IF(OR($Q58="",$R58=""),"",$Q58*$R58/100)</f>
        <v/>
      </c>
      <c r="U58" s="29" t="str">
        <f aca="false">IF(OR($T58="",$F58=""),"",$T58*$F58)</f>
        <v/>
      </c>
      <c r="V58" s="15" t="str">
        <f aca="false">IF($U58="","",$U58*10)</f>
        <v/>
      </c>
      <c r="W58" s="15" t="str">
        <f aca="false">IF(OR($V58="",$I58="",$J58="",$J58&lt;=$I58),"",$V58*MAX(0,MIN($J58,15)-MAX($I58,0))/($J58-$I58))</f>
        <v/>
      </c>
      <c r="X58" s="15" t="str">
        <f aca="false">IF(OR($V58="",$I58="",$J58="",$J58&lt;=$I58),"",$V58*MAX(0,MIN($J58,30)-MAX($I58,15))/($J58-$I58))</f>
        <v/>
      </c>
      <c r="Y58" s="15" t="str">
        <f aca="false">IF(OR($V58="",$I58="",$J58="",$J58&lt;=$I58),"",$V58*MAX(0,MIN($J58,50)-MAX($I58,30))/($J58-$I58))</f>
        <v/>
      </c>
      <c r="Z58" s="15" t="str">
        <f aca="false">IF(OR($V58="",$I58="",$J58="",$J58&lt;=$I58),"",$V58*MAX(0,MIN($J58,100)-MAX($I58,50))/($J58-$I58))</f>
        <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
      </c>
    </row>
    <row r="59" customFormat="false" ht="15.75" hidden="false" customHeight="true" outlineLevel="0" collapsed="false">
      <c r="A59" s="14"/>
      <c r="B59" s="14"/>
      <c r="C59" s="24"/>
      <c r="D59" s="24"/>
      <c r="E59" s="14"/>
      <c r="F59" s="16" t="str">
        <f aca="false">IF(OR($C59="",$D59=""),"",$D59-$C59)</f>
        <v/>
      </c>
      <c r="G59" s="25" t="str">
        <f aca="false">IF($A59="","",IFERROR(INDEX('2. Plot &amp; Core Log'!$M$6:$M$35,MATCH($A59,'2. Plot &amp; Core Log'!$B$6:$B$35,0)),""))</f>
        <v/>
      </c>
      <c r="H59" s="26" t="str">
        <f aca="false">IF($A59="","",IFERROR(INDEX('2. Plot &amp; Core Log'!$S$6:$S$35,MATCH($A59,'2. Plot &amp; Core Log'!$B$6:$B$35,0)),""))</f>
        <v/>
      </c>
      <c r="I59" s="16" t="str">
        <f aca="false">IF(OR($C59="",$G59=""),"",$C59*$G59)</f>
        <v/>
      </c>
      <c r="J59" s="16" t="str">
        <f aca="false">IF(OR($D59="",$G59=""),"",$D59*$G59)</f>
        <v/>
      </c>
      <c r="K59" s="16" t="str">
        <f aca="false">IF(OR($F59="",$H59=""),"",PI()*(($H59/2)^2)*$F59)</f>
        <v/>
      </c>
      <c r="L59" s="27"/>
      <c r="M59" s="27"/>
      <c r="N59" s="27"/>
      <c r="O59" s="27"/>
      <c r="P59" s="16" t="str">
        <f aca="false">IF(OR($L59="",$M59="",$L59=0),"",(($L59-$M59)/$L59)*100)</f>
        <v/>
      </c>
      <c r="Q59" s="15" t="str">
        <f aca="false">IF(OR($M59="",$K59="",$K59=0),"",$M59/$K59)</f>
        <v/>
      </c>
      <c r="R59" s="15" t="str">
        <f aca="false">IF(OR($N59="",$O59=""),"",IF(UPPER($O59)="OC",$N59,IF(UPPER($O59)="LOI",IF(OR(LOI_INTERCEPT="",LOI_SLOPE=""),"",IF(LOI_INTERCEPT+LOI_SLOPE*$N59&lt;0,"",LOI_INTERCEPT+LOI_SLOPE*$N59)),"")))</f>
        <v/>
      </c>
      <c r="S59" s="18" t="str">
        <f aca="false">IF($R59="","",$R59*10)</f>
        <v/>
      </c>
      <c r="T59" s="28" t="str">
        <f aca="false">IF(OR($Q59="",$R59=""),"",$Q59*$R59/100)</f>
        <v/>
      </c>
      <c r="U59" s="29" t="str">
        <f aca="false">IF(OR($T59="",$F59=""),"",$T59*$F59)</f>
        <v/>
      </c>
      <c r="V59" s="15" t="str">
        <f aca="false">IF($U59="","",$U59*10)</f>
        <v/>
      </c>
      <c r="W59" s="15" t="str">
        <f aca="false">IF(OR($V59="",$I59="",$J59="",$J59&lt;=$I59),"",$V59*MAX(0,MIN($J59,15)-MAX($I59,0))/($J59-$I59))</f>
        <v/>
      </c>
      <c r="X59" s="15" t="str">
        <f aca="false">IF(OR($V59="",$I59="",$J59="",$J59&lt;=$I59),"",$V59*MAX(0,MIN($J59,30)-MAX($I59,15))/($J59-$I59))</f>
        <v/>
      </c>
      <c r="Y59" s="15" t="str">
        <f aca="false">IF(OR($V59="",$I59="",$J59="",$J59&lt;=$I59),"",$V59*MAX(0,MIN($J59,50)-MAX($I59,30))/($J59-$I59))</f>
        <v/>
      </c>
      <c r="Z59" s="15" t="str">
        <f aca="false">IF(OR($V59="",$I59="",$J59="",$J59&lt;=$I59),"",$V59*MAX(0,MIN($J59,100)-MAX($I59,50))/($J59-$I59))</f>
        <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
      </c>
    </row>
    <row r="60" customFormat="false" ht="15.75" hidden="false" customHeight="true" outlineLevel="0" collapsed="false">
      <c r="A60" s="14"/>
      <c r="B60" s="14"/>
      <c r="C60" s="24"/>
      <c r="D60" s="24"/>
      <c r="E60" s="14"/>
      <c r="F60" s="16" t="str">
        <f aca="false">IF(OR($C60="",$D60=""),"",$D60-$C60)</f>
        <v/>
      </c>
      <c r="G60" s="25" t="str">
        <f aca="false">IF($A60="","",IFERROR(INDEX('2. Plot &amp; Core Log'!$M$6:$M$35,MATCH($A60,'2. Plot &amp; Core Log'!$B$6:$B$35,0)),""))</f>
        <v/>
      </c>
      <c r="H60" s="26" t="str">
        <f aca="false">IF($A60="","",IFERROR(INDEX('2. Plot &amp; Core Log'!$S$6:$S$35,MATCH($A60,'2. Plot &amp; Core Log'!$B$6:$B$35,0)),""))</f>
        <v/>
      </c>
      <c r="I60" s="16" t="str">
        <f aca="false">IF(OR($C60="",$G60=""),"",$C60*$G60)</f>
        <v/>
      </c>
      <c r="J60" s="16" t="str">
        <f aca="false">IF(OR($D60="",$G60=""),"",$D60*$G60)</f>
        <v/>
      </c>
      <c r="K60" s="16" t="str">
        <f aca="false">IF(OR($F60="",$H60=""),"",PI()*(($H60/2)^2)*$F60)</f>
        <v/>
      </c>
      <c r="L60" s="27"/>
      <c r="M60" s="27"/>
      <c r="N60" s="27"/>
      <c r="O60" s="27"/>
      <c r="P60" s="16" t="str">
        <f aca="false">IF(OR($L60="",$M60="",$L60=0),"",(($L60-$M60)/$L60)*100)</f>
        <v/>
      </c>
      <c r="Q60" s="15" t="str">
        <f aca="false">IF(OR($M60="",$K60="",$K60=0),"",$M60/$K60)</f>
        <v/>
      </c>
      <c r="R60" s="15" t="str">
        <f aca="false">IF(OR($N60="",$O60=""),"",IF(UPPER($O60)="OC",$N60,IF(UPPER($O60)="LOI",IF(OR(LOI_INTERCEPT="",LOI_SLOPE=""),"",IF(LOI_INTERCEPT+LOI_SLOPE*$N60&lt;0,"",LOI_INTERCEPT+LOI_SLOPE*$N60)),"")))</f>
        <v/>
      </c>
      <c r="S60" s="18" t="str">
        <f aca="false">IF($R60="","",$R60*10)</f>
        <v/>
      </c>
      <c r="T60" s="28" t="str">
        <f aca="false">IF(OR($Q60="",$R60=""),"",$Q60*$R60/100)</f>
        <v/>
      </c>
      <c r="U60" s="29" t="str">
        <f aca="false">IF(OR($T60="",$F60=""),"",$T60*$F60)</f>
        <v/>
      </c>
      <c r="V60" s="15" t="str">
        <f aca="false">IF($U60="","",$U60*10)</f>
        <v/>
      </c>
      <c r="W60" s="15" t="str">
        <f aca="false">IF(OR($V60="",$I60="",$J60="",$J60&lt;=$I60),"",$V60*MAX(0,MIN($J60,15)-MAX($I60,0))/($J60-$I60))</f>
        <v/>
      </c>
      <c r="X60" s="15" t="str">
        <f aca="false">IF(OR($V60="",$I60="",$J60="",$J60&lt;=$I60),"",$V60*MAX(0,MIN($J60,30)-MAX($I60,15))/($J60-$I60))</f>
        <v/>
      </c>
      <c r="Y60" s="15" t="str">
        <f aca="false">IF(OR($V60="",$I60="",$J60="",$J60&lt;=$I60),"",$V60*MAX(0,MIN($J60,50)-MAX($I60,30))/($J60-$I60))</f>
        <v/>
      </c>
      <c r="Z60" s="15" t="str">
        <f aca="false">IF(OR($V60="",$I60="",$J60="",$J60&lt;=$I60),"",$V60*MAX(0,MIN($J60,100)-MAX($I60,50))/($J60-$I60))</f>
        <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
      </c>
    </row>
    <row r="61" customFormat="false" ht="15.75" hidden="false" customHeight="true" outlineLevel="0" collapsed="false">
      <c r="A61" s="14"/>
      <c r="B61" s="14"/>
      <c r="C61" s="24"/>
      <c r="D61" s="24"/>
      <c r="E61" s="14"/>
      <c r="F61" s="16" t="str">
        <f aca="false">IF(OR($C61="",$D61=""),"",$D61-$C61)</f>
        <v/>
      </c>
      <c r="G61" s="25" t="str">
        <f aca="false">IF($A61="","",IFERROR(INDEX('2. Plot &amp; Core Log'!$M$6:$M$35,MATCH($A61,'2. Plot &amp; Core Log'!$B$6:$B$35,0)),""))</f>
        <v/>
      </c>
      <c r="H61" s="26" t="str">
        <f aca="false">IF($A61="","",IFERROR(INDEX('2. Plot &amp; Core Log'!$S$6:$S$35,MATCH($A61,'2. Plot &amp; Core Log'!$B$6:$B$35,0)),""))</f>
        <v/>
      </c>
      <c r="I61" s="16" t="str">
        <f aca="false">IF(OR($C61="",$G61=""),"",$C61*$G61)</f>
        <v/>
      </c>
      <c r="J61" s="16" t="str">
        <f aca="false">IF(OR($D61="",$G61=""),"",$D61*$G61)</f>
        <v/>
      </c>
      <c r="K61" s="16" t="str">
        <f aca="false">IF(OR($F61="",$H61=""),"",PI()*(($H61/2)^2)*$F61)</f>
        <v/>
      </c>
      <c r="L61" s="27"/>
      <c r="M61" s="27"/>
      <c r="N61" s="27"/>
      <c r="O61" s="27"/>
      <c r="P61" s="16" t="str">
        <f aca="false">IF(OR($L61="",$M61="",$L61=0),"",(($L61-$M61)/$L61)*100)</f>
        <v/>
      </c>
      <c r="Q61" s="15" t="str">
        <f aca="false">IF(OR($M61="",$K61="",$K61=0),"",$M61/$K61)</f>
        <v/>
      </c>
      <c r="R61" s="15" t="str">
        <f aca="false">IF(OR($N61="",$O61=""),"",IF(UPPER($O61)="OC",$N61,IF(UPPER($O61)="LOI",IF(OR(LOI_INTERCEPT="",LOI_SLOPE=""),"",IF(LOI_INTERCEPT+LOI_SLOPE*$N61&lt;0,"",LOI_INTERCEPT+LOI_SLOPE*$N61)),"")))</f>
        <v/>
      </c>
      <c r="S61" s="18" t="str">
        <f aca="false">IF($R61="","",$R61*10)</f>
        <v/>
      </c>
      <c r="T61" s="28" t="str">
        <f aca="false">IF(OR($Q61="",$R61=""),"",$Q61*$R61/100)</f>
        <v/>
      </c>
      <c r="U61" s="29" t="str">
        <f aca="false">IF(OR($T61="",$F61=""),"",$T61*$F61)</f>
        <v/>
      </c>
      <c r="V61" s="15" t="str">
        <f aca="false">IF($U61="","",$U61*10)</f>
        <v/>
      </c>
      <c r="W61" s="15" t="str">
        <f aca="false">IF(OR($V61="",$I61="",$J61="",$J61&lt;=$I61),"",$V61*MAX(0,MIN($J61,15)-MAX($I61,0))/($J61-$I61))</f>
        <v/>
      </c>
      <c r="X61" s="15" t="str">
        <f aca="false">IF(OR($V61="",$I61="",$J61="",$J61&lt;=$I61),"",$V61*MAX(0,MIN($J61,30)-MAX($I61,15))/($J61-$I61))</f>
        <v/>
      </c>
      <c r="Y61" s="15" t="str">
        <f aca="false">IF(OR($V61="",$I61="",$J61="",$J61&lt;=$I61),"",$V61*MAX(0,MIN($J61,50)-MAX($I61,30))/($J61-$I61))</f>
        <v/>
      </c>
      <c r="Z61" s="15" t="str">
        <f aca="false">IF(OR($V61="",$I61="",$J61="",$J61&lt;=$I61),"",$V61*MAX(0,MIN($J61,100)-MAX($I61,50))/($J61-$I61))</f>
        <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
      </c>
    </row>
    <row r="62" customFormat="false" ht="15.75" hidden="false" customHeight="true" outlineLevel="0" collapsed="false">
      <c r="A62" s="14"/>
      <c r="B62" s="14"/>
      <c r="C62" s="24"/>
      <c r="D62" s="24"/>
      <c r="E62" s="14"/>
      <c r="F62" s="16" t="str">
        <f aca="false">IF(OR($C62="",$D62=""),"",$D62-$C62)</f>
        <v/>
      </c>
      <c r="G62" s="25" t="str">
        <f aca="false">IF($A62="","",IFERROR(INDEX('2. Plot &amp; Core Log'!$M$6:$M$35,MATCH($A62,'2. Plot &amp; Core Log'!$B$6:$B$35,0)),""))</f>
        <v/>
      </c>
      <c r="H62" s="26" t="str">
        <f aca="false">IF($A62="","",IFERROR(INDEX('2. Plot &amp; Core Log'!$S$6:$S$35,MATCH($A62,'2. Plot &amp; Core Log'!$B$6:$B$35,0)),""))</f>
        <v/>
      </c>
      <c r="I62" s="16" t="str">
        <f aca="false">IF(OR($C62="",$G62=""),"",$C62*$G62)</f>
        <v/>
      </c>
      <c r="J62" s="16" t="str">
        <f aca="false">IF(OR($D62="",$G62=""),"",$D62*$G62)</f>
        <v/>
      </c>
      <c r="K62" s="16" t="str">
        <f aca="false">IF(OR($F62="",$H62=""),"",PI()*(($H62/2)^2)*$F62)</f>
        <v/>
      </c>
      <c r="L62" s="27"/>
      <c r="M62" s="27"/>
      <c r="N62" s="27"/>
      <c r="O62" s="27"/>
      <c r="P62" s="16" t="str">
        <f aca="false">IF(OR($L62="",$M62="",$L62=0),"",(($L62-$M62)/$L62)*100)</f>
        <v/>
      </c>
      <c r="Q62" s="15" t="str">
        <f aca="false">IF(OR($M62="",$K62="",$K62=0),"",$M62/$K62)</f>
        <v/>
      </c>
      <c r="R62" s="15" t="str">
        <f aca="false">IF(OR($N62="",$O62=""),"",IF(UPPER($O62)="OC",$N62,IF(UPPER($O62)="LOI",IF(OR(LOI_INTERCEPT="",LOI_SLOPE=""),"",IF(LOI_INTERCEPT+LOI_SLOPE*$N62&lt;0,"",LOI_INTERCEPT+LOI_SLOPE*$N62)),"")))</f>
        <v/>
      </c>
      <c r="S62" s="18" t="str">
        <f aca="false">IF($R62="","",$R62*10)</f>
        <v/>
      </c>
      <c r="T62" s="28" t="str">
        <f aca="false">IF(OR($Q62="",$R62=""),"",$Q62*$R62/100)</f>
        <v/>
      </c>
      <c r="U62" s="29" t="str">
        <f aca="false">IF(OR($T62="",$F62=""),"",$T62*$F62)</f>
        <v/>
      </c>
      <c r="V62" s="15" t="str">
        <f aca="false">IF($U62="","",$U62*10)</f>
        <v/>
      </c>
      <c r="W62" s="15" t="str">
        <f aca="false">IF(OR($V62="",$I62="",$J62="",$J62&lt;=$I62),"",$V62*MAX(0,MIN($J62,15)-MAX($I62,0))/($J62-$I62))</f>
        <v/>
      </c>
      <c r="X62" s="15" t="str">
        <f aca="false">IF(OR($V62="",$I62="",$J62="",$J62&lt;=$I62),"",$V62*MAX(0,MIN($J62,30)-MAX($I62,15))/($J62-$I62))</f>
        <v/>
      </c>
      <c r="Y62" s="15" t="str">
        <f aca="false">IF(OR($V62="",$I62="",$J62="",$J62&lt;=$I62),"",$V62*MAX(0,MIN($J62,50)-MAX($I62,30))/($J62-$I62))</f>
        <v/>
      </c>
      <c r="Z62" s="15" t="str">
        <f aca="false">IF(OR($V62="",$I62="",$J62="",$J62&lt;=$I62),"",$V62*MAX(0,MIN($J62,100)-MAX($I62,50))/($J62-$I62))</f>
        <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
      </c>
    </row>
    <row r="63" customFormat="false" ht="15.75" hidden="false" customHeight="true" outlineLevel="0" collapsed="false">
      <c r="A63" s="14"/>
      <c r="B63" s="14"/>
      <c r="C63" s="24"/>
      <c r="D63" s="24"/>
      <c r="E63" s="14"/>
      <c r="F63" s="16" t="str">
        <f aca="false">IF(OR($C63="",$D63=""),"",$D63-$C63)</f>
        <v/>
      </c>
      <c r="G63" s="25" t="str">
        <f aca="false">IF($A63="","",IFERROR(INDEX('2. Plot &amp; Core Log'!$M$6:$M$35,MATCH($A63,'2. Plot &amp; Core Log'!$B$6:$B$35,0)),""))</f>
        <v/>
      </c>
      <c r="H63" s="26" t="str">
        <f aca="false">IF($A63="","",IFERROR(INDEX('2. Plot &amp; Core Log'!$S$6:$S$35,MATCH($A63,'2. Plot &amp; Core Log'!$B$6:$B$35,0)),""))</f>
        <v/>
      </c>
      <c r="I63" s="16" t="str">
        <f aca="false">IF(OR($C63="",$G63=""),"",$C63*$G63)</f>
        <v/>
      </c>
      <c r="J63" s="16" t="str">
        <f aca="false">IF(OR($D63="",$G63=""),"",$D63*$G63)</f>
        <v/>
      </c>
      <c r="K63" s="16" t="str">
        <f aca="false">IF(OR($F63="",$H63=""),"",PI()*(($H63/2)^2)*$F63)</f>
        <v/>
      </c>
      <c r="L63" s="27"/>
      <c r="M63" s="27"/>
      <c r="N63" s="27"/>
      <c r="O63" s="27"/>
      <c r="P63" s="16" t="str">
        <f aca="false">IF(OR($L63="",$M63="",$L63=0),"",(($L63-$M63)/$L63)*100)</f>
        <v/>
      </c>
      <c r="Q63" s="15" t="str">
        <f aca="false">IF(OR($M63="",$K63="",$K63=0),"",$M63/$K63)</f>
        <v/>
      </c>
      <c r="R63" s="15" t="str">
        <f aca="false">IF(OR($N63="",$O63=""),"",IF(UPPER($O63)="OC",$N63,IF(UPPER($O63)="LOI",IF(OR(LOI_INTERCEPT="",LOI_SLOPE=""),"",IF(LOI_INTERCEPT+LOI_SLOPE*$N63&lt;0,"",LOI_INTERCEPT+LOI_SLOPE*$N63)),"")))</f>
        <v/>
      </c>
      <c r="S63" s="18" t="str">
        <f aca="false">IF($R63="","",$R63*10)</f>
        <v/>
      </c>
      <c r="T63" s="28" t="str">
        <f aca="false">IF(OR($Q63="",$R63=""),"",$Q63*$R63/100)</f>
        <v/>
      </c>
      <c r="U63" s="29" t="str">
        <f aca="false">IF(OR($T63="",$F63=""),"",$T63*$F63)</f>
        <v/>
      </c>
      <c r="V63" s="15" t="str">
        <f aca="false">IF($U63="","",$U63*10)</f>
        <v/>
      </c>
      <c r="W63" s="15" t="str">
        <f aca="false">IF(OR($V63="",$I63="",$J63="",$J63&lt;=$I63),"",$V63*MAX(0,MIN($J63,15)-MAX($I63,0))/($J63-$I63))</f>
        <v/>
      </c>
      <c r="X63" s="15" t="str">
        <f aca="false">IF(OR($V63="",$I63="",$J63="",$J63&lt;=$I63),"",$V63*MAX(0,MIN($J63,30)-MAX($I63,15))/($J63-$I63))</f>
        <v/>
      </c>
      <c r="Y63" s="15" t="str">
        <f aca="false">IF(OR($V63="",$I63="",$J63="",$J63&lt;=$I63),"",$V63*MAX(0,MIN($J63,50)-MAX($I63,30))/($J63-$I63))</f>
        <v/>
      </c>
      <c r="Z63" s="15" t="str">
        <f aca="false">IF(OR($V63="",$I63="",$J63="",$J63&lt;=$I63),"",$V63*MAX(0,MIN($J63,100)-MAX($I63,50))/($J63-$I63))</f>
        <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
      </c>
    </row>
    <row r="64" customFormat="false" ht="15.75" hidden="false" customHeight="true" outlineLevel="0" collapsed="false">
      <c r="A64" s="14"/>
      <c r="B64" s="14"/>
      <c r="C64" s="24"/>
      <c r="D64" s="24"/>
      <c r="E64" s="14"/>
      <c r="F64" s="16" t="str">
        <f aca="false">IF(OR($C64="",$D64=""),"",$D64-$C64)</f>
        <v/>
      </c>
      <c r="G64" s="25" t="str">
        <f aca="false">IF($A64="","",IFERROR(INDEX('2. Plot &amp; Core Log'!$M$6:$M$35,MATCH($A64,'2. Plot &amp; Core Log'!$B$6:$B$35,0)),""))</f>
        <v/>
      </c>
      <c r="H64" s="26" t="str">
        <f aca="false">IF($A64="","",IFERROR(INDEX('2. Plot &amp; Core Log'!$S$6:$S$35,MATCH($A64,'2. Plot &amp; Core Log'!$B$6:$B$35,0)),""))</f>
        <v/>
      </c>
      <c r="I64" s="16" t="str">
        <f aca="false">IF(OR($C64="",$G64=""),"",$C64*$G64)</f>
        <v/>
      </c>
      <c r="J64" s="16" t="str">
        <f aca="false">IF(OR($D64="",$G64=""),"",$D64*$G64)</f>
        <v/>
      </c>
      <c r="K64" s="16" t="str">
        <f aca="false">IF(OR($F64="",$H64=""),"",PI()*(($H64/2)^2)*$F64)</f>
        <v/>
      </c>
      <c r="L64" s="27"/>
      <c r="M64" s="27"/>
      <c r="N64" s="27"/>
      <c r="O64" s="27"/>
      <c r="P64" s="16" t="str">
        <f aca="false">IF(OR($L64="",$M64="",$L64=0),"",(($L64-$M64)/$L64)*100)</f>
        <v/>
      </c>
      <c r="Q64" s="15" t="str">
        <f aca="false">IF(OR($M64="",$K64="",$K64=0),"",$M64/$K64)</f>
        <v/>
      </c>
      <c r="R64" s="15" t="str">
        <f aca="false">IF(OR($N64="",$O64=""),"",IF(UPPER($O64)="OC",$N64,IF(UPPER($O64)="LOI",IF(OR(LOI_INTERCEPT="",LOI_SLOPE=""),"",IF(LOI_INTERCEPT+LOI_SLOPE*$N64&lt;0,"",LOI_INTERCEPT+LOI_SLOPE*$N64)),"")))</f>
        <v/>
      </c>
      <c r="S64" s="18" t="str">
        <f aca="false">IF($R64="","",$R64*10)</f>
        <v/>
      </c>
      <c r="T64" s="28" t="str">
        <f aca="false">IF(OR($Q64="",$R64=""),"",$Q64*$R64/100)</f>
        <v/>
      </c>
      <c r="U64" s="29" t="str">
        <f aca="false">IF(OR($T64="",$F64=""),"",$T64*$F64)</f>
        <v/>
      </c>
      <c r="V64" s="15" t="str">
        <f aca="false">IF($U64="","",$U64*10)</f>
        <v/>
      </c>
      <c r="W64" s="15" t="str">
        <f aca="false">IF(OR($V64="",$I64="",$J64="",$J64&lt;=$I64),"",$V64*MAX(0,MIN($J64,15)-MAX($I64,0))/($J64-$I64))</f>
        <v/>
      </c>
      <c r="X64" s="15" t="str">
        <f aca="false">IF(OR($V64="",$I64="",$J64="",$J64&lt;=$I64),"",$V64*MAX(0,MIN($J64,30)-MAX($I64,15))/($J64-$I64))</f>
        <v/>
      </c>
      <c r="Y64" s="15" t="str">
        <f aca="false">IF(OR($V64="",$I64="",$J64="",$J64&lt;=$I64),"",$V64*MAX(0,MIN($J64,50)-MAX($I64,30))/($J64-$I64))</f>
        <v/>
      </c>
      <c r="Z64" s="15" t="str">
        <f aca="false">IF(OR($V64="",$I64="",$J64="",$J64&lt;=$I64),"",$V64*MAX(0,MIN($J64,100)-MAX($I64,50))/($J64-$I64))</f>
        <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
      </c>
    </row>
    <row r="65" customFormat="false" ht="15.75" hidden="false" customHeight="true" outlineLevel="0" collapsed="false">
      <c r="A65" s="14"/>
      <c r="B65" s="14"/>
      <c r="C65" s="24"/>
      <c r="D65" s="24"/>
      <c r="E65" s="14"/>
      <c r="F65" s="16" t="str">
        <f aca="false">IF(OR($C65="",$D65=""),"",$D65-$C65)</f>
        <v/>
      </c>
      <c r="G65" s="25" t="str">
        <f aca="false">IF($A65="","",IFERROR(INDEX('2. Plot &amp; Core Log'!$M$6:$M$35,MATCH($A65,'2. Plot &amp; Core Log'!$B$6:$B$35,0)),""))</f>
        <v/>
      </c>
      <c r="H65" s="26" t="str">
        <f aca="false">IF($A65="","",IFERROR(INDEX('2. Plot &amp; Core Log'!$S$6:$S$35,MATCH($A65,'2. Plot &amp; Core Log'!$B$6:$B$35,0)),""))</f>
        <v/>
      </c>
      <c r="I65" s="16" t="str">
        <f aca="false">IF(OR($C65="",$G65=""),"",$C65*$G65)</f>
        <v/>
      </c>
      <c r="J65" s="16" t="str">
        <f aca="false">IF(OR($D65="",$G65=""),"",$D65*$G65)</f>
        <v/>
      </c>
      <c r="K65" s="16" t="str">
        <f aca="false">IF(OR($F65="",$H65=""),"",PI()*(($H65/2)^2)*$F65)</f>
        <v/>
      </c>
      <c r="L65" s="27"/>
      <c r="M65" s="27"/>
      <c r="N65" s="27"/>
      <c r="O65" s="27"/>
      <c r="P65" s="16" t="str">
        <f aca="false">IF(OR($L65="",$M65="",$L65=0),"",(($L65-$M65)/$L65)*100)</f>
        <v/>
      </c>
      <c r="Q65" s="15" t="str">
        <f aca="false">IF(OR($M65="",$K65="",$K65=0),"",$M65/$K65)</f>
        <v/>
      </c>
      <c r="R65" s="15" t="str">
        <f aca="false">IF(OR($N65="",$O65=""),"",IF(UPPER($O65)="OC",$N65,IF(UPPER($O65)="LOI",IF(OR(LOI_INTERCEPT="",LOI_SLOPE=""),"",IF(LOI_INTERCEPT+LOI_SLOPE*$N65&lt;0,"",LOI_INTERCEPT+LOI_SLOPE*$N65)),"")))</f>
        <v/>
      </c>
      <c r="S65" s="18" t="str">
        <f aca="false">IF($R65="","",$R65*10)</f>
        <v/>
      </c>
      <c r="T65" s="28" t="str">
        <f aca="false">IF(OR($Q65="",$R65=""),"",$Q65*$R65/100)</f>
        <v/>
      </c>
      <c r="U65" s="29" t="str">
        <f aca="false">IF(OR($T65="",$F65=""),"",$T65*$F65)</f>
        <v/>
      </c>
      <c r="V65" s="15" t="str">
        <f aca="false">IF($U65="","",$U65*10)</f>
        <v/>
      </c>
      <c r="W65" s="15" t="str">
        <f aca="false">IF(OR($V65="",$I65="",$J65="",$J65&lt;=$I65),"",$V65*MAX(0,MIN($J65,15)-MAX($I65,0))/($J65-$I65))</f>
        <v/>
      </c>
      <c r="X65" s="15" t="str">
        <f aca="false">IF(OR($V65="",$I65="",$J65="",$J65&lt;=$I65),"",$V65*MAX(0,MIN($J65,30)-MAX($I65,15))/($J65-$I65))</f>
        <v/>
      </c>
      <c r="Y65" s="15" t="str">
        <f aca="false">IF(OR($V65="",$I65="",$J65="",$J65&lt;=$I65),"",$V65*MAX(0,MIN($J65,50)-MAX($I65,30))/($J65-$I65))</f>
        <v/>
      </c>
      <c r="Z65" s="15" t="str">
        <f aca="false">IF(OR($V65="",$I65="",$J65="",$J65&lt;=$I65),"",$V65*MAX(0,MIN($J65,100)-MAX($I65,50))/($J65-$I65))</f>
        <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
      </c>
    </row>
    <row r="66" customFormat="false" ht="15.75" hidden="false" customHeight="true" outlineLevel="0" collapsed="false">
      <c r="A66" s="14"/>
      <c r="B66" s="14"/>
      <c r="C66" s="24"/>
      <c r="D66" s="24"/>
      <c r="E66" s="14"/>
      <c r="F66" s="16" t="str">
        <f aca="false">IF(OR($C66="",$D66=""),"",$D66-$C66)</f>
        <v/>
      </c>
      <c r="G66" s="25" t="str">
        <f aca="false">IF($A66="","",IFERROR(INDEX('2. Plot &amp; Core Log'!$M$6:$M$35,MATCH($A66,'2. Plot &amp; Core Log'!$B$6:$B$35,0)),""))</f>
        <v/>
      </c>
      <c r="H66" s="26" t="str">
        <f aca="false">IF($A66="","",IFERROR(INDEX('2. Plot &amp; Core Log'!$S$6:$S$35,MATCH($A66,'2. Plot &amp; Core Log'!$B$6:$B$35,0)),""))</f>
        <v/>
      </c>
      <c r="I66" s="16" t="str">
        <f aca="false">IF(OR($C66="",$G66=""),"",$C66*$G66)</f>
        <v/>
      </c>
      <c r="J66" s="16" t="str">
        <f aca="false">IF(OR($D66="",$G66=""),"",$D66*$G66)</f>
        <v/>
      </c>
      <c r="K66" s="16" t="str">
        <f aca="false">IF(OR($F66="",$H66=""),"",PI()*(($H66/2)^2)*$F66)</f>
        <v/>
      </c>
      <c r="L66" s="27"/>
      <c r="M66" s="27"/>
      <c r="N66" s="27"/>
      <c r="O66" s="27"/>
      <c r="P66" s="16" t="str">
        <f aca="false">IF(OR($L66="",$M66="",$L66=0),"",(($L66-$M66)/$L66)*100)</f>
        <v/>
      </c>
      <c r="Q66" s="15" t="str">
        <f aca="false">IF(OR($M66="",$K66="",$K66=0),"",$M66/$K66)</f>
        <v/>
      </c>
      <c r="R66" s="15" t="str">
        <f aca="false">IF(OR($N66="",$O66=""),"",IF(UPPER($O66)="OC",$N66,IF(UPPER($O66)="LOI",IF(OR(LOI_INTERCEPT="",LOI_SLOPE=""),"",IF(LOI_INTERCEPT+LOI_SLOPE*$N66&lt;0,"",LOI_INTERCEPT+LOI_SLOPE*$N66)),"")))</f>
        <v/>
      </c>
      <c r="S66" s="18" t="str">
        <f aca="false">IF($R66="","",$R66*10)</f>
        <v/>
      </c>
      <c r="T66" s="28" t="str">
        <f aca="false">IF(OR($Q66="",$R66=""),"",$Q66*$R66/100)</f>
        <v/>
      </c>
      <c r="U66" s="29" t="str">
        <f aca="false">IF(OR($T66="",$F66=""),"",$T66*$F66)</f>
        <v/>
      </c>
      <c r="V66" s="15" t="str">
        <f aca="false">IF($U66="","",$U66*10)</f>
        <v/>
      </c>
      <c r="W66" s="15" t="str">
        <f aca="false">IF(OR($V66="",$I66="",$J66="",$J66&lt;=$I66),"",$V66*MAX(0,MIN($J66,15)-MAX($I66,0))/($J66-$I66))</f>
        <v/>
      </c>
      <c r="X66" s="15" t="str">
        <f aca="false">IF(OR($V66="",$I66="",$J66="",$J66&lt;=$I66),"",$V66*MAX(0,MIN($J66,30)-MAX($I66,15))/($J66-$I66))</f>
        <v/>
      </c>
      <c r="Y66" s="15" t="str">
        <f aca="false">IF(OR($V66="",$I66="",$J66="",$J66&lt;=$I66),"",$V66*MAX(0,MIN($J66,50)-MAX($I66,30))/($J66-$I66))</f>
        <v/>
      </c>
      <c r="Z66" s="15" t="str">
        <f aca="false">IF(OR($V66="",$I66="",$J66="",$J66&lt;=$I66),"",$V66*MAX(0,MIN($J66,100)-MAX($I66,50))/($J66-$I66))</f>
        <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
      </c>
    </row>
    <row r="67" customFormat="false" ht="15.75" hidden="false" customHeight="true" outlineLevel="0" collapsed="false">
      <c r="A67" s="14"/>
      <c r="B67" s="14"/>
      <c r="C67" s="24"/>
      <c r="D67" s="24"/>
      <c r="E67" s="14"/>
      <c r="F67" s="16" t="str">
        <f aca="false">IF(OR($C67="",$D67=""),"",$D67-$C67)</f>
        <v/>
      </c>
      <c r="G67" s="25" t="str">
        <f aca="false">IF($A67="","",IFERROR(INDEX('2. Plot &amp; Core Log'!$M$6:$M$35,MATCH($A67,'2. Plot &amp; Core Log'!$B$6:$B$35,0)),""))</f>
        <v/>
      </c>
      <c r="H67" s="26" t="str">
        <f aca="false">IF($A67="","",IFERROR(INDEX('2. Plot &amp; Core Log'!$S$6:$S$35,MATCH($A67,'2. Plot &amp; Core Log'!$B$6:$B$35,0)),""))</f>
        <v/>
      </c>
      <c r="I67" s="16" t="str">
        <f aca="false">IF(OR($C67="",$G67=""),"",$C67*$G67)</f>
        <v/>
      </c>
      <c r="J67" s="16" t="str">
        <f aca="false">IF(OR($D67="",$G67=""),"",$D67*$G67)</f>
        <v/>
      </c>
      <c r="K67" s="16" t="str">
        <f aca="false">IF(OR($F67="",$H67=""),"",PI()*(($H67/2)^2)*$F67)</f>
        <v/>
      </c>
      <c r="L67" s="27"/>
      <c r="M67" s="27"/>
      <c r="N67" s="27"/>
      <c r="O67" s="27"/>
      <c r="P67" s="16" t="str">
        <f aca="false">IF(OR($L67="",$M67="",$L67=0),"",(($L67-$M67)/$L67)*100)</f>
        <v/>
      </c>
      <c r="Q67" s="15" t="str">
        <f aca="false">IF(OR($M67="",$K67="",$K67=0),"",$M67/$K67)</f>
        <v/>
      </c>
      <c r="R67" s="15" t="str">
        <f aca="false">IF(OR($N67="",$O67=""),"",IF(UPPER($O67)="OC",$N67,IF(UPPER($O67)="LOI",IF(OR(LOI_INTERCEPT="",LOI_SLOPE=""),"",IF(LOI_INTERCEPT+LOI_SLOPE*$N67&lt;0,"",LOI_INTERCEPT+LOI_SLOPE*$N67)),"")))</f>
        <v/>
      </c>
      <c r="S67" s="18" t="str">
        <f aca="false">IF($R67="","",$R67*10)</f>
        <v/>
      </c>
      <c r="T67" s="28" t="str">
        <f aca="false">IF(OR($Q67="",$R67=""),"",$Q67*$R67/100)</f>
        <v/>
      </c>
      <c r="U67" s="29" t="str">
        <f aca="false">IF(OR($T67="",$F67=""),"",$T67*$F67)</f>
        <v/>
      </c>
      <c r="V67" s="15" t="str">
        <f aca="false">IF($U67="","",$U67*10)</f>
        <v/>
      </c>
      <c r="W67" s="15" t="str">
        <f aca="false">IF(OR($V67="",$I67="",$J67="",$J67&lt;=$I67),"",$V67*MAX(0,MIN($J67,15)-MAX($I67,0))/($J67-$I67))</f>
        <v/>
      </c>
      <c r="X67" s="15" t="str">
        <f aca="false">IF(OR($V67="",$I67="",$J67="",$J67&lt;=$I67),"",$V67*MAX(0,MIN($J67,30)-MAX($I67,15))/($J67-$I67))</f>
        <v/>
      </c>
      <c r="Y67" s="15" t="str">
        <f aca="false">IF(OR($V67="",$I67="",$J67="",$J67&lt;=$I67),"",$V67*MAX(0,MIN($J67,50)-MAX($I67,30))/($J67-$I67))</f>
        <v/>
      </c>
      <c r="Z67" s="15" t="str">
        <f aca="false">IF(OR($V67="",$I67="",$J67="",$J67&lt;=$I67),"",$V67*MAX(0,MIN($J67,100)-MAX($I67,50))/($J67-$I67))</f>
        <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
      </c>
    </row>
    <row r="68" customFormat="false" ht="15.75" hidden="false" customHeight="true" outlineLevel="0" collapsed="false">
      <c r="A68" s="14"/>
      <c r="B68" s="14"/>
      <c r="C68" s="24"/>
      <c r="D68" s="24"/>
      <c r="E68" s="14"/>
      <c r="F68" s="16" t="str">
        <f aca="false">IF(OR($C68="",$D68=""),"",$D68-$C68)</f>
        <v/>
      </c>
      <c r="G68" s="25" t="str">
        <f aca="false">IF($A68="","",IFERROR(INDEX('2. Plot &amp; Core Log'!$M$6:$M$35,MATCH($A68,'2. Plot &amp; Core Log'!$B$6:$B$35,0)),""))</f>
        <v/>
      </c>
      <c r="H68" s="26" t="str">
        <f aca="false">IF($A68="","",IFERROR(INDEX('2. Plot &amp; Core Log'!$S$6:$S$35,MATCH($A68,'2. Plot &amp; Core Log'!$B$6:$B$35,0)),""))</f>
        <v/>
      </c>
      <c r="I68" s="16" t="str">
        <f aca="false">IF(OR($C68="",$G68=""),"",$C68*$G68)</f>
        <v/>
      </c>
      <c r="J68" s="16" t="str">
        <f aca="false">IF(OR($D68="",$G68=""),"",$D68*$G68)</f>
        <v/>
      </c>
      <c r="K68" s="16" t="str">
        <f aca="false">IF(OR($F68="",$H68=""),"",PI()*(($H68/2)^2)*$F68)</f>
        <v/>
      </c>
      <c r="L68" s="27"/>
      <c r="M68" s="27"/>
      <c r="N68" s="27"/>
      <c r="O68" s="27"/>
      <c r="P68" s="16" t="str">
        <f aca="false">IF(OR($L68="",$M68="",$L68=0),"",(($L68-$M68)/$L68)*100)</f>
        <v/>
      </c>
      <c r="Q68" s="15" t="str">
        <f aca="false">IF(OR($M68="",$K68="",$K68=0),"",$M68/$K68)</f>
        <v/>
      </c>
      <c r="R68" s="15" t="str">
        <f aca="false">IF(OR($N68="",$O68=""),"",IF(UPPER($O68)="OC",$N68,IF(UPPER($O68)="LOI",IF(OR(LOI_INTERCEPT="",LOI_SLOPE=""),"",IF(LOI_INTERCEPT+LOI_SLOPE*$N68&lt;0,"",LOI_INTERCEPT+LOI_SLOPE*$N68)),"")))</f>
        <v/>
      </c>
      <c r="S68" s="18" t="str">
        <f aca="false">IF($R68="","",$R68*10)</f>
        <v/>
      </c>
      <c r="T68" s="28" t="str">
        <f aca="false">IF(OR($Q68="",$R68=""),"",$Q68*$R68/100)</f>
        <v/>
      </c>
      <c r="U68" s="29" t="str">
        <f aca="false">IF(OR($T68="",$F68=""),"",$T68*$F68)</f>
        <v/>
      </c>
      <c r="V68" s="15" t="str">
        <f aca="false">IF($U68="","",$U68*10)</f>
        <v/>
      </c>
      <c r="W68" s="15" t="str">
        <f aca="false">IF(OR($V68="",$I68="",$J68="",$J68&lt;=$I68),"",$V68*MAX(0,MIN($J68,15)-MAX($I68,0))/($J68-$I68))</f>
        <v/>
      </c>
      <c r="X68" s="15" t="str">
        <f aca="false">IF(OR($V68="",$I68="",$J68="",$J68&lt;=$I68),"",$V68*MAX(0,MIN($J68,30)-MAX($I68,15))/($J68-$I68))</f>
        <v/>
      </c>
      <c r="Y68" s="15" t="str">
        <f aca="false">IF(OR($V68="",$I68="",$J68="",$J68&lt;=$I68),"",$V68*MAX(0,MIN($J68,50)-MAX($I68,30))/($J68-$I68))</f>
        <v/>
      </c>
      <c r="Z68" s="15" t="str">
        <f aca="false">IF(OR($V68="",$I68="",$J68="",$J68&lt;=$I68),"",$V68*MAX(0,MIN($J68,100)-MAX($I68,50))/($J68-$I68))</f>
        <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
      </c>
    </row>
    <row r="69" customFormat="false" ht="15.75" hidden="false" customHeight="true" outlineLevel="0" collapsed="false">
      <c r="A69" s="14"/>
      <c r="B69" s="14"/>
      <c r="C69" s="24"/>
      <c r="D69" s="24"/>
      <c r="E69" s="14"/>
      <c r="F69" s="16" t="str">
        <f aca="false">IF(OR($C69="",$D69=""),"",$D69-$C69)</f>
        <v/>
      </c>
      <c r="G69" s="25" t="str">
        <f aca="false">IF($A69="","",IFERROR(INDEX('2. Plot &amp; Core Log'!$M$6:$M$35,MATCH($A69,'2. Plot &amp; Core Log'!$B$6:$B$35,0)),""))</f>
        <v/>
      </c>
      <c r="H69" s="26" t="str">
        <f aca="false">IF($A69="","",IFERROR(INDEX('2. Plot &amp; Core Log'!$S$6:$S$35,MATCH($A69,'2. Plot &amp; Core Log'!$B$6:$B$35,0)),""))</f>
        <v/>
      </c>
      <c r="I69" s="16" t="str">
        <f aca="false">IF(OR($C69="",$G69=""),"",$C69*$G69)</f>
        <v/>
      </c>
      <c r="J69" s="16" t="str">
        <f aca="false">IF(OR($D69="",$G69=""),"",$D69*$G69)</f>
        <v/>
      </c>
      <c r="K69" s="16" t="str">
        <f aca="false">IF(OR($F69="",$H69=""),"",PI()*(($H69/2)^2)*$F69)</f>
        <v/>
      </c>
      <c r="L69" s="27"/>
      <c r="M69" s="27"/>
      <c r="N69" s="27"/>
      <c r="O69" s="27"/>
      <c r="P69" s="16" t="str">
        <f aca="false">IF(OR($L69="",$M69="",$L69=0),"",(($L69-$M69)/$L69)*100)</f>
        <v/>
      </c>
      <c r="Q69" s="15" t="str">
        <f aca="false">IF(OR($M69="",$K69="",$K69=0),"",$M69/$K69)</f>
        <v/>
      </c>
      <c r="R69" s="15" t="str">
        <f aca="false">IF(OR($N69="",$O69=""),"",IF(UPPER($O69)="OC",$N69,IF(UPPER($O69)="LOI",IF(OR(LOI_INTERCEPT="",LOI_SLOPE=""),"",IF(LOI_INTERCEPT+LOI_SLOPE*$N69&lt;0,"",LOI_INTERCEPT+LOI_SLOPE*$N69)),"")))</f>
        <v/>
      </c>
      <c r="S69" s="18" t="str">
        <f aca="false">IF($R69="","",$R69*10)</f>
        <v/>
      </c>
      <c r="T69" s="28" t="str">
        <f aca="false">IF(OR($Q69="",$R69=""),"",$Q69*$R69/100)</f>
        <v/>
      </c>
      <c r="U69" s="29" t="str">
        <f aca="false">IF(OR($T69="",$F69=""),"",$T69*$F69)</f>
        <v/>
      </c>
      <c r="V69" s="15" t="str">
        <f aca="false">IF($U69="","",$U69*10)</f>
        <v/>
      </c>
      <c r="W69" s="15" t="str">
        <f aca="false">IF(OR($V69="",$I69="",$J69="",$J69&lt;=$I69),"",$V69*MAX(0,MIN($J69,15)-MAX($I69,0))/($J69-$I69))</f>
        <v/>
      </c>
      <c r="X69" s="15" t="str">
        <f aca="false">IF(OR($V69="",$I69="",$J69="",$J69&lt;=$I69),"",$V69*MAX(0,MIN($J69,30)-MAX($I69,15))/($J69-$I69))</f>
        <v/>
      </c>
      <c r="Y69" s="15" t="str">
        <f aca="false">IF(OR($V69="",$I69="",$J69="",$J69&lt;=$I69),"",$V69*MAX(0,MIN($J69,50)-MAX($I69,30))/($J69-$I69))</f>
        <v/>
      </c>
      <c r="Z69" s="15" t="str">
        <f aca="false">IF(OR($V69="",$I69="",$J69="",$J69&lt;=$I69),"",$V69*MAX(0,MIN($J69,100)-MAX($I69,50))/($J69-$I69))</f>
        <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
      </c>
    </row>
    <row r="70" customFormat="false" ht="15.75" hidden="false" customHeight="true" outlineLevel="0" collapsed="false">
      <c r="A70" s="14"/>
      <c r="B70" s="14"/>
      <c r="C70" s="24"/>
      <c r="D70" s="24"/>
      <c r="E70" s="14"/>
      <c r="F70" s="16" t="str">
        <f aca="false">IF(OR($C70="",$D70=""),"",$D70-$C70)</f>
        <v/>
      </c>
      <c r="G70" s="25" t="str">
        <f aca="false">IF($A70="","",IFERROR(INDEX('2. Plot &amp; Core Log'!$M$6:$M$35,MATCH($A70,'2. Plot &amp; Core Log'!$B$6:$B$35,0)),""))</f>
        <v/>
      </c>
      <c r="H70" s="26" t="str">
        <f aca="false">IF($A70="","",IFERROR(INDEX('2. Plot &amp; Core Log'!$S$6:$S$35,MATCH($A70,'2. Plot &amp; Core Log'!$B$6:$B$35,0)),""))</f>
        <v/>
      </c>
      <c r="I70" s="16" t="str">
        <f aca="false">IF(OR($C70="",$G70=""),"",$C70*$G70)</f>
        <v/>
      </c>
      <c r="J70" s="16" t="str">
        <f aca="false">IF(OR($D70="",$G70=""),"",$D70*$G70)</f>
        <v/>
      </c>
      <c r="K70" s="16" t="str">
        <f aca="false">IF(OR($F70="",$H70=""),"",PI()*(($H70/2)^2)*$F70)</f>
        <v/>
      </c>
      <c r="L70" s="27"/>
      <c r="M70" s="27"/>
      <c r="N70" s="27"/>
      <c r="O70" s="27"/>
      <c r="P70" s="16" t="str">
        <f aca="false">IF(OR($L70="",$M70="",$L70=0),"",(($L70-$M70)/$L70)*100)</f>
        <v/>
      </c>
      <c r="Q70" s="15" t="str">
        <f aca="false">IF(OR($M70="",$K70="",$K70=0),"",$M70/$K70)</f>
        <v/>
      </c>
      <c r="R70" s="15" t="str">
        <f aca="false">IF(OR($N70="",$O70=""),"",IF(UPPER($O70)="OC",$N70,IF(UPPER($O70)="LOI",IF(OR(LOI_INTERCEPT="",LOI_SLOPE=""),"",IF(LOI_INTERCEPT+LOI_SLOPE*$N70&lt;0,"",LOI_INTERCEPT+LOI_SLOPE*$N70)),"")))</f>
        <v/>
      </c>
      <c r="S70" s="18" t="str">
        <f aca="false">IF($R70="","",$R70*10)</f>
        <v/>
      </c>
      <c r="T70" s="28" t="str">
        <f aca="false">IF(OR($Q70="",$R70=""),"",$Q70*$R70/100)</f>
        <v/>
      </c>
      <c r="U70" s="29" t="str">
        <f aca="false">IF(OR($T70="",$F70=""),"",$T70*$F70)</f>
        <v/>
      </c>
      <c r="V70" s="15" t="str">
        <f aca="false">IF($U70="","",$U70*10)</f>
        <v/>
      </c>
      <c r="W70" s="15" t="str">
        <f aca="false">IF(OR($V70="",$I70="",$J70="",$J70&lt;=$I70),"",$V70*MAX(0,MIN($J70,15)-MAX($I70,0))/($J70-$I70))</f>
        <v/>
      </c>
      <c r="X70" s="15" t="str">
        <f aca="false">IF(OR($V70="",$I70="",$J70="",$J70&lt;=$I70),"",$V70*MAX(0,MIN($J70,30)-MAX($I70,15))/($J70-$I70))</f>
        <v/>
      </c>
      <c r="Y70" s="15" t="str">
        <f aca="false">IF(OR($V70="",$I70="",$J70="",$J70&lt;=$I70),"",$V70*MAX(0,MIN($J70,50)-MAX($I70,30))/($J70-$I70))</f>
        <v/>
      </c>
      <c r="Z70" s="15" t="str">
        <f aca="false">IF(OR($V70="",$I70="",$J70="",$J70&lt;=$I70),"",$V70*MAX(0,MIN($J70,100)-MAX($I70,50))/($J70-$I70))</f>
        <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
      </c>
    </row>
    <row r="71" customFormat="false" ht="15.75" hidden="false" customHeight="true" outlineLevel="0" collapsed="false">
      <c r="A71" s="14"/>
      <c r="B71" s="14"/>
      <c r="C71" s="24"/>
      <c r="D71" s="24"/>
      <c r="E71" s="14"/>
      <c r="F71" s="16" t="str">
        <f aca="false">IF(OR($C71="",$D71=""),"",$D71-$C71)</f>
        <v/>
      </c>
      <c r="G71" s="25" t="str">
        <f aca="false">IF($A71="","",IFERROR(INDEX('2. Plot &amp; Core Log'!$M$6:$M$35,MATCH($A71,'2. Plot &amp; Core Log'!$B$6:$B$35,0)),""))</f>
        <v/>
      </c>
      <c r="H71" s="26" t="str">
        <f aca="false">IF($A71="","",IFERROR(INDEX('2. Plot &amp; Core Log'!$S$6:$S$35,MATCH($A71,'2. Plot &amp; Core Log'!$B$6:$B$35,0)),""))</f>
        <v/>
      </c>
      <c r="I71" s="16" t="str">
        <f aca="false">IF(OR($C71="",$G71=""),"",$C71*$G71)</f>
        <v/>
      </c>
      <c r="J71" s="16" t="str">
        <f aca="false">IF(OR($D71="",$G71=""),"",$D71*$G71)</f>
        <v/>
      </c>
      <c r="K71" s="16" t="str">
        <f aca="false">IF(OR($F71="",$H71=""),"",PI()*(($H71/2)^2)*$F71)</f>
        <v/>
      </c>
      <c r="L71" s="27"/>
      <c r="M71" s="27"/>
      <c r="N71" s="27"/>
      <c r="O71" s="27"/>
      <c r="P71" s="16" t="str">
        <f aca="false">IF(OR($L71="",$M71="",$L71=0),"",(($L71-$M71)/$L71)*100)</f>
        <v/>
      </c>
      <c r="Q71" s="15" t="str">
        <f aca="false">IF(OR($M71="",$K71="",$K71=0),"",$M71/$K71)</f>
        <v/>
      </c>
      <c r="R71" s="15" t="str">
        <f aca="false">IF(OR($N71="",$O71=""),"",IF(UPPER($O71)="OC",$N71,IF(UPPER($O71)="LOI",IF(OR(LOI_INTERCEPT="",LOI_SLOPE=""),"",IF(LOI_INTERCEPT+LOI_SLOPE*$N71&lt;0,"",LOI_INTERCEPT+LOI_SLOPE*$N71)),"")))</f>
        <v/>
      </c>
      <c r="S71" s="18" t="str">
        <f aca="false">IF($R71="","",$R71*10)</f>
        <v/>
      </c>
      <c r="T71" s="28" t="str">
        <f aca="false">IF(OR($Q71="",$R71=""),"",$Q71*$R71/100)</f>
        <v/>
      </c>
      <c r="U71" s="29" t="str">
        <f aca="false">IF(OR($T71="",$F71=""),"",$T71*$F71)</f>
        <v/>
      </c>
      <c r="V71" s="15" t="str">
        <f aca="false">IF($U71="","",$U71*10)</f>
        <v/>
      </c>
      <c r="W71" s="15" t="str">
        <f aca="false">IF(OR($V71="",$I71="",$J71="",$J71&lt;=$I71),"",$V71*MAX(0,MIN($J71,15)-MAX($I71,0))/($J71-$I71))</f>
        <v/>
      </c>
      <c r="X71" s="15" t="str">
        <f aca="false">IF(OR($V71="",$I71="",$J71="",$J71&lt;=$I71),"",$V71*MAX(0,MIN($J71,30)-MAX($I71,15))/($J71-$I71))</f>
        <v/>
      </c>
      <c r="Y71" s="15" t="str">
        <f aca="false">IF(OR($V71="",$I71="",$J71="",$J71&lt;=$I71),"",$V71*MAX(0,MIN($J71,50)-MAX($I71,30))/($J71-$I71))</f>
        <v/>
      </c>
      <c r="Z71" s="15" t="str">
        <f aca="false">IF(OR($V71="",$I71="",$J71="",$J71&lt;=$I71),"",$V71*MAX(0,MIN($J71,100)-MAX($I71,50))/($J71-$I71))</f>
        <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
      </c>
    </row>
    <row r="72" customFormat="false" ht="15.75" hidden="false" customHeight="true" outlineLevel="0" collapsed="false">
      <c r="A72" s="14"/>
      <c r="B72" s="14"/>
      <c r="C72" s="24"/>
      <c r="D72" s="24"/>
      <c r="E72" s="14"/>
      <c r="F72" s="16" t="str">
        <f aca="false">IF(OR($C72="",$D72=""),"",$D72-$C72)</f>
        <v/>
      </c>
      <c r="G72" s="25" t="str">
        <f aca="false">IF($A72="","",IFERROR(INDEX('2. Plot &amp; Core Log'!$M$6:$M$35,MATCH($A72,'2. Plot &amp; Core Log'!$B$6:$B$35,0)),""))</f>
        <v/>
      </c>
      <c r="H72" s="26" t="str">
        <f aca="false">IF($A72="","",IFERROR(INDEX('2. Plot &amp; Core Log'!$S$6:$S$35,MATCH($A72,'2. Plot &amp; Core Log'!$B$6:$B$35,0)),""))</f>
        <v/>
      </c>
      <c r="I72" s="16" t="str">
        <f aca="false">IF(OR($C72="",$G72=""),"",$C72*$G72)</f>
        <v/>
      </c>
      <c r="J72" s="16" t="str">
        <f aca="false">IF(OR($D72="",$G72=""),"",$D72*$G72)</f>
        <v/>
      </c>
      <c r="K72" s="16" t="str">
        <f aca="false">IF(OR($F72="",$H72=""),"",PI()*(($H72/2)^2)*$F72)</f>
        <v/>
      </c>
      <c r="L72" s="27"/>
      <c r="M72" s="27"/>
      <c r="N72" s="27"/>
      <c r="O72" s="27"/>
      <c r="P72" s="16" t="str">
        <f aca="false">IF(OR($L72="",$M72="",$L72=0),"",(($L72-$M72)/$L72)*100)</f>
        <v/>
      </c>
      <c r="Q72" s="15" t="str">
        <f aca="false">IF(OR($M72="",$K72="",$K72=0),"",$M72/$K72)</f>
        <v/>
      </c>
      <c r="R72" s="15" t="str">
        <f aca="false">IF(OR($N72="",$O72=""),"",IF(UPPER($O72)="OC",$N72,IF(UPPER($O72)="LOI",IF(OR(LOI_INTERCEPT="",LOI_SLOPE=""),"",IF(LOI_INTERCEPT+LOI_SLOPE*$N72&lt;0,"",LOI_INTERCEPT+LOI_SLOPE*$N72)),"")))</f>
        <v/>
      </c>
      <c r="S72" s="18" t="str">
        <f aca="false">IF($R72="","",$R72*10)</f>
        <v/>
      </c>
      <c r="T72" s="28" t="str">
        <f aca="false">IF(OR($Q72="",$R72=""),"",$Q72*$R72/100)</f>
        <v/>
      </c>
      <c r="U72" s="29" t="str">
        <f aca="false">IF(OR($T72="",$F72=""),"",$T72*$F72)</f>
        <v/>
      </c>
      <c r="V72" s="15" t="str">
        <f aca="false">IF($U72="","",$U72*10)</f>
        <v/>
      </c>
      <c r="W72" s="15" t="str">
        <f aca="false">IF(OR($V72="",$I72="",$J72="",$J72&lt;=$I72),"",$V72*MAX(0,MIN($J72,15)-MAX($I72,0))/($J72-$I72))</f>
        <v/>
      </c>
      <c r="X72" s="15" t="str">
        <f aca="false">IF(OR($V72="",$I72="",$J72="",$J72&lt;=$I72),"",$V72*MAX(0,MIN($J72,30)-MAX($I72,15))/($J72-$I72))</f>
        <v/>
      </c>
      <c r="Y72" s="15" t="str">
        <f aca="false">IF(OR($V72="",$I72="",$J72="",$J72&lt;=$I72),"",$V72*MAX(0,MIN($J72,50)-MAX($I72,30))/($J72-$I72))</f>
        <v/>
      </c>
      <c r="Z72" s="15" t="str">
        <f aca="false">IF(OR($V72="",$I72="",$J72="",$J72&lt;=$I72),"",$V72*MAX(0,MIN($J72,100)-MAX($I72,50))/($J72-$I72))</f>
        <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
      </c>
    </row>
    <row r="73" customFormat="false" ht="15.75" hidden="false" customHeight="true" outlineLevel="0" collapsed="false">
      <c r="A73" s="14"/>
      <c r="B73" s="14"/>
      <c r="C73" s="24"/>
      <c r="D73" s="24"/>
      <c r="E73" s="14"/>
      <c r="F73" s="16" t="str">
        <f aca="false">IF(OR($C73="",$D73=""),"",$D73-$C73)</f>
        <v/>
      </c>
      <c r="G73" s="25" t="str">
        <f aca="false">IF($A73="","",IFERROR(INDEX('2. Plot &amp; Core Log'!$M$6:$M$35,MATCH($A73,'2. Plot &amp; Core Log'!$B$6:$B$35,0)),""))</f>
        <v/>
      </c>
      <c r="H73" s="26" t="str">
        <f aca="false">IF($A73="","",IFERROR(INDEX('2. Plot &amp; Core Log'!$S$6:$S$35,MATCH($A73,'2. Plot &amp; Core Log'!$B$6:$B$35,0)),""))</f>
        <v/>
      </c>
      <c r="I73" s="16" t="str">
        <f aca="false">IF(OR($C73="",$G73=""),"",$C73*$G73)</f>
        <v/>
      </c>
      <c r="J73" s="16" t="str">
        <f aca="false">IF(OR($D73="",$G73=""),"",$D73*$G73)</f>
        <v/>
      </c>
      <c r="K73" s="16" t="str">
        <f aca="false">IF(OR($F73="",$H73=""),"",PI()*(($H73/2)^2)*$F73)</f>
        <v/>
      </c>
      <c r="L73" s="27"/>
      <c r="M73" s="27"/>
      <c r="N73" s="27"/>
      <c r="O73" s="27"/>
      <c r="P73" s="16" t="str">
        <f aca="false">IF(OR($L73="",$M73="",$L73=0),"",(($L73-$M73)/$L73)*100)</f>
        <v/>
      </c>
      <c r="Q73" s="15" t="str">
        <f aca="false">IF(OR($M73="",$K73="",$K73=0),"",$M73/$K73)</f>
        <v/>
      </c>
      <c r="R73" s="15" t="str">
        <f aca="false">IF(OR($N73="",$O73=""),"",IF(UPPER($O73)="OC",$N73,IF(UPPER($O73)="LOI",IF(OR(LOI_INTERCEPT="",LOI_SLOPE=""),"",IF(LOI_INTERCEPT+LOI_SLOPE*$N73&lt;0,"",LOI_INTERCEPT+LOI_SLOPE*$N73)),"")))</f>
        <v/>
      </c>
      <c r="S73" s="18" t="str">
        <f aca="false">IF($R73="","",$R73*10)</f>
        <v/>
      </c>
      <c r="T73" s="28" t="str">
        <f aca="false">IF(OR($Q73="",$R73=""),"",$Q73*$R73/100)</f>
        <v/>
      </c>
      <c r="U73" s="29" t="str">
        <f aca="false">IF(OR($T73="",$F73=""),"",$T73*$F73)</f>
        <v/>
      </c>
      <c r="V73" s="15" t="str">
        <f aca="false">IF($U73="","",$U73*10)</f>
        <v/>
      </c>
      <c r="W73" s="15" t="str">
        <f aca="false">IF(OR($V73="",$I73="",$J73="",$J73&lt;=$I73),"",$V73*MAX(0,MIN($J73,15)-MAX($I73,0))/($J73-$I73))</f>
        <v/>
      </c>
      <c r="X73" s="15" t="str">
        <f aca="false">IF(OR($V73="",$I73="",$J73="",$J73&lt;=$I73),"",$V73*MAX(0,MIN($J73,30)-MAX($I73,15))/($J73-$I73))</f>
        <v/>
      </c>
      <c r="Y73" s="15" t="str">
        <f aca="false">IF(OR($V73="",$I73="",$J73="",$J73&lt;=$I73),"",$V73*MAX(0,MIN($J73,50)-MAX($I73,30))/($J73-$I73))</f>
        <v/>
      </c>
      <c r="Z73" s="15" t="str">
        <f aca="false">IF(OR($V73="",$I73="",$J73="",$J73&lt;=$I73),"",$V73*MAX(0,MIN($J73,100)-MAX($I73,50))/($J73-$I73))</f>
        <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
      </c>
    </row>
    <row r="74" customFormat="false" ht="15.75" hidden="false" customHeight="true" outlineLevel="0" collapsed="false">
      <c r="A74" s="14"/>
      <c r="B74" s="14"/>
      <c r="C74" s="24"/>
      <c r="D74" s="24"/>
      <c r="E74" s="14"/>
      <c r="F74" s="16" t="str">
        <f aca="false">IF(OR($C74="",$D74=""),"",$D74-$C74)</f>
        <v/>
      </c>
      <c r="G74" s="25" t="str">
        <f aca="false">IF($A74="","",IFERROR(INDEX('2. Plot &amp; Core Log'!$M$6:$M$35,MATCH($A74,'2. Plot &amp; Core Log'!$B$6:$B$35,0)),""))</f>
        <v/>
      </c>
      <c r="H74" s="26" t="str">
        <f aca="false">IF($A74="","",IFERROR(INDEX('2. Plot &amp; Core Log'!$S$6:$S$35,MATCH($A74,'2. Plot &amp; Core Log'!$B$6:$B$35,0)),""))</f>
        <v/>
      </c>
      <c r="I74" s="16" t="str">
        <f aca="false">IF(OR($C74="",$G74=""),"",$C74*$G74)</f>
        <v/>
      </c>
      <c r="J74" s="16" t="str">
        <f aca="false">IF(OR($D74="",$G74=""),"",$D74*$G74)</f>
        <v/>
      </c>
      <c r="K74" s="16" t="str">
        <f aca="false">IF(OR($F74="",$H74=""),"",PI()*(($H74/2)^2)*$F74)</f>
        <v/>
      </c>
      <c r="L74" s="27"/>
      <c r="M74" s="27"/>
      <c r="N74" s="27"/>
      <c r="O74" s="27"/>
      <c r="P74" s="16" t="str">
        <f aca="false">IF(OR($L74="",$M74="",$L74=0),"",(($L74-$M74)/$L74)*100)</f>
        <v/>
      </c>
      <c r="Q74" s="15" t="str">
        <f aca="false">IF(OR($M74="",$K74="",$K74=0),"",$M74/$K74)</f>
        <v/>
      </c>
      <c r="R74" s="15" t="str">
        <f aca="false">IF(OR($N74="",$O74=""),"",IF(UPPER($O74)="OC",$N74,IF(UPPER($O74)="LOI",IF(OR(LOI_INTERCEPT="",LOI_SLOPE=""),"",IF(LOI_INTERCEPT+LOI_SLOPE*$N74&lt;0,"",LOI_INTERCEPT+LOI_SLOPE*$N74)),"")))</f>
        <v/>
      </c>
      <c r="S74" s="18" t="str">
        <f aca="false">IF($R74="","",$R74*10)</f>
        <v/>
      </c>
      <c r="T74" s="28" t="str">
        <f aca="false">IF(OR($Q74="",$R74=""),"",$Q74*$R74/100)</f>
        <v/>
      </c>
      <c r="U74" s="29" t="str">
        <f aca="false">IF(OR($T74="",$F74=""),"",$T74*$F74)</f>
        <v/>
      </c>
      <c r="V74" s="15" t="str">
        <f aca="false">IF($U74="","",$U74*10)</f>
        <v/>
      </c>
      <c r="W74" s="15" t="str">
        <f aca="false">IF(OR($V74="",$I74="",$J74="",$J74&lt;=$I74),"",$V74*MAX(0,MIN($J74,15)-MAX($I74,0))/($J74-$I74))</f>
        <v/>
      </c>
      <c r="X74" s="15" t="str">
        <f aca="false">IF(OR($V74="",$I74="",$J74="",$J74&lt;=$I74),"",$V74*MAX(0,MIN($J74,30)-MAX($I74,15))/($J74-$I74))</f>
        <v/>
      </c>
      <c r="Y74" s="15" t="str">
        <f aca="false">IF(OR($V74="",$I74="",$J74="",$J74&lt;=$I74),"",$V74*MAX(0,MIN($J74,50)-MAX($I74,30))/($J74-$I74))</f>
        <v/>
      </c>
      <c r="Z74" s="15" t="str">
        <f aca="false">IF(OR($V74="",$I74="",$J74="",$J74&lt;=$I74),"",$V74*MAX(0,MIN($J74,100)-MAX($I74,50))/($J74-$I74))</f>
        <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
      </c>
    </row>
    <row r="75" customFormat="false" ht="15.75" hidden="false" customHeight="true" outlineLevel="0" collapsed="false">
      <c r="A75" s="14"/>
      <c r="B75" s="14"/>
      <c r="C75" s="24"/>
      <c r="D75" s="24"/>
      <c r="E75" s="14"/>
      <c r="F75" s="16" t="str">
        <f aca="false">IF(OR($C75="",$D75=""),"",$D75-$C75)</f>
        <v/>
      </c>
      <c r="G75" s="25" t="str">
        <f aca="false">IF($A75="","",IFERROR(INDEX('2. Plot &amp; Core Log'!$M$6:$M$35,MATCH($A75,'2. Plot &amp; Core Log'!$B$6:$B$35,0)),""))</f>
        <v/>
      </c>
      <c r="H75" s="26" t="str">
        <f aca="false">IF($A75="","",IFERROR(INDEX('2. Plot &amp; Core Log'!$S$6:$S$35,MATCH($A75,'2. Plot &amp; Core Log'!$B$6:$B$35,0)),""))</f>
        <v/>
      </c>
      <c r="I75" s="16" t="str">
        <f aca="false">IF(OR($C75="",$G75=""),"",$C75*$G75)</f>
        <v/>
      </c>
      <c r="J75" s="16" t="str">
        <f aca="false">IF(OR($D75="",$G75=""),"",$D75*$G75)</f>
        <v/>
      </c>
      <c r="K75" s="16" t="str">
        <f aca="false">IF(OR($F75="",$H75=""),"",PI()*(($H75/2)^2)*$F75)</f>
        <v/>
      </c>
      <c r="L75" s="27"/>
      <c r="M75" s="27"/>
      <c r="N75" s="27"/>
      <c r="O75" s="27"/>
      <c r="P75" s="16" t="str">
        <f aca="false">IF(OR($L75="",$M75="",$L75=0),"",(($L75-$M75)/$L75)*100)</f>
        <v/>
      </c>
      <c r="Q75" s="15" t="str">
        <f aca="false">IF(OR($M75="",$K75="",$K75=0),"",$M75/$K75)</f>
        <v/>
      </c>
      <c r="R75" s="15" t="str">
        <f aca="false">IF(OR($N75="",$O75=""),"",IF(UPPER($O75)="OC",$N75,IF(UPPER($O75)="LOI",IF(OR(LOI_INTERCEPT="",LOI_SLOPE=""),"",IF(LOI_INTERCEPT+LOI_SLOPE*$N75&lt;0,"",LOI_INTERCEPT+LOI_SLOPE*$N75)),"")))</f>
        <v/>
      </c>
      <c r="S75" s="18" t="str">
        <f aca="false">IF($R75="","",$R75*10)</f>
        <v/>
      </c>
      <c r="T75" s="28" t="str">
        <f aca="false">IF(OR($Q75="",$R75=""),"",$Q75*$R75/100)</f>
        <v/>
      </c>
      <c r="U75" s="29" t="str">
        <f aca="false">IF(OR($T75="",$F75=""),"",$T75*$F75)</f>
        <v/>
      </c>
      <c r="V75" s="15" t="str">
        <f aca="false">IF($U75="","",$U75*10)</f>
        <v/>
      </c>
      <c r="W75" s="15" t="str">
        <f aca="false">IF(OR($V75="",$I75="",$J75="",$J75&lt;=$I75),"",$V75*MAX(0,MIN($J75,15)-MAX($I75,0))/($J75-$I75))</f>
        <v/>
      </c>
      <c r="X75" s="15" t="str">
        <f aca="false">IF(OR($V75="",$I75="",$J75="",$J75&lt;=$I75),"",$V75*MAX(0,MIN($J75,30)-MAX($I75,15))/($J75-$I75))</f>
        <v/>
      </c>
      <c r="Y75" s="15" t="str">
        <f aca="false">IF(OR($V75="",$I75="",$J75="",$J75&lt;=$I75),"",$V75*MAX(0,MIN($J75,50)-MAX($I75,30))/($J75-$I75))</f>
        <v/>
      </c>
      <c r="Z75" s="15" t="str">
        <f aca="false">IF(OR($V75="",$I75="",$J75="",$J75&lt;=$I75),"",$V75*MAX(0,MIN($J75,100)-MAX($I75,50))/($J75-$I75))</f>
        <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
      </c>
    </row>
    <row r="76" customFormat="false" ht="15.75" hidden="false" customHeight="true" outlineLevel="0" collapsed="false">
      <c r="A76" s="14"/>
      <c r="B76" s="14"/>
      <c r="C76" s="24"/>
      <c r="D76" s="24"/>
      <c r="E76" s="14"/>
      <c r="F76" s="16" t="str">
        <f aca="false">IF(OR($C76="",$D76=""),"",$D76-$C76)</f>
        <v/>
      </c>
      <c r="G76" s="25" t="str">
        <f aca="false">IF($A76="","",IFERROR(INDEX('2. Plot &amp; Core Log'!$M$6:$M$35,MATCH($A76,'2. Plot &amp; Core Log'!$B$6:$B$35,0)),""))</f>
        <v/>
      </c>
      <c r="H76" s="26" t="str">
        <f aca="false">IF($A76="","",IFERROR(INDEX('2. Plot &amp; Core Log'!$S$6:$S$35,MATCH($A76,'2. Plot &amp; Core Log'!$B$6:$B$35,0)),""))</f>
        <v/>
      </c>
      <c r="I76" s="16" t="str">
        <f aca="false">IF(OR($C76="",$G76=""),"",$C76*$G76)</f>
        <v/>
      </c>
      <c r="J76" s="16" t="str">
        <f aca="false">IF(OR($D76="",$G76=""),"",$D76*$G76)</f>
        <v/>
      </c>
      <c r="K76" s="16" t="str">
        <f aca="false">IF(OR($F76="",$H76=""),"",PI()*(($H76/2)^2)*$F76)</f>
        <v/>
      </c>
      <c r="L76" s="27"/>
      <c r="M76" s="27"/>
      <c r="N76" s="27"/>
      <c r="O76" s="27"/>
      <c r="P76" s="16" t="str">
        <f aca="false">IF(OR($L76="",$M76="",$L76=0),"",(($L76-$M76)/$L76)*100)</f>
        <v/>
      </c>
      <c r="Q76" s="15" t="str">
        <f aca="false">IF(OR($M76="",$K76="",$K76=0),"",$M76/$K76)</f>
        <v/>
      </c>
      <c r="R76" s="15" t="str">
        <f aca="false">IF(OR($N76="",$O76=""),"",IF(UPPER($O76)="OC",$N76,IF(UPPER($O76)="LOI",IF(OR(LOI_INTERCEPT="",LOI_SLOPE=""),"",IF(LOI_INTERCEPT+LOI_SLOPE*$N76&lt;0,"",LOI_INTERCEPT+LOI_SLOPE*$N76)),"")))</f>
        <v/>
      </c>
      <c r="S76" s="18" t="str">
        <f aca="false">IF($R76="","",$R76*10)</f>
        <v/>
      </c>
      <c r="T76" s="28" t="str">
        <f aca="false">IF(OR($Q76="",$R76=""),"",$Q76*$R76/100)</f>
        <v/>
      </c>
      <c r="U76" s="29" t="str">
        <f aca="false">IF(OR($T76="",$F76=""),"",$T76*$F76)</f>
        <v/>
      </c>
      <c r="V76" s="15" t="str">
        <f aca="false">IF($U76="","",$U76*10)</f>
        <v/>
      </c>
      <c r="W76" s="15" t="str">
        <f aca="false">IF(OR($V76="",$I76="",$J76="",$J76&lt;=$I76),"",$V76*MAX(0,MIN($J76,15)-MAX($I76,0))/($J76-$I76))</f>
        <v/>
      </c>
      <c r="X76" s="15" t="str">
        <f aca="false">IF(OR($V76="",$I76="",$J76="",$J76&lt;=$I76),"",$V76*MAX(0,MIN($J76,30)-MAX($I76,15))/($J76-$I76))</f>
        <v/>
      </c>
      <c r="Y76" s="15" t="str">
        <f aca="false">IF(OR($V76="",$I76="",$J76="",$J76&lt;=$I76),"",$V76*MAX(0,MIN($J76,50)-MAX($I76,30))/($J76-$I76))</f>
        <v/>
      </c>
      <c r="Z76" s="15" t="str">
        <f aca="false">IF(OR($V76="",$I76="",$J76="",$J76&lt;=$I76),"",$V76*MAX(0,MIN($J76,100)-MAX($I76,50))/($J76-$I76))</f>
        <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
      </c>
    </row>
    <row r="77" customFormat="false" ht="15.75" hidden="false" customHeight="true" outlineLevel="0" collapsed="false">
      <c r="A77" s="14"/>
      <c r="B77" s="14"/>
      <c r="C77" s="24"/>
      <c r="D77" s="24"/>
      <c r="E77" s="14"/>
      <c r="F77" s="16" t="str">
        <f aca="false">IF(OR($C77="",$D77=""),"",$D77-$C77)</f>
        <v/>
      </c>
      <c r="G77" s="25" t="str">
        <f aca="false">IF($A77="","",IFERROR(INDEX('2. Plot &amp; Core Log'!$M$6:$M$35,MATCH($A77,'2. Plot &amp; Core Log'!$B$6:$B$35,0)),""))</f>
        <v/>
      </c>
      <c r="H77" s="26" t="str">
        <f aca="false">IF($A77="","",IFERROR(INDEX('2. Plot &amp; Core Log'!$S$6:$S$35,MATCH($A77,'2. Plot &amp; Core Log'!$B$6:$B$35,0)),""))</f>
        <v/>
      </c>
      <c r="I77" s="16" t="str">
        <f aca="false">IF(OR($C77="",$G77=""),"",$C77*$G77)</f>
        <v/>
      </c>
      <c r="J77" s="16" t="str">
        <f aca="false">IF(OR($D77="",$G77=""),"",$D77*$G77)</f>
        <v/>
      </c>
      <c r="K77" s="16" t="str">
        <f aca="false">IF(OR($F77="",$H77=""),"",PI()*(($H77/2)^2)*$F77)</f>
        <v/>
      </c>
      <c r="L77" s="27"/>
      <c r="M77" s="27"/>
      <c r="N77" s="27"/>
      <c r="O77" s="27"/>
      <c r="P77" s="16" t="str">
        <f aca="false">IF(OR($L77="",$M77="",$L77=0),"",(($L77-$M77)/$L77)*100)</f>
        <v/>
      </c>
      <c r="Q77" s="15" t="str">
        <f aca="false">IF(OR($M77="",$K77="",$K77=0),"",$M77/$K77)</f>
        <v/>
      </c>
      <c r="R77" s="15" t="str">
        <f aca="false">IF(OR($N77="",$O77=""),"",IF(UPPER($O77)="OC",$N77,IF(UPPER($O77)="LOI",IF(OR(LOI_INTERCEPT="",LOI_SLOPE=""),"",IF(LOI_INTERCEPT+LOI_SLOPE*$N77&lt;0,"",LOI_INTERCEPT+LOI_SLOPE*$N77)),"")))</f>
        <v/>
      </c>
      <c r="S77" s="18" t="str">
        <f aca="false">IF($R77="","",$R77*10)</f>
        <v/>
      </c>
      <c r="T77" s="28" t="str">
        <f aca="false">IF(OR($Q77="",$R77=""),"",$Q77*$R77/100)</f>
        <v/>
      </c>
      <c r="U77" s="29" t="str">
        <f aca="false">IF(OR($T77="",$F77=""),"",$T77*$F77)</f>
        <v/>
      </c>
      <c r="V77" s="15" t="str">
        <f aca="false">IF($U77="","",$U77*10)</f>
        <v/>
      </c>
      <c r="W77" s="15" t="str">
        <f aca="false">IF(OR($V77="",$I77="",$J77="",$J77&lt;=$I77),"",$V77*MAX(0,MIN($J77,15)-MAX($I77,0))/($J77-$I77))</f>
        <v/>
      </c>
      <c r="X77" s="15" t="str">
        <f aca="false">IF(OR($V77="",$I77="",$J77="",$J77&lt;=$I77),"",$V77*MAX(0,MIN($J77,30)-MAX($I77,15))/($J77-$I77))</f>
        <v/>
      </c>
      <c r="Y77" s="15" t="str">
        <f aca="false">IF(OR($V77="",$I77="",$J77="",$J77&lt;=$I77),"",$V77*MAX(0,MIN($J77,50)-MAX($I77,30))/($J77-$I77))</f>
        <v/>
      </c>
      <c r="Z77" s="15" t="str">
        <f aca="false">IF(OR($V77="",$I77="",$J77="",$J77&lt;=$I77),"",$V77*MAX(0,MIN($J77,100)-MAX($I77,50))/($J77-$I77))</f>
        <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
      </c>
    </row>
    <row r="78" customFormat="false" ht="15.75" hidden="false" customHeight="true" outlineLevel="0" collapsed="false">
      <c r="A78" s="14"/>
      <c r="B78" s="14"/>
      <c r="C78" s="24"/>
      <c r="D78" s="24"/>
      <c r="E78" s="14"/>
      <c r="F78" s="16" t="str">
        <f aca="false">IF(OR($C78="",$D78=""),"",$D78-$C78)</f>
        <v/>
      </c>
      <c r="G78" s="25" t="str">
        <f aca="false">IF($A78="","",IFERROR(INDEX('2. Plot &amp; Core Log'!$M$6:$M$35,MATCH($A78,'2. Plot &amp; Core Log'!$B$6:$B$35,0)),""))</f>
        <v/>
      </c>
      <c r="H78" s="26" t="str">
        <f aca="false">IF($A78="","",IFERROR(INDEX('2. Plot &amp; Core Log'!$S$6:$S$35,MATCH($A78,'2. Plot &amp; Core Log'!$B$6:$B$35,0)),""))</f>
        <v/>
      </c>
      <c r="I78" s="16" t="str">
        <f aca="false">IF(OR($C78="",$G78=""),"",$C78*$G78)</f>
        <v/>
      </c>
      <c r="J78" s="16" t="str">
        <f aca="false">IF(OR($D78="",$G78=""),"",$D78*$G78)</f>
        <v/>
      </c>
      <c r="K78" s="16" t="str">
        <f aca="false">IF(OR($F78="",$H78=""),"",PI()*(($H78/2)^2)*$F78)</f>
        <v/>
      </c>
      <c r="L78" s="27"/>
      <c r="M78" s="27"/>
      <c r="N78" s="27"/>
      <c r="O78" s="27"/>
      <c r="P78" s="16" t="str">
        <f aca="false">IF(OR($L78="",$M78="",$L78=0),"",(($L78-$M78)/$L78)*100)</f>
        <v/>
      </c>
      <c r="Q78" s="15" t="str">
        <f aca="false">IF(OR($M78="",$K78="",$K78=0),"",$M78/$K78)</f>
        <v/>
      </c>
      <c r="R78" s="15" t="str">
        <f aca="false">IF(OR($N78="",$O78=""),"",IF(UPPER($O78)="OC",$N78,IF(UPPER($O78)="LOI",IF(OR(LOI_INTERCEPT="",LOI_SLOPE=""),"",IF(LOI_INTERCEPT+LOI_SLOPE*$N78&lt;0,"",LOI_INTERCEPT+LOI_SLOPE*$N78)),"")))</f>
        <v/>
      </c>
      <c r="S78" s="18" t="str">
        <f aca="false">IF($R78="","",$R78*10)</f>
        <v/>
      </c>
      <c r="T78" s="28" t="str">
        <f aca="false">IF(OR($Q78="",$R78=""),"",$Q78*$R78/100)</f>
        <v/>
      </c>
      <c r="U78" s="29" t="str">
        <f aca="false">IF(OR($T78="",$F78=""),"",$T78*$F78)</f>
        <v/>
      </c>
      <c r="V78" s="15" t="str">
        <f aca="false">IF($U78="","",$U78*10)</f>
        <v/>
      </c>
      <c r="W78" s="15" t="str">
        <f aca="false">IF(OR($V78="",$I78="",$J78="",$J78&lt;=$I78),"",$V78*MAX(0,MIN($J78,15)-MAX($I78,0))/($J78-$I78))</f>
        <v/>
      </c>
      <c r="X78" s="15" t="str">
        <f aca="false">IF(OR($V78="",$I78="",$J78="",$J78&lt;=$I78),"",$V78*MAX(0,MIN($J78,30)-MAX($I78,15))/($J78-$I78))</f>
        <v/>
      </c>
      <c r="Y78" s="15" t="str">
        <f aca="false">IF(OR($V78="",$I78="",$J78="",$J78&lt;=$I78),"",$V78*MAX(0,MIN($J78,50)-MAX($I78,30))/($J78-$I78))</f>
        <v/>
      </c>
      <c r="Z78" s="15" t="str">
        <f aca="false">IF(OR($V78="",$I78="",$J78="",$J78&lt;=$I78),"",$V78*MAX(0,MIN($J78,100)-MAX($I78,50))/($J78-$I78))</f>
        <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
      </c>
    </row>
    <row r="79" customFormat="false" ht="15.75" hidden="false" customHeight="true" outlineLevel="0" collapsed="false">
      <c r="A79" s="14"/>
      <c r="B79" s="14"/>
      <c r="C79" s="24"/>
      <c r="D79" s="24"/>
      <c r="E79" s="14"/>
      <c r="F79" s="16" t="str">
        <f aca="false">IF(OR($C79="",$D79=""),"",$D79-$C79)</f>
        <v/>
      </c>
      <c r="G79" s="25" t="str">
        <f aca="false">IF($A79="","",IFERROR(INDEX('2. Plot &amp; Core Log'!$M$6:$M$35,MATCH($A79,'2. Plot &amp; Core Log'!$B$6:$B$35,0)),""))</f>
        <v/>
      </c>
      <c r="H79" s="26" t="str">
        <f aca="false">IF($A79="","",IFERROR(INDEX('2. Plot &amp; Core Log'!$S$6:$S$35,MATCH($A79,'2. Plot &amp; Core Log'!$B$6:$B$35,0)),""))</f>
        <v/>
      </c>
      <c r="I79" s="16" t="str">
        <f aca="false">IF(OR($C79="",$G79=""),"",$C79*$G79)</f>
        <v/>
      </c>
      <c r="J79" s="16" t="str">
        <f aca="false">IF(OR($D79="",$G79=""),"",$D79*$G79)</f>
        <v/>
      </c>
      <c r="K79" s="16" t="str">
        <f aca="false">IF(OR($F79="",$H79=""),"",PI()*(($H79/2)^2)*$F79)</f>
        <v/>
      </c>
      <c r="L79" s="27"/>
      <c r="M79" s="27"/>
      <c r="N79" s="27"/>
      <c r="O79" s="27"/>
      <c r="P79" s="16" t="str">
        <f aca="false">IF(OR($L79="",$M79="",$L79=0),"",(($L79-$M79)/$L79)*100)</f>
        <v/>
      </c>
      <c r="Q79" s="15" t="str">
        <f aca="false">IF(OR($M79="",$K79="",$K79=0),"",$M79/$K79)</f>
        <v/>
      </c>
      <c r="R79" s="15" t="str">
        <f aca="false">IF(OR($N79="",$O79=""),"",IF(UPPER($O79)="OC",$N79,IF(UPPER($O79)="LOI",IF(OR(LOI_INTERCEPT="",LOI_SLOPE=""),"",IF(LOI_INTERCEPT+LOI_SLOPE*$N79&lt;0,"",LOI_INTERCEPT+LOI_SLOPE*$N79)),"")))</f>
        <v/>
      </c>
      <c r="S79" s="18" t="str">
        <f aca="false">IF($R79="","",$R79*10)</f>
        <v/>
      </c>
      <c r="T79" s="28" t="str">
        <f aca="false">IF(OR($Q79="",$R79=""),"",$Q79*$R79/100)</f>
        <v/>
      </c>
      <c r="U79" s="29" t="str">
        <f aca="false">IF(OR($T79="",$F79=""),"",$T79*$F79)</f>
        <v/>
      </c>
      <c r="V79" s="15" t="str">
        <f aca="false">IF($U79="","",$U79*10)</f>
        <v/>
      </c>
      <c r="W79" s="15" t="str">
        <f aca="false">IF(OR($V79="",$I79="",$J79="",$J79&lt;=$I79),"",$V79*MAX(0,MIN($J79,15)-MAX($I79,0))/($J79-$I79))</f>
        <v/>
      </c>
      <c r="X79" s="15" t="str">
        <f aca="false">IF(OR($V79="",$I79="",$J79="",$J79&lt;=$I79),"",$V79*MAX(0,MIN($J79,30)-MAX($I79,15))/($J79-$I79))</f>
        <v/>
      </c>
      <c r="Y79" s="15" t="str">
        <f aca="false">IF(OR($V79="",$I79="",$J79="",$J79&lt;=$I79),"",$V79*MAX(0,MIN($J79,50)-MAX($I79,30))/($J79-$I79))</f>
        <v/>
      </c>
      <c r="Z79" s="15" t="str">
        <f aca="false">IF(OR($V79="",$I79="",$J79="",$J79&lt;=$I79),"",$V79*MAX(0,MIN($J79,100)-MAX($I79,50))/($J79-$I79))</f>
        <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
      </c>
    </row>
    <row r="80" customFormat="false" ht="15.75" hidden="false" customHeight="true" outlineLevel="0" collapsed="false">
      <c r="A80" s="14"/>
      <c r="B80" s="14"/>
      <c r="C80" s="24"/>
      <c r="D80" s="24"/>
      <c r="E80" s="14"/>
      <c r="F80" s="16" t="str">
        <f aca="false">IF(OR($C80="",$D80=""),"",$D80-$C80)</f>
        <v/>
      </c>
      <c r="G80" s="25" t="str">
        <f aca="false">IF($A80="","",IFERROR(INDEX('2. Plot &amp; Core Log'!$M$6:$M$35,MATCH($A80,'2. Plot &amp; Core Log'!$B$6:$B$35,0)),""))</f>
        <v/>
      </c>
      <c r="H80" s="26" t="str">
        <f aca="false">IF($A80="","",IFERROR(INDEX('2. Plot &amp; Core Log'!$S$6:$S$35,MATCH($A80,'2. Plot &amp; Core Log'!$B$6:$B$35,0)),""))</f>
        <v/>
      </c>
      <c r="I80" s="16" t="str">
        <f aca="false">IF(OR($C80="",$G80=""),"",$C80*$G80)</f>
        <v/>
      </c>
      <c r="J80" s="16" t="str">
        <f aca="false">IF(OR($D80="",$G80=""),"",$D80*$G80)</f>
        <v/>
      </c>
      <c r="K80" s="16" t="str">
        <f aca="false">IF(OR($F80="",$H80=""),"",PI()*(($H80/2)^2)*$F80)</f>
        <v/>
      </c>
      <c r="L80" s="27"/>
      <c r="M80" s="27"/>
      <c r="N80" s="27"/>
      <c r="O80" s="27"/>
      <c r="P80" s="16" t="str">
        <f aca="false">IF(OR($L80="",$M80="",$L80=0),"",(($L80-$M80)/$L80)*100)</f>
        <v/>
      </c>
      <c r="Q80" s="15" t="str">
        <f aca="false">IF(OR($M80="",$K80="",$K80=0),"",$M80/$K80)</f>
        <v/>
      </c>
      <c r="R80" s="15" t="str">
        <f aca="false">IF(OR($N80="",$O80=""),"",IF(UPPER($O80)="OC",$N80,IF(UPPER($O80)="LOI",IF(OR(LOI_INTERCEPT="",LOI_SLOPE=""),"",IF(LOI_INTERCEPT+LOI_SLOPE*$N80&lt;0,"",LOI_INTERCEPT+LOI_SLOPE*$N80)),"")))</f>
        <v/>
      </c>
      <c r="S80" s="18" t="str">
        <f aca="false">IF($R80="","",$R80*10)</f>
        <v/>
      </c>
      <c r="T80" s="28" t="str">
        <f aca="false">IF(OR($Q80="",$R80=""),"",$Q80*$R80/100)</f>
        <v/>
      </c>
      <c r="U80" s="29" t="str">
        <f aca="false">IF(OR($T80="",$F80=""),"",$T80*$F80)</f>
        <v/>
      </c>
      <c r="V80" s="15" t="str">
        <f aca="false">IF($U80="","",$U80*10)</f>
        <v/>
      </c>
      <c r="W80" s="15" t="str">
        <f aca="false">IF(OR($V80="",$I80="",$J80="",$J80&lt;=$I80),"",$V80*MAX(0,MIN($J80,15)-MAX($I80,0))/($J80-$I80))</f>
        <v/>
      </c>
      <c r="X80" s="15" t="str">
        <f aca="false">IF(OR($V80="",$I80="",$J80="",$J80&lt;=$I80),"",$V80*MAX(0,MIN($J80,30)-MAX($I80,15))/($J80-$I80))</f>
        <v/>
      </c>
      <c r="Y80" s="15" t="str">
        <f aca="false">IF(OR($V80="",$I80="",$J80="",$J80&lt;=$I80),"",$V80*MAX(0,MIN($J80,50)-MAX($I80,30))/($J80-$I80))</f>
        <v/>
      </c>
      <c r="Z80" s="15" t="str">
        <f aca="false">IF(OR($V80="",$I80="",$J80="",$J80&lt;=$I80),"",$V80*MAX(0,MIN($J80,100)-MAX($I80,50))/($J80-$I80))</f>
        <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
      </c>
    </row>
    <row r="81" customFormat="false" ht="15.75" hidden="false" customHeight="true" outlineLevel="0" collapsed="false">
      <c r="A81" s="14"/>
      <c r="B81" s="14"/>
      <c r="C81" s="24"/>
      <c r="D81" s="24"/>
      <c r="E81" s="14"/>
      <c r="F81" s="16" t="str">
        <f aca="false">IF(OR($C81="",$D81=""),"",$D81-$C81)</f>
        <v/>
      </c>
      <c r="G81" s="25" t="str">
        <f aca="false">IF($A81="","",IFERROR(INDEX('2. Plot &amp; Core Log'!$M$6:$M$35,MATCH($A81,'2. Plot &amp; Core Log'!$B$6:$B$35,0)),""))</f>
        <v/>
      </c>
      <c r="H81" s="26" t="str">
        <f aca="false">IF($A81="","",IFERROR(INDEX('2. Plot &amp; Core Log'!$S$6:$S$35,MATCH($A81,'2. Plot &amp; Core Log'!$B$6:$B$35,0)),""))</f>
        <v/>
      </c>
      <c r="I81" s="16" t="str">
        <f aca="false">IF(OR($C81="",$G81=""),"",$C81*$G81)</f>
        <v/>
      </c>
      <c r="J81" s="16" t="str">
        <f aca="false">IF(OR($D81="",$G81=""),"",$D81*$G81)</f>
        <v/>
      </c>
      <c r="K81" s="16" t="str">
        <f aca="false">IF(OR($F81="",$H81=""),"",PI()*(($H81/2)^2)*$F81)</f>
        <v/>
      </c>
      <c r="L81" s="27"/>
      <c r="M81" s="27"/>
      <c r="N81" s="27"/>
      <c r="O81" s="27"/>
      <c r="P81" s="16" t="str">
        <f aca="false">IF(OR($L81="",$M81="",$L81=0),"",(($L81-$M81)/$L81)*100)</f>
        <v/>
      </c>
      <c r="Q81" s="15" t="str">
        <f aca="false">IF(OR($M81="",$K81="",$K81=0),"",$M81/$K81)</f>
        <v/>
      </c>
      <c r="R81" s="15" t="str">
        <f aca="false">IF(OR($N81="",$O81=""),"",IF(UPPER($O81)="OC",$N81,IF(UPPER($O81)="LOI",IF(OR(LOI_INTERCEPT="",LOI_SLOPE=""),"",IF(LOI_INTERCEPT+LOI_SLOPE*$N81&lt;0,"",LOI_INTERCEPT+LOI_SLOPE*$N81)),"")))</f>
        <v/>
      </c>
      <c r="S81" s="18" t="str">
        <f aca="false">IF($R81="","",$R81*10)</f>
        <v/>
      </c>
      <c r="T81" s="28" t="str">
        <f aca="false">IF(OR($Q81="",$R81=""),"",$Q81*$R81/100)</f>
        <v/>
      </c>
      <c r="U81" s="29" t="str">
        <f aca="false">IF(OR($T81="",$F81=""),"",$T81*$F81)</f>
        <v/>
      </c>
      <c r="V81" s="15" t="str">
        <f aca="false">IF($U81="","",$U81*10)</f>
        <v/>
      </c>
      <c r="W81" s="15" t="str">
        <f aca="false">IF(OR($V81="",$I81="",$J81="",$J81&lt;=$I81),"",$V81*MAX(0,MIN($J81,15)-MAX($I81,0))/($J81-$I81))</f>
        <v/>
      </c>
      <c r="X81" s="15" t="str">
        <f aca="false">IF(OR($V81="",$I81="",$J81="",$J81&lt;=$I81),"",$V81*MAX(0,MIN($J81,30)-MAX($I81,15))/($J81-$I81))</f>
        <v/>
      </c>
      <c r="Y81" s="15" t="str">
        <f aca="false">IF(OR($V81="",$I81="",$J81="",$J81&lt;=$I81),"",$V81*MAX(0,MIN($J81,50)-MAX($I81,30))/($J81-$I81))</f>
        <v/>
      </c>
      <c r="Z81" s="15" t="str">
        <f aca="false">IF(OR($V81="",$I81="",$J81="",$J81&lt;=$I81),"",$V81*MAX(0,MIN($J81,100)-MAX($I81,50))/($J81-$I81))</f>
        <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
      </c>
    </row>
    <row r="82" customFormat="false" ht="15.75" hidden="false" customHeight="true" outlineLevel="0" collapsed="false">
      <c r="A82" s="14"/>
      <c r="B82" s="14"/>
      <c r="C82" s="24"/>
      <c r="D82" s="24"/>
      <c r="E82" s="14"/>
      <c r="F82" s="16" t="str">
        <f aca="false">IF(OR($C82="",$D82=""),"",$D82-$C82)</f>
        <v/>
      </c>
      <c r="G82" s="25" t="str">
        <f aca="false">IF($A82="","",IFERROR(INDEX('2. Plot &amp; Core Log'!$M$6:$M$35,MATCH($A82,'2. Plot &amp; Core Log'!$B$6:$B$35,0)),""))</f>
        <v/>
      </c>
      <c r="H82" s="26" t="str">
        <f aca="false">IF($A82="","",IFERROR(INDEX('2. Plot &amp; Core Log'!$S$6:$S$35,MATCH($A82,'2. Plot &amp; Core Log'!$B$6:$B$35,0)),""))</f>
        <v/>
      </c>
      <c r="I82" s="16" t="str">
        <f aca="false">IF(OR($C82="",$G82=""),"",$C82*$G82)</f>
        <v/>
      </c>
      <c r="J82" s="16" t="str">
        <f aca="false">IF(OR($D82="",$G82=""),"",$D82*$G82)</f>
        <v/>
      </c>
      <c r="K82" s="16" t="str">
        <f aca="false">IF(OR($F82="",$H82=""),"",PI()*(($H82/2)^2)*$F82)</f>
        <v/>
      </c>
      <c r="L82" s="27"/>
      <c r="M82" s="27"/>
      <c r="N82" s="27"/>
      <c r="O82" s="27"/>
      <c r="P82" s="16" t="str">
        <f aca="false">IF(OR($L82="",$M82="",$L82=0),"",(($L82-$M82)/$L82)*100)</f>
        <v/>
      </c>
      <c r="Q82" s="15" t="str">
        <f aca="false">IF(OR($M82="",$K82="",$K82=0),"",$M82/$K82)</f>
        <v/>
      </c>
      <c r="R82" s="15" t="str">
        <f aca="false">IF(OR($N82="",$O82=""),"",IF(UPPER($O82)="OC",$N82,IF(UPPER($O82)="LOI",IF(OR(LOI_INTERCEPT="",LOI_SLOPE=""),"",IF(LOI_INTERCEPT+LOI_SLOPE*$N82&lt;0,"",LOI_INTERCEPT+LOI_SLOPE*$N82)),"")))</f>
        <v/>
      </c>
      <c r="S82" s="18" t="str">
        <f aca="false">IF($R82="","",$R82*10)</f>
        <v/>
      </c>
      <c r="T82" s="28" t="str">
        <f aca="false">IF(OR($Q82="",$R82=""),"",$Q82*$R82/100)</f>
        <v/>
      </c>
      <c r="U82" s="29" t="str">
        <f aca="false">IF(OR($T82="",$F82=""),"",$T82*$F82)</f>
        <v/>
      </c>
      <c r="V82" s="15" t="str">
        <f aca="false">IF($U82="","",$U82*10)</f>
        <v/>
      </c>
      <c r="W82" s="15" t="str">
        <f aca="false">IF(OR($V82="",$I82="",$J82="",$J82&lt;=$I82),"",$V82*MAX(0,MIN($J82,15)-MAX($I82,0))/($J82-$I82))</f>
        <v/>
      </c>
      <c r="X82" s="15" t="str">
        <f aca="false">IF(OR($V82="",$I82="",$J82="",$J82&lt;=$I82),"",$V82*MAX(0,MIN($J82,30)-MAX($I82,15))/($J82-$I82))</f>
        <v/>
      </c>
      <c r="Y82" s="15" t="str">
        <f aca="false">IF(OR($V82="",$I82="",$J82="",$J82&lt;=$I82),"",$V82*MAX(0,MIN($J82,50)-MAX($I82,30))/($J82-$I82))</f>
        <v/>
      </c>
      <c r="Z82" s="15" t="str">
        <f aca="false">IF(OR($V82="",$I82="",$J82="",$J82&lt;=$I82),"",$V82*MAX(0,MIN($J82,100)-MAX($I82,50))/($J82-$I82))</f>
        <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
      </c>
    </row>
    <row r="83" customFormat="false" ht="15.75" hidden="false" customHeight="true" outlineLevel="0" collapsed="false">
      <c r="A83" s="14"/>
      <c r="B83" s="14"/>
      <c r="C83" s="24"/>
      <c r="D83" s="24"/>
      <c r="E83" s="14"/>
      <c r="F83" s="16" t="str">
        <f aca="false">IF(OR($C83="",$D83=""),"",$D83-$C83)</f>
        <v/>
      </c>
      <c r="G83" s="25" t="str">
        <f aca="false">IF($A83="","",IFERROR(INDEX('2. Plot &amp; Core Log'!$M$6:$M$35,MATCH($A83,'2. Plot &amp; Core Log'!$B$6:$B$35,0)),""))</f>
        <v/>
      </c>
      <c r="H83" s="26" t="str">
        <f aca="false">IF($A83="","",IFERROR(INDEX('2. Plot &amp; Core Log'!$S$6:$S$35,MATCH($A83,'2. Plot &amp; Core Log'!$B$6:$B$35,0)),""))</f>
        <v/>
      </c>
      <c r="I83" s="16" t="str">
        <f aca="false">IF(OR($C83="",$G83=""),"",$C83*$G83)</f>
        <v/>
      </c>
      <c r="J83" s="16" t="str">
        <f aca="false">IF(OR($D83="",$G83=""),"",$D83*$G83)</f>
        <v/>
      </c>
      <c r="K83" s="16" t="str">
        <f aca="false">IF(OR($F83="",$H83=""),"",PI()*(($H83/2)^2)*$F83)</f>
        <v/>
      </c>
      <c r="L83" s="27"/>
      <c r="M83" s="27"/>
      <c r="N83" s="27"/>
      <c r="O83" s="27"/>
      <c r="P83" s="16" t="str">
        <f aca="false">IF(OR($L83="",$M83="",$L83=0),"",(($L83-$M83)/$L83)*100)</f>
        <v/>
      </c>
      <c r="Q83" s="15" t="str">
        <f aca="false">IF(OR($M83="",$K83="",$K83=0),"",$M83/$K83)</f>
        <v/>
      </c>
      <c r="R83" s="15" t="str">
        <f aca="false">IF(OR($N83="",$O83=""),"",IF(UPPER($O83)="OC",$N83,IF(UPPER($O83)="LOI",IF(OR(LOI_INTERCEPT="",LOI_SLOPE=""),"",IF(LOI_INTERCEPT+LOI_SLOPE*$N83&lt;0,"",LOI_INTERCEPT+LOI_SLOPE*$N83)),"")))</f>
        <v/>
      </c>
      <c r="S83" s="18" t="str">
        <f aca="false">IF($R83="","",$R83*10)</f>
        <v/>
      </c>
      <c r="T83" s="28" t="str">
        <f aca="false">IF(OR($Q83="",$R83=""),"",$Q83*$R83/100)</f>
        <v/>
      </c>
      <c r="U83" s="29" t="str">
        <f aca="false">IF(OR($T83="",$F83=""),"",$T83*$F83)</f>
        <v/>
      </c>
      <c r="V83" s="15" t="str">
        <f aca="false">IF($U83="","",$U83*10)</f>
        <v/>
      </c>
      <c r="W83" s="15" t="str">
        <f aca="false">IF(OR($V83="",$I83="",$J83="",$J83&lt;=$I83),"",$V83*MAX(0,MIN($J83,15)-MAX($I83,0))/($J83-$I83))</f>
        <v/>
      </c>
      <c r="X83" s="15" t="str">
        <f aca="false">IF(OR($V83="",$I83="",$J83="",$J83&lt;=$I83),"",$V83*MAX(0,MIN($J83,30)-MAX($I83,15))/($J83-$I83))</f>
        <v/>
      </c>
      <c r="Y83" s="15" t="str">
        <f aca="false">IF(OR($V83="",$I83="",$J83="",$J83&lt;=$I83),"",$V83*MAX(0,MIN($J83,50)-MAX($I83,30))/($J83-$I83))</f>
        <v/>
      </c>
      <c r="Z83" s="15" t="str">
        <f aca="false">IF(OR($V83="",$I83="",$J83="",$J83&lt;=$I83),"",$V83*MAX(0,MIN($J83,100)-MAX($I83,50))/($J83-$I83))</f>
        <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
      </c>
    </row>
    <row r="84" customFormat="false" ht="15.75" hidden="false" customHeight="true" outlineLevel="0" collapsed="false">
      <c r="A84" s="14"/>
      <c r="B84" s="14"/>
      <c r="C84" s="24"/>
      <c r="D84" s="24"/>
      <c r="E84" s="14"/>
      <c r="F84" s="16" t="str">
        <f aca="false">IF(OR($C84="",$D84=""),"",$D84-$C84)</f>
        <v/>
      </c>
      <c r="G84" s="25" t="str">
        <f aca="false">IF($A84="","",IFERROR(INDEX('2. Plot &amp; Core Log'!$M$6:$M$35,MATCH($A84,'2. Plot &amp; Core Log'!$B$6:$B$35,0)),""))</f>
        <v/>
      </c>
      <c r="H84" s="26" t="str">
        <f aca="false">IF($A84="","",IFERROR(INDEX('2. Plot &amp; Core Log'!$S$6:$S$35,MATCH($A84,'2. Plot &amp; Core Log'!$B$6:$B$35,0)),""))</f>
        <v/>
      </c>
      <c r="I84" s="16" t="str">
        <f aca="false">IF(OR($C84="",$G84=""),"",$C84*$G84)</f>
        <v/>
      </c>
      <c r="J84" s="16" t="str">
        <f aca="false">IF(OR($D84="",$G84=""),"",$D84*$G84)</f>
        <v/>
      </c>
      <c r="K84" s="16" t="str">
        <f aca="false">IF(OR($F84="",$H84=""),"",PI()*(($H84/2)^2)*$F84)</f>
        <v/>
      </c>
      <c r="L84" s="27"/>
      <c r="M84" s="27"/>
      <c r="N84" s="27"/>
      <c r="O84" s="27"/>
      <c r="P84" s="16" t="str">
        <f aca="false">IF(OR($L84="",$M84="",$L84=0),"",(($L84-$M84)/$L84)*100)</f>
        <v/>
      </c>
      <c r="Q84" s="15" t="str">
        <f aca="false">IF(OR($M84="",$K84="",$K84=0),"",$M84/$K84)</f>
        <v/>
      </c>
      <c r="R84" s="15" t="str">
        <f aca="false">IF(OR($N84="",$O84=""),"",IF(UPPER($O84)="OC",$N84,IF(UPPER($O84)="LOI",IF(OR(LOI_INTERCEPT="",LOI_SLOPE=""),"",IF(LOI_INTERCEPT+LOI_SLOPE*$N84&lt;0,"",LOI_INTERCEPT+LOI_SLOPE*$N84)),"")))</f>
        <v/>
      </c>
      <c r="S84" s="18" t="str">
        <f aca="false">IF($R84="","",$R84*10)</f>
        <v/>
      </c>
      <c r="T84" s="28" t="str">
        <f aca="false">IF(OR($Q84="",$R84=""),"",$Q84*$R84/100)</f>
        <v/>
      </c>
      <c r="U84" s="29" t="str">
        <f aca="false">IF(OR($T84="",$F84=""),"",$T84*$F84)</f>
        <v/>
      </c>
      <c r="V84" s="15" t="str">
        <f aca="false">IF($U84="","",$U84*10)</f>
        <v/>
      </c>
      <c r="W84" s="15" t="str">
        <f aca="false">IF(OR($V84="",$I84="",$J84="",$J84&lt;=$I84),"",$V84*MAX(0,MIN($J84,15)-MAX($I84,0))/($J84-$I84))</f>
        <v/>
      </c>
      <c r="X84" s="15" t="str">
        <f aca="false">IF(OR($V84="",$I84="",$J84="",$J84&lt;=$I84),"",$V84*MAX(0,MIN($J84,30)-MAX($I84,15))/($J84-$I84))</f>
        <v/>
      </c>
      <c r="Y84" s="15" t="str">
        <f aca="false">IF(OR($V84="",$I84="",$J84="",$J84&lt;=$I84),"",$V84*MAX(0,MIN($J84,50)-MAX($I84,30))/($J84-$I84))</f>
        <v/>
      </c>
      <c r="Z84" s="15" t="str">
        <f aca="false">IF(OR($V84="",$I84="",$J84="",$J84&lt;=$I84),"",$V84*MAX(0,MIN($J84,100)-MAX($I84,50))/($J84-$I84))</f>
        <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
      </c>
    </row>
    <row r="85" customFormat="false" ht="15.75" hidden="false" customHeight="true" outlineLevel="0" collapsed="false">
      <c r="A85" s="14"/>
      <c r="B85" s="14"/>
      <c r="C85" s="24"/>
      <c r="D85" s="24"/>
      <c r="E85" s="14"/>
      <c r="F85" s="16" t="str">
        <f aca="false">IF(OR($C85="",$D85=""),"",$D85-$C85)</f>
        <v/>
      </c>
      <c r="G85" s="25" t="str">
        <f aca="false">IF($A85="","",IFERROR(INDEX('2. Plot &amp; Core Log'!$M$6:$M$35,MATCH($A85,'2. Plot &amp; Core Log'!$B$6:$B$35,0)),""))</f>
        <v/>
      </c>
      <c r="H85" s="26" t="str">
        <f aca="false">IF($A85="","",IFERROR(INDEX('2. Plot &amp; Core Log'!$S$6:$S$35,MATCH($A85,'2. Plot &amp; Core Log'!$B$6:$B$35,0)),""))</f>
        <v/>
      </c>
      <c r="I85" s="16" t="str">
        <f aca="false">IF(OR($C85="",$G85=""),"",$C85*$G85)</f>
        <v/>
      </c>
      <c r="J85" s="16" t="str">
        <f aca="false">IF(OR($D85="",$G85=""),"",$D85*$G85)</f>
        <v/>
      </c>
      <c r="K85" s="16" t="str">
        <f aca="false">IF(OR($F85="",$H85=""),"",PI()*(($H85/2)^2)*$F85)</f>
        <v/>
      </c>
      <c r="L85" s="27"/>
      <c r="M85" s="27"/>
      <c r="N85" s="27"/>
      <c r="O85" s="27"/>
      <c r="P85" s="16" t="str">
        <f aca="false">IF(OR($L85="",$M85="",$L85=0),"",(($L85-$M85)/$L85)*100)</f>
        <v/>
      </c>
      <c r="Q85" s="15" t="str">
        <f aca="false">IF(OR($M85="",$K85="",$K85=0),"",$M85/$K85)</f>
        <v/>
      </c>
      <c r="R85" s="15" t="str">
        <f aca="false">IF(OR($N85="",$O85=""),"",IF(UPPER($O85)="OC",$N85,IF(UPPER($O85)="LOI",IF(OR(LOI_INTERCEPT="",LOI_SLOPE=""),"",IF(LOI_INTERCEPT+LOI_SLOPE*$N85&lt;0,"",LOI_INTERCEPT+LOI_SLOPE*$N85)),"")))</f>
        <v/>
      </c>
      <c r="S85" s="18" t="str">
        <f aca="false">IF($R85="","",$R85*10)</f>
        <v/>
      </c>
      <c r="T85" s="28" t="str">
        <f aca="false">IF(OR($Q85="",$R85=""),"",$Q85*$R85/100)</f>
        <v/>
      </c>
      <c r="U85" s="29" t="str">
        <f aca="false">IF(OR($T85="",$F85=""),"",$T85*$F85)</f>
        <v/>
      </c>
      <c r="V85" s="15" t="str">
        <f aca="false">IF($U85="","",$U85*10)</f>
        <v/>
      </c>
      <c r="W85" s="15" t="str">
        <f aca="false">IF(OR($V85="",$I85="",$J85="",$J85&lt;=$I85),"",$V85*MAX(0,MIN($J85,15)-MAX($I85,0))/($J85-$I85))</f>
        <v/>
      </c>
      <c r="X85" s="15" t="str">
        <f aca="false">IF(OR($V85="",$I85="",$J85="",$J85&lt;=$I85),"",$V85*MAX(0,MIN($J85,30)-MAX($I85,15))/($J85-$I85))</f>
        <v/>
      </c>
      <c r="Y85" s="15" t="str">
        <f aca="false">IF(OR($V85="",$I85="",$J85="",$J85&lt;=$I85),"",$V85*MAX(0,MIN($J85,50)-MAX($I85,30))/($J85-$I85))</f>
        <v/>
      </c>
      <c r="Z85" s="15" t="str">
        <f aca="false">IF(OR($V85="",$I85="",$J85="",$J85&lt;=$I85),"",$V85*MAX(0,MIN($J85,100)-MAX($I85,50))/($J85-$I85))</f>
        <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
      </c>
    </row>
    <row r="86" customFormat="false" ht="15.75" hidden="false" customHeight="true" outlineLevel="0" collapsed="false">
      <c r="A86" s="14"/>
      <c r="B86" s="14"/>
      <c r="C86" s="24"/>
      <c r="D86" s="24"/>
      <c r="E86" s="14"/>
      <c r="F86" s="16" t="str">
        <f aca="false">IF(OR($C86="",$D86=""),"",$D86-$C86)</f>
        <v/>
      </c>
      <c r="G86" s="25" t="str">
        <f aca="false">IF($A86="","",IFERROR(INDEX('2. Plot &amp; Core Log'!$M$6:$M$35,MATCH($A86,'2. Plot &amp; Core Log'!$B$6:$B$35,0)),""))</f>
        <v/>
      </c>
      <c r="H86" s="26" t="str">
        <f aca="false">IF($A86="","",IFERROR(INDEX('2. Plot &amp; Core Log'!$S$6:$S$35,MATCH($A86,'2. Plot &amp; Core Log'!$B$6:$B$35,0)),""))</f>
        <v/>
      </c>
      <c r="I86" s="16" t="str">
        <f aca="false">IF(OR($C86="",$G86=""),"",$C86*$G86)</f>
        <v/>
      </c>
      <c r="J86" s="16" t="str">
        <f aca="false">IF(OR($D86="",$G86=""),"",$D86*$G86)</f>
        <v/>
      </c>
      <c r="K86" s="16" t="str">
        <f aca="false">IF(OR($F86="",$H86=""),"",PI()*(($H86/2)^2)*$F86)</f>
        <v/>
      </c>
      <c r="L86" s="27"/>
      <c r="M86" s="27"/>
      <c r="N86" s="27"/>
      <c r="O86" s="27"/>
      <c r="P86" s="16" t="str">
        <f aca="false">IF(OR($L86="",$M86="",$L86=0),"",(($L86-$M86)/$L86)*100)</f>
        <v/>
      </c>
      <c r="Q86" s="15" t="str">
        <f aca="false">IF(OR($M86="",$K86="",$K86=0),"",$M86/$K86)</f>
        <v/>
      </c>
      <c r="R86" s="15" t="str">
        <f aca="false">IF(OR($N86="",$O86=""),"",IF(UPPER($O86)="OC",$N86,IF(UPPER($O86)="LOI",IF(OR(LOI_INTERCEPT="",LOI_SLOPE=""),"",IF(LOI_INTERCEPT+LOI_SLOPE*$N86&lt;0,"",LOI_INTERCEPT+LOI_SLOPE*$N86)),"")))</f>
        <v/>
      </c>
      <c r="S86" s="18" t="str">
        <f aca="false">IF($R86="","",$R86*10)</f>
        <v/>
      </c>
      <c r="T86" s="28" t="str">
        <f aca="false">IF(OR($Q86="",$R86=""),"",$Q86*$R86/100)</f>
        <v/>
      </c>
      <c r="U86" s="29" t="str">
        <f aca="false">IF(OR($T86="",$F86=""),"",$T86*$F86)</f>
        <v/>
      </c>
      <c r="V86" s="15" t="str">
        <f aca="false">IF($U86="","",$U86*10)</f>
        <v/>
      </c>
      <c r="W86" s="15" t="str">
        <f aca="false">IF(OR($V86="",$I86="",$J86="",$J86&lt;=$I86),"",$V86*MAX(0,MIN($J86,15)-MAX($I86,0))/($J86-$I86))</f>
        <v/>
      </c>
      <c r="X86" s="15" t="str">
        <f aca="false">IF(OR($V86="",$I86="",$J86="",$J86&lt;=$I86),"",$V86*MAX(0,MIN($J86,30)-MAX($I86,15))/($J86-$I86))</f>
        <v/>
      </c>
      <c r="Y86" s="15" t="str">
        <f aca="false">IF(OR($V86="",$I86="",$J86="",$J86&lt;=$I86),"",$V86*MAX(0,MIN($J86,50)-MAX($I86,30))/($J86-$I86))</f>
        <v/>
      </c>
      <c r="Z86" s="15" t="str">
        <f aca="false">IF(OR($V86="",$I86="",$J86="",$J86&lt;=$I86),"",$V86*MAX(0,MIN($J86,100)-MAX($I86,50))/($J86-$I86))</f>
        <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
      </c>
    </row>
    <row r="87" customFormat="false" ht="15.75" hidden="false" customHeight="true" outlineLevel="0" collapsed="false">
      <c r="A87" s="14"/>
      <c r="B87" s="14"/>
      <c r="C87" s="24"/>
      <c r="D87" s="24"/>
      <c r="E87" s="14"/>
      <c r="F87" s="16" t="str">
        <f aca="false">IF(OR($C87="",$D87=""),"",$D87-$C87)</f>
        <v/>
      </c>
      <c r="G87" s="25" t="str">
        <f aca="false">IF($A87="","",IFERROR(INDEX('2. Plot &amp; Core Log'!$M$6:$M$35,MATCH($A87,'2. Plot &amp; Core Log'!$B$6:$B$35,0)),""))</f>
        <v/>
      </c>
      <c r="H87" s="26" t="str">
        <f aca="false">IF($A87="","",IFERROR(INDEX('2. Plot &amp; Core Log'!$S$6:$S$35,MATCH($A87,'2. Plot &amp; Core Log'!$B$6:$B$35,0)),""))</f>
        <v/>
      </c>
      <c r="I87" s="16" t="str">
        <f aca="false">IF(OR($C87="",$G87=""),"",$C87*$G87)</f>
        <v/>
      </c>
      <c r="J87" s="16" t="str">
        <f aca="false">IF(OR($D87="",$G87=""),"",$D87*$G87)</f>
        <v/>
      </c>
      <c r="K87" s="16" t="str">
        <f aca="false">IF(OR($F87="",$H87=""),"",PI()*(($H87/2)^2)*$F87)</f>
        <v/>
      </c>
      <c r="L87" s="27"/>
      <c r="M87" s="27"/>
      <c r="N87" s="27"/>
      <c r="O87" s="27"/>
      <c r="P87" s="16" t="str">
        <f aca="false">IF(OR($L87="",$M87="",$L87=0),"",(($L87-$M87)/$L87)*100)</f>
        <v/>
      </c>
      <c r="Q87" s="15" t="str">
        <f aca="false">IF(OR($M87="",$K87="",$K87=0),"",$M87/$K87)</f>
        <v/>
      </c>
      <c r="R87" s="15" t="str">
        <f aca="false">IF(OR($N87="",$O87=""),"",IF(UPPER($O87)="OC",$N87,IF(UPPER($O87)="LOI",IF(OR(LOI_INTERCEPT="",LOI_SLOPE=""),"",IF(LOI_INTERCEPT+LOI_SLOPE*$N87&lt;0,"",LOI_INTERCEPT+LOI_SLOPE*$N87)),"")))</f>
        <v/>
      </c>
      <c r="S87" s="18" t="str">
        <f aca="false">IF($R87="","",$R87*10)</f>
        <v/>
      </c>
      <c r="T87" s="28" t="str">
        <f aca="false">IF(OR($Q87="",$R87=""),"",$Q87*$R87/100)</f>
        <v/>
      </c>
      <c r="U87" s="29" t="str">
        <f aca="false">IF(OR($T87="",$F87=""),"",$T87*$F87)</f>
        <v/>
      </c>
      <c r="V87" s="15" t="str">
        <f aca="false">IF($U87="","",$U87*10)</f>
        <v/>
      </c>
      <c r="W87" s="15" t="str">
        <f aca="false">IF(OR($V87="",$I87="",$J87="",$J87&lt;=$I87),"",$V87*MAX(0,MIN($J87,15)-MAX($I87,0))/($J87-$I87))</f>
        <v/>
      </c>
      <c r="X87" s="15" t="str">
        <f aca="false">IF(OR($V87="",$I87="",$J87="",$J87&lt;=$I87),"",$V87*MAX(0,MIN($J87,30)-MAX($I87,15))/($J87-$I87))</f>
        <v/>
      </c>
      <c r="Y87" s="15" t="str">
        <f aca="false">IF(OR($V87="",$I87="",$J87="",$J87&lt;=$I87),"",$V87*MAX(0,MIN($J87,50)-MAX($I87,30))/($J87-$I87))</f>
        <v/>
      </c>
      <c r="Z87" s="15" t="str">
        <f aca="false">IF(OR($V87="",$I87="",$J87="",$J87&lt;=$I87),"",$V87*MAX(0,MIN($J87,100)-MAX($I87,50))/($J87-$I87))</f>
        <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
      </c>
    </row>
    <row r="88" customFormat="false" ht="15.75" hidden="false" customHeight="true" outlineLevel="0" collapsed="false">
      <c r="A88" s="14"/>
      <c r="B88" s="14"/>
      <c r="C88" s="24"/>
      <c r="D88" s="24"/>
      <c r="E88" s="14"/>
      <c r="F88" s="16" t="str">
        <f aca="false">IF(OR($C88="",$D88=""),"",$D88-$C88)</f>
        <v/>
      </c>
      <c r="G88" s="25" t="str">
        <f aca="false">IF($A88="","",IFERROR(INDEX('2. Plot &amp; Core Log'!$M$6:$M$35,MATCH($A88,'2. Plot &amp; Core Log'!$B$6:$B$35,0)),""))</f>
        <v/>
      </c>
      <c r="H88" s="26" t="str">
        <f aca="false">IF($A88="","",IFERROR(INDEX('2. Plot &amp; Core Log'!$S$6:$S$35,MATCH($A88,'2. Plot &amp; Core Log'!$B$6:$B$35,0)),""))</f>
        <v/>
      </c>
      <c r="I88" s="16" t="str">
        <f aca="false">IF(OR($C88="",$G88=""),"",$C88*$G88)</f>
        <v/>
      </c>
      <c r="J88" s="16" t="str">
        <f aca="false">IF(OR($D88="",$G88=""),"",$D88*$G88)</f>
        <v/>
      </c>
      <c r="K88" s="16" t="str">
        <f aca="false">IF(OR($F88="",$H88=""),"",PI()*(($H88/2)^2)*$F88)</f>
        <v/>
      </c>
      <c r="L88" s="27"/>
      <c r="M88" s="27"/>
      <c r="N88" s="27"/>
      <c r="O88" s="27"/>
      <c r="P88" s="16" t="str">
        <f aca="false">IF(OR($L88="",$M88="",$L88=0),"",(($L88-$M88)/$L88)*100)</f>
        <v/>
      </c>
      <c r="Q88" s="15" t="str">
        <f aca="false">IF(OR($M88="",$K88="",$K88=0),"",$M88/$K88)</f>
        <v/>
      </c>
      <c r="R88" s="15" t="str">
        <f aca="false">IF(OR($N88="",$O88=""),"",IF(UPPER($O88)="OC",$N88,IF(UPPER($O88)="LOI",IF(OR(LOI_INTERCEPT="",LOI_SLOPE=""),"",IF(LOI_INTERCEPT+LOI_SLOPE*$N88&lt;0,"",LOI_INTERCEPT+LOI_SLOPE*$N88)),"")))</f>
        <v/>
      </c>
      <c r="S88" s="18" t="str">
        <f aca="false">IF($R88="","",$R88*10)</f>
        <v/>
      </c>
      <c r="T88" s="28" t="str">
        <f aca="false">IF(OR($Q88="",$R88=""),"",$Q88*$R88/100)</f>
        <v/>
      </c>
      <c r="U88" s="29" t="str">
        <f aca="false">IF(OR($T88="",$F88=""),"",$T88*$F88)</f>
        <v/>
      </c>
      <c r="V88" s="15" t="str">
        <f aca="false">IF($U88="","",$U88*10)</f>
        <v/>
      </c>
      <c r="W88" s="15" t="str">
        <f aca="false">IF(OR($V88="",$I88="",$J88="",$J88&lt;=$I88),"",$V88*MAX(0,MIN($J88,15)-MAX($I88,0))/($J88-$I88))</f>
        <v/>
      </c>
      <c r="X88" s="15" t="str">
        <f aca="false">IF(OR($V88="",$I88="",$J88="",$J88&lt;=$I88),"",$V88*MAX(0,MIN($J88,30)-MAX($I88,15))/($J88-$I88))</f>
        <v/>
      </c>
      <c r="Y88" s="15" t="str">
        <f aca="false">IF(OR($V88="",$I88="",$J88="",$J88&lt;=$I88),"",$V88*MAX(0,MIN($J88,50)-MAX($I88,30))/($J88-$I88))</f>
        <v/>
      </c>
      <c r="Z88" s="15" t="str">
        <f aca="false">IF(OR($V88="",$I88="",$J88="",$J88&lt;=$I88),"",$V88*MAX(0,MIN($J88,100)-MAX($I88,50))/($J88-$I88))</f>
        <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
      </c>
    </row>
    <row r="89" customFormat="false" ht="15.75" hidden="false" customHeight="true" outlineLevel="0" collapsed="false">
      <c r="A89" s="14"/>
      <c r="B89" s="14"/>
      <c r="C89" s="24"/>
      <c r="D89" s="24"/>
      <c r="E89" s="14"/>
      <c r="F89" s="16" t="str">
        <f aca="false">IF(OR($C89="",$D89=""),"",$D89-$C89)</f>
        <v/>
      </c>
      <c r="G89" s="25" t="str">
        <f aca="false">IF($A89="","",IFERROR(INDEX('2. Plot &amp; Core Log'!$M$6:$M$35,MATCH($A89,'2. Plot &amp; Core Log'!$B$6:$B$35,0)),""))</f>
        <v/>
      </c>
      <c r="H89" s="26" t="str">
        <f aca="false">IF($A89="","",IFERROR(INDEX('2. Plot &amp; Core Log'!$S$6:$S$35,MATCH($A89,'2. Plot &amp; Core Log'!$B$6:$B$35,0)),""))</f>
        <v/>
      </c>
      <c r="I89" s="16" t="str">
        <f aca="false">IF(OR($C89="",$G89=""),"",$C89*$G89)</f>
        <v/>
      </c>
      <c r="J89" s="16" t="str">
        <f aca="false">IF(OR($D89="",$G89=""),"",$D89*$G89)</f>
        <v/>
      </c>
      <c r="K89" s="16" t="str">
        <f aca="false">IF(OR($F89="",$H89=""),"",PI()*(($H89/2)^2)*$F89)</f>
        <v/>
      </c>
      <c r="L89" s="27"/>
      <c r="M89" s="27"/>
      <c r="N89" s="27"/>
      <c r="O89" s="27"/>
      <c r="P89" s="16" t="str">
        <f aca="false">IF(OR($L89="",$M89="",$L89=0),"",(($L89-$M89)/$L89)*100)</f>
        <v/>
      </c>
      <c r="Q89" s="15" t="str">
        <f aca="false">IF(OR($M89="",$K89="",$K89=0),"",$M89/$K89)</f>
        <v/>
      </c>
      <c r="R89" s="15" t="str">
        <f aca="false">IF(OR($N89="",$O89=""),"",IF(UPPER($O89)="OC",$N89,IF(UPPER($O89)="LOI",IF(OR(LOI_INTERCEPT="",LOI_SLOPE=""),"",IF(LOI_INTERCEPT+LOI_SLOPE*$N89&lt;0,"",LOI_INTERCEPT+LOI_SLOPE*$N89)),"")))</f>
        <v/>
      </c>
      <c r="S89" s="18" t="str">
        <f aca="false">IF($R89="","",$R89*10)</f>
        <v/>
      </c>
      <c r="T89" s="28" t="str">
        <f aca="false">IF(OR($Q89="",$R89=""),"",$Q89*$R89/100)</f>
        <v/>
      </c>
      <c r="U89" s="29" t="str">
        <f aca="false">IF(OR($T89="",$F89=""),"",$T89*$F89)</f>
        <v/>
      </c>
      <c r="V89" s="15" t="str">
        <f aca="false">IF($U89="","",$U89*10)</f>
        <v/>
      </c>
      <c r="W89" s="15" t="str">
        <f aca="false">IF(OR($V89="",$I89="",$J89="",$J89&lt;=$I89),"",$V89*MAX(0,MIN($J89,15)-MAX($I89,0))/($J89-$I89))</f>
        <v/>
      </c>
      <c r="X89" s="15" t="str">
        <f aca="false">IF(OR($V89="",$I89="",$J89="",$J89&lt;=$I89),"",$V89*MAX(0,MIN($J89,30)-MAX($I89,15))/($J89-$I89))</f>
        <v/>
      </c>
      <c r="Y89" s="15" t="str">
        <f aca="false">IF(OR($V89="",$I89="",$J89="",$J89&lt;=$I89),"",$V89*MAX(0,MIN($J89,50)-MAX($I89,30))/($J89-$I89))</f>
        <v/>
      </c>
      <c r="Z89" s="15" t="str">
        <f aca="false">IF(OR($V89="",$I89="",$J89="",$J89&lt;=$I89),"",$V89*MAX(0,MIN($J89,100)-MAX($I89,50))/($J89-$I89))</f>
        <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
      </c>
    </row>
    <row r="90" customFormat="false" ht="15.75" hidden="false" customHeight="true" outlineLevel="0" collapsed="false">
      <c r="A90" s="14"/>
      <c r="B90" s="14"/>
      <c r="C90" s="24"/>
      <c r="D90" s="24"/>
      <c r="E90" s="14"/>
      <c r="F90" s="16" t="str">
        <f aca="false">IF(OR($C90="",$D90=""),"",$D90-$C90)</f>
        <v/>
      </c>
      <c r="G90" s="25" t="str">
        <f aca="false">IF($A90="","",IFERROR(INDEX('2. Plot &amp; Core Log'!$M$6:$M$35,MATCH($A90,'2. Plot &amp; Core Log'!$B$6:$B$35,0)),""))</f>
        <v/>
      </c>
      <c r="H90" s="26" t="str">
        <f aca="false">IF($A90="","",IFERROR(INDEX('2. Plot &amp; Core Log'!$S$6:$S$35,MATCH($A90,'2. Plot &amp; Core Log'!$B$6:$B$35,0)),""))</f>
        <v/>
      </c>
      <c r="I90" s="16" t="str">
        <f aca="false">IF(OR($C90="",$G90=""),"",$C90*$G90)</f>
        <v/>
      </c>
      <c r="J90" s="16" t="str">
        <f aca="false">IF(OR($D90="",$G90=""),"",$D90*$G90)</f>
        <v/>
      </c>
      <c r="K90" s="16" t="str">
        <f aca="false">IF(OR($F90="",$H90=""),"",PI()*(($H90/2)^2)*$F90)</f>
        <v/>
      </c>
      <c r="L90" s="27"/>
      <c r="M90" s="27"/>
      <c r="N90" s="27"/>
      <c r="O90" s="27"/>
      <c r="P90" s="16" t="str">
        <f aca="false">IF(OR($L90="",$M90="",$L90=0),"",(($L90-$M90)/$L90)*100)</f>
        <v/>
      </c>
      <c r="Q90" s="15" t="str">
        <f aca="false">IF(OR($M90="",$K90="",$K90=0),"",$M90/$K90)</f>
        <v/>
      </c>
      <c r="R90" s="15" t="str">
        <f aca="false">IF(OR($N90="",$O90=""),"",IF(UPPER($O90)="OC",$N90,IF(UPPER($O90)="LOI",IF(OR(LOI_INTERCEPT="",LOI_SLOPE=""),"",IF(LOI_INTERCEPT+LOI_SLOPE*$N90&lt;0,"",LOI_INTERCEPT+LOI_SLOPE*$N90)),"")))</f>
        <v/>
      </c>
      <c r="S90" s="18" t="str">
        <f aca="false">IF($R90="","",$R90*10)</f>
        <v/>
      </c>
      <c r="T90" s="28" t="str">
        <f aca="false">IF(OR($Q90="",$R90=""),"",$Q90*$R90/100)</f>
        <v/>
      </c>
      <c r="U90" s="29" t="str">
        <f aca="false">IF(OR($T90="",$F90=""),"",$T90*$F90)</f>
        <v/>
      </c>
      <c r="V90" s="15" t="str">
        <f aca="false">IF($U90="","",$U90*10)</f>
        <v/>
      </c>
      <c r="W90" s="15" t="str">
        <f aca="false">IF(OR($V90="",$I90="",$J90="",$J90&lt;=$I90),"",$V90*MAX(0,MIN($J90,15)-MAX($I90,0))/($J90-$I90))</f>
        <v/>
      </c>
      <c r="X90" s="15" t="str">
        <f aca="false">IF(OR($V90="",$I90="",$J90="",$J90&lt;=$I90),"",$V90*MAX(0,MIN($J90,30)-MAX($I90,15))/($J90-$I90))</f>
        <v/>
      </c>
      <c r="Y90" s="15" t="str">
        <f aca="false">IF(OR($V90="",$I90="",$J90="",$J90&lt;=$I90),"",$V90*MAX(0,MIN($J90,50)-MAX($I90,30))/($J90-$I90))</f>
        <v/>
      </c>
      <c r="Z90" s="15" t="str">
        <f aca="false">IF(OR($V90="",$I90="",$J90="",$J90&lt;=$I90),"",$V90*MAX(0,MIN($J90,100)-MAX($I90,50))/($J90-$I90))</f>
        <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
      </c>
    </row>
    <row r="91" customFormat="false" ht="15.75" hidden="false" customHeight="true" outlineLevel="0" collapsed="false">
      <c r="A91" s="14"/>
      <c r="B91" s="14"/>
      <c r="C91" s="24"/>
      <c r="D91" s="24"/>
      <c r="E91" s="14"/>
      <c r="F91" s="16" t="str">
        <f aca="false">IF(OR($C91="",$D91=""),"",$D91-$C91)</f>
        <v/>
      </c>
      <c r="G91" s="25" t="str">
        <f aca="false">IF($A91="","",IFERROR(INDEX('2. Plot &amp; Core Log'!$M$6:$M$35,MATCH($A91,'2. Plot &amp; Core Log'!$B$6:$B$35,0)),""))</f>
        <v/>
      </c>
      <c r="H91" s="26" t="str">
        <f aca="false">IF($A91="","",IFERROR(INDEX('2. Plot &amp; Core Log'!$S$6:$S$35,MATCH($A91,'2. Plot &amp; Core Log'!$B$6:$B$35,0)),""))</f>
        <v/>
      </c>
      <c r="I91" s="16" t="str">
        <f aca="false">IF(OR($C91="",$G91=""),"",$C91*$G91)</f>
        <v/>
      </c>
      <c r="J91" s="16" t="str">
        <f aca="false">IF(OR($D91="",$G91=""),"",$D91*$G91)</f>
        <v/>
      </c>
      <c r="K91" s="16" t="str">
        <f aca="false">IF(OR($F91="",$H91=""),"",PI()*(($H91/2)^2)*$F91)</f>
        <v/>
      </c>
      <c r="L91" s="27"/>
      <c r="M91" s="27"/>
      <c r="N91" s="27"/>
      <c r="O91" s="27"/>
      <c r="P91" s="16" t="str">
        <f aca="false">IF(OR($L91="",$M91="",$L91=0),"",(($L91-$M91)/$L91)*100)</f>
        <v/>
      </c>
      <c r="Q91" s="15" t="str">
        <f aca="false">IF(OR($M91="",$K91="",$K91=0),"",$M91/$K91)</f>
        <v/>
      </c>
      <c r="R91" s="15" t="str">
        <f aca="false">IF(OR($N91="",$O91=""),"",IF(UPPER($O91)="OC",$N91,IF(UPPER($O91)="LOI",IF(OR(LOI_INTERCEPT="",LOI_SLOPE=""),"",IF(LOI_INTERCEPT+LOI_SLOPE*$N91&lt;0,"",LOI_INTERCEPT+LOI_SLOPE*$N91)),"")))</f>
        <v/>
      </c>
      <c r="S91" s="18" t="str">
        <f aca="false">IF($R91="","",$R91*10)</f>
        <v/>
      </c>
      <c r="T91" s="28" t="str">
        <f aca="false">IF(OR($Q91="",$R91=""),"",$Q91*$R91/100)</f>
        <v/>
      </c>
      <c r="U91" s="29" t="str">
        <f aca="false">IF(OR($T91="",$F91=""),"",$T91*$F91)</f>
        <v/>
      </c>
      <c r="V91" s="15" t="str">
        <f aca="false">IF($U91="","",$U91*10)</f>
        <v/>
      </c>
      <c r="W91" s="15" t="str">
        <f aca="false">IF(OR($V91="",$I91="",$J91="",$J91&lt;=$I91),"",$V91*MAX(0,MIN($J91,15)-MAX($I91,0))/($J91-$I91))</f>
        <v/>
      </c>
      <c r="X91" s="15" t="str">
        <f aca="false">IF(OR($V91="",$I91="",$J91="",$J91&lt;=$I91),"",$V91*MAX(0,MIN($J91,30)-MAX($I91,15))/($J91-$I91))</f>
        <v/>
      </c>
      <c r="Y91" s="15" t="str">
        <f aca="false">IF(OR($V91="",$I91="",$J91="",$J91&lt;=$I91),"",$V91*MAX(0,MIN($J91,50)-MAX($I91,30))/($J91-$I91))</f>
        <v/>
      </c>
      <c r="Z91" s="15" t="str">
        <f aca="false">IF(OR($V91="",$I91="",$J91="",$J91&lt;=$I91),"",$V91*MAX(0,MIN($J91,100)-MAX($I91,50))/($J91-$I91))</f>
        <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
      </c>
    </row>
    <row r="92" customFormat="false" ht="15.75" hidden="false" customHeight="true" outlineLevel="0" collapsed="false">
      <c r="A92" s="14"/>
      <c r="B92" s="14"/>
      <c r="C92" s="24"/>
      <c r="D92" s="24"/>
      <c r="E92" s="14"/>
      <c r="F92" s="16" t="str">
        <f aca="false">IF(OR($C92="",$D92=""),"",$D92-$C92)</f>
        <v/>
      </c>
      <c r="G92" s="25" t="str">
        <f aca="false">IF($A92="","",IFERROR(INDEX('2. Plot &amp; Core Log'!$M$6:$M$35,MATCH($A92,'2. Plot &amp; Core Log'!$B$6:$B$35,0)),""))</f>
        <v/>
      </c>
      <c r="H92" s="26" t="str">
        <f aca="false">IF($A92="","",IFERROR(INDEX('2. Plot &amp; Core Log'!$S$6:$S$35,MATCH($A92,'2. Plot &amp; Core Log'!$B$6:$B$35,0)),""))</f>
        <v/>
      </c>
      <c r="I92" s="16" t="str">
        <f aca="false">IF(OR($C92="",$G92=""),"",$C92*$G92)</f>
        <v/>
      </c>
      <c r="J92" s="16" t="str">
        <f aca="false">IF(OR($D92="",$G92=""),"",$D92*$G92)</f>
        <v/>
      </c>
      <c r="K92" s="16" t="str">
        <f aca="false">IF(OR($F92="",$H92=""),"",PI()*(($H92/2)^2)*$F92)</f>
        <v/>
      </c>
      <c r="L92" s="27"/>
      <c r="M92" s="27"/>
      <c r="N92" s="27"/>
      <c r="O92" s="27"/>
      <c r="P92" s="16" t="str">
        <f aca="false">IF(OR($L92="",$M92="",$L92=0),"",(($L92-$M92)/$L92)*100)</f>
        <v/>
      </c>
      <c r="Q92" s="15" t="str">
        <f aca="false">IF(OR($M92="",$K92="",$K92=0),"",$M92/$K92)</f>
        <v/>
      </c>
      <c r="R92" s="15" t="str">
        <f aca="false">IF(OR($N92="",$O92=""),"",IF(UPPER($O92)="OC",$N92,IF(UPPER($O92)="LOI",IF(OR(LOI_INTERCEPT="",LOI_SLOPE=""),"",IF(LOI_INTERCEPT+LOI_SLOPE*$N92&lt;0,"",LOI_INTERCEPT+LOI_SLOPE*$N92)),"")))</f>
        <v/>
      </c>
      <c r="S92" s="18" t="str">
        <f aca="false">IF($R92="","",$R92*10)</f>
        <v/>
      </c>
      <c r="T92" s="28" t="str">
        <f aca="false">IF(OR($Q92="",$R92=""),"",$Q92*$R92/100)</f>
        <v/>
      </c>
      <c r="U92" s="29" t="str">
        <f aca="false">IF(OR($T92="",$F92=""),"",$T92*$F92)</f>
        <v/>
      </c>
      <c r="V92" s="15" t="str">
        <f aca="false">IF($U92="","",$U92*10)</f>
        <v/>
      </c>
      <c r="W92" s="15" t="str">
        <f aca="false">IF(OR($V92="",$I92="",$J92="",$J92&lt;=$I92),"",$V92*MAX(0,MIN($J92,15)-MAX($I92,0))/($J92-$I92))</f>
        <v/>
      </c>
      <c r="X92" s="15" t="str">
        <f aca="false">IF(OR($V92="",$I92="",$J92="",$J92&lt;=$I92),"",$V92*MAX(0,MIN($J92,30)-MAX($I92,15))/($J92-$I92))</f>
        <v/>
      </c>
      <c r="Y92" s="15" t="str">
        <f aca="false">IF(OR($V92="",$I92="",$J92="",$J92&lt;=$I92),"",$V92*MAX(0,MIN($J92,50)-MAX($I92,30))/($J92-$I92))</f>
        <v/>
      </c>
      <c r="Z92" s="15" t="str">
        <f aca="false">IF(OR($V92="",$I92="",$J92="",$J92&lt;=$I92),"",$V92*MAX(0,MIN($J92,100)-MAX($I92,50))/($J92-$I92))</f>
        <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
      </c>
    </row>
    <row r="93" customFormat="false" ht="15.75" hidden="false" customHeight="true" outlineLevel="0" collapsed="false">
      <c r="A93" s="14"/>
      <c r="B93" s="14"/>
      <c r="C93" s="24"/>
      <c r="D93" s="24"/>
      <c r="E93" s="14"/>
      <c r="F93" s="16" t="str">
        <f aca="false">IF(OR($C93="",$D93=""),"",$D93-$C93)</f>
        <v/>
      </c>
      <c r="G93" s="25" t="str">
        <f aca="false">IF($A93="","",IFERROR(INDEX('2. Plot &amp; Core Log'!$M$6:$M$35,MATCH($A93,'2. Plot &amp; Core Log'!$B$6:$B$35,0)),""))</f>
        <v/>
      </c>
      <c r="H93" s="26" t="str">
        <f aca="false">IF($A93="","",IFERROR(INDEX('2. Plot &amp; Core Log'!$S$6:$S$35,MATCH($A93,'2. Plot &amp; Core Log'!$B$6:$B$35,0)),""))</f>
        <v/>
      </c>
      <c r="I93" s="16" t="str">
        <f aca="false">IF(OR($C93="",$G93=""),"",$C93*$G93)</f>
        <v/>
      </c>
      <c r="J93" s="16" t="str">
        <f aca="false">IF(OR($D93="",$G93=""),"",$D93*$G93)</f>
        <v/>
      </c>
      <c r="K93" s="16" t="str">
        <f aca="false">IF(OR($F93="",$H93=""),"",PI()*(($H93/2)^2)*$F93)</f>
        <v/>
      </c>
      <c r="L93" s="27"/>
      <c r="M93" s="27"/>
      <c r="N93" s="27"/>
      <c r="O93" s="27"/>
      <c r="P93" s="16" t="str">
        <f aca="false">IF(OR($L93="",$M93="",$L93=0),"",(($L93-$M93)/$L93)*100)</f>
        <v/>
      </c>
      <c r="Q93" s="15" t="str">
        <f aca="false">IF(OR($M93="",$K93="",$K93=0),"",$M93/$K93)</f>
        <v/>
      </c>
      <c r="R93" s="15" t="str">
        <f aca="false">IF(OR($N93="",$O93=""),"",IF(UPPER($O93)="OC",$N93,IF(UPPER($O93)="LOI",IF(OR(LOI_INTERCEPT="",LOI_SLOPE=""),"",IF(LOI_INTERCEPT+LOI_SLOPE*$N93&lt;0,"",LOI_INTERCEPT+LOI_SLOPE*$N93)),"")))</f>
        <v/>
      </c>
      <c r="S93" s="18" t="str">
        <f aca="false">IF($R93="","",$R93*10)</f>
        <v/>
      </c>
      <c r="T93" s="28" t="str">
        <f aca="false">IF(OR($Q93="",$R93=""),"",$Q93*$R93/100)</f>
        <v/>
      </c>
      <c r="U93" s="29" t="str">
        <f aca="false">IF(OR($T93="",$F93=""),"",$T93*$F93)</f>
        <v/>
      </c>
      <c r="V93" s="15" t="str">
        <f aca="false">IF($U93="","",$U93*10)</f>
        <v/>
      </c>
      <c r="W93" s="15" t="str">
        <f aca="false">IF(OR($V93="",$I93="",$J93="",$J93&lt;=$I93),"",$V93*MAX(0,MIN($J93,15)-MAX($I93,0))/($J93-$I93))</f>
        <v/>
      </c>
      <c r="X93" s="15" t="str">
        <f aca="false">IF(OR($V93="",$I93="",$J93="",$J93&lt;=$I93),"",$V93*MAX(0,MIN($J93,30)-MAX($I93,15))/($J93-$I93))</f>
        <v/>
      </c>
      <c r="Y93" s="15" t="str">
        <f aca="false">IF(OR($V93="",$I93="",$J93="",$J93&lt;=$I93),"",$V93*MAX(0,MIN($J93,50)-MAX($I93,30))/($J93-$I93))</f>
        <v/>
      </c>
      <c r="Z93" s="15" t="str">
        <f aca="false">IF(OR($V93="",$I93="",$J93="",$J93&lt;=$I93),"",$V93*MAX(0,MIN($J93,100)-MAX($I93,50))/($J93-$I93))</f>
        <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
      </c>
    </row>
    <row r="94" customFormat="false" ht="15.75" hidden="false" customHeight="true" outlineLevel="0" collapsed="false">
      <c r="A94" s="14"/>
      <c r="B94" s="14"/>
      <c r="C94" s="24"/>
      <c r="D94" s="24"/>
      <c r="E94" s="14"/>
      <c r="F94" s="16" t="str">
        <f aca="false">IF(OR($C94="",$D94=""),"",$D94-$C94)</f>
        <v/>
      </c>
      <c r="G94" s="25" t="str">
        <f aca="false">IF($A94="","",IFERROR(INDEX('2. Plot &amp; Core Log'!$M$6:$M$35,MATCH($A94,'2. Plot &amp; Core Log'!$B$6:$B$35,0)),""))</f>
        <v/>
      </c>
      <c r="H94" s="26" t="str">
        <f aca="false">IF($A94="","",IFERROR(INDEX('2. Plot &amp; Core Log'!$S$6:$S$35,MATCH($A94,'2. Plot &amp; Core Log'!$B$6:$B$35,0)),""))</f>
        <v/>
      </c>
      <c r="I94" s="16" t="str">
        <f aca="false">IF(OR($C94="",$G94=""),"",$C94*$G94)</f>
        <v/>
      </c>
      <c r="J94" s="16" t="str">
        <f aca="false">IF(OR($D94="",$G94=""),"",$D94*$G94)</f>
        <v/>
      </c>
      <c r="K94" s="16" t="str">
        <f aca="false">IF(OR($F94="",$H94=""),"",PI()*(($H94/2)^2)*$F94)</f>
        <v/>
      </c>
      <c r="L94" s="27"/>
      <c r="M94" s="27"/>
      <c r="N94" s="27"/>
      <c r="O94" s="27"/>
      <c r="P94" s="16" t="str">
        <f aca="false">IF(OR($L94="",$M94="",$L94=0),"",(($L94-$M94)/$L94)*100)</f>
        <v/>
      </c>
      <c r="Q94" s="15" t="str">
        <f aca="false">IF(OR($M94="",$K94="",$K94=0),"",$M94/$K94)</f>
        <v/>
      </c>
      <c r="R94" s="15" t="str">
        <f aca="false">IF(OR($N94="",$O94=""),"",IF(UPPER($O94)="OC",$N94,IF(UPPER($O94)="LOI",IF(OR(LOI_INTERCEPT="",LOI_SLOPE=""),"",IF(LOI_INTERCEPT+LOI_SLOPE*$N94&lt;0,"",LOI_INTERCEPT+LOI_SLOPE*$N94)),"")))</f>
        <v/>
      </c>
      <c r="S94" s="18" t="str">
        <f aca="false">IF($R94="","",$R94*10)</f>
        <v/>
      </c>
      <c r="T94" s="28" t="str">
        <f aca="false">IF(OR($Q94="",$R94=""),"",$Q94*$R94/100)</f>
        <v/>
      </c>
      <c r="U94" s="29" t="str">
        <f aca="false">IF(OR($T94="",$F94=""),"",$T94*$F94)</f>
        <v/>
      </c>
      <c r="V94" s="15" t="str">
        <f aca="false">IF($U94="","",$U94*10)</f>
        <v/>
      </c>
      <c r="W94" s="15" t="str">
        <f aca="false">IF(OR($V94="",$I94="",$J94="",$J94&lt;=$I94),"",$V94*MAX(0,MIN($J94,15)-MAX($I94,0))/($J94-$I94))</f>
        <v/>
      </c>
      <c r="X94" s="15" t="str">
        <f aca="false">IF(OR($V94="",$I94="",$J94="",$J94&lt;=$I94),"",$V94*MAX(0,MIN($J94,30)-MAX($I94,15))/($J94-$I94))</f>
        <v/>
      </c>
      <c r="Y94" s="15" t="str">
        <f aca="false">IF(OR($V94="",$I94="",$J94="",$J94&lt;=$I94),"",$V94*MAX(0,MIN($J94,50)-MAX($I94,30))/($J94-$I94))</f>
        <v/>
      </c>
      <c r="Z94" s="15" t="str">
        <f aca="false">IF(OR($V94="",$I94="",$J94="",$J94&lt;=$I94),"",$V94*MAX(0,MIN($J94,100)-MAX($I94,50))/($J94-$I94))</f>
        <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
      </c>
    </row>
    <row r="95" customFormat="false" ht="15.75" hidden="false" customHeight="true" outlineLevel="0" collapsed="false">
      <c r="A95" s="14"/>
      <c r="B95" s="14"/>
      <c r="C95" s="24"/>
      <c r="D95" s="24"/>
      <c r="E95" s="14"/>
      <c r="F95" s="16" t="str">
        <f aca="false">IF(OR($C95="",$D95=""),"",$D95-$C95)</f>
        <v/>
      </c>
      <c r="G95" s="25" t="str">
        <f aca="false">IF($A95="","",IFERROR(INDEX('2. Plot &amp; Core Log'!$M$6:$M$35,MATCH($A95,'2. Plot &amp; Core Log'!$B$6:$B$35,0)),""))</f>
        <v/>
      </c>
      <c r="H95" s="26" t="str">
        <f aca="false">IF($A95="","",IFERROR(INDEX('2. Plot &amp; Core Log'!$S$6:$S$35,MATCH($A95,'2. Plot &amp; Core Log'!$B$6:$B$35,0)),""))</f>
        <v/>
      </c>
      <c r="I95" s="16" t="str">
        <f aca="false">IF(OR($C95="",$G95=""),"",$C95*$G95)</f>
        <v/>
      </c>
      <c r="J95" s="16" t="str">
        <f aca="false">IF(OR($D95="",$G95=""),"",$D95*$G95)</f>
        <v/>
      </c>
      <c r="K95" s="16" t="str">
        <f aca="false">IF(OR($F95="",$H95=""),"",PI()*(($H95/2)^2)*$F95)</f>
        <v/>
      </c>
      <c r="L95" s="27"/>
      <c r="M95" s="27"/>
      <c r="N95" s="27"/>
      <c r="O95" s="27"/>
      <c r="P95" s="16" t="str">
        <f aca="false">IF(OR($L95="",$M95="",$L95=0),"",(($L95-$M95)/$L95)*100)</f>
        <v/>
      </c>
      <c r="Q95" s="15" t="str">
        <f aca="false">IF(OR($M95="",$K95="",$K95=0),"",$M95/$K95)</f>
        <v/>
      </c>
      <c r="R95" s="15" t="str">
        <f aca="false">IF(OR($N95="",$O95=""),"",IF(UPPER($O95)="OC",$N95,IF(UPPER($O95)="LOI",IF(OR(LOI_INTERCEPT="",LOI_SLOPE=""),"",IF(LOI_INTERCEPT+LOI_SLOPE*$N95&lt;0,"",LOI_INTERCEPT+LOI_SLOPE*$N95)),"")))</f>
        <v/>
      </c>
      <c r="S95" s="18" t="str">
        <f aca="false">IF($R95="","",$R95*10)</f>
        <v/>
      </c>
      <c r="T95" s="28" t="str">
        <f aca="false">IF(OR($Q95="",$R95=""),"",$Q95*$R95/100)</f>
        <v/>
      </c>
      <c r="U95" s="29" t="str">
        <f aca="false">IF(OR($T95="",$F95=""),"",$T95*$F95)</f>
        <v/>
      </c>
      <c r="V95" s="15" t="str">
        <f aca="false">IF($U95="","",$U95*10)</f>
        <v/>
      </c>
      <c r="W95" s="15" t="str">
        <f aca="false">IF(OR($V95="",$I95="",$J95="",$J95&lt;=$I95),"",$V95*MAX(0,MIN($J95,15)-MAX($I95,0))/($J95-$I95))</f>
        <v/>
      </c>
      <c r="X95" s="15" t="str">
        <f aca="false">IF(OR($V95="",$I95="",$J95="",$J95&lt;=$I95),"",$V95*MAX(0,MIN($J95,30)-MAX($I95,15))/($J95-$I95))</f>
        <v/>
      </c>
      <c r="Y95" s="15" t="str">
        <f aca="false">IF(OR($V95="",$I95="",$J95="",$J95&lt;=$I95),"",$V95*MAX(0,MIN($J95,50)-MAX($I95,30))/($J95-$I95))</f>
        <v/>
      </c>
      <c r="Z95" s="15" t="str">
        <f aca="false">IF(OR($V95="",$I95="",$J95="",$J95&lt;=$I95),"",$V95*MAX(0,MIN($J95,100)-MAX($I95,50))/($J95-$I95))</f>
        <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
      </c>
    </row>
    <row r="96" customFormat="false" ht="15.75" hidden="false" customHeight="true" outlineLevel="0" collapsed="false">
      <c r="A96" s="14"/>
      <c r="B96" s="14"/>
      <c r="C96" s="24"/>
      <c r="D96" s="24"/>
      <c r="E96" s="14"/>
      <c r="F96" s="16" t="str">
        <f aca="false">IF(OR($C96="",$D96=""),"",$D96-$C96)</f>
        <v/>
      </c>
      <c r="G96" s="25" t="str">
        <f aca="false">IF($A96="","",IFERROR(INDEX('2. Plot &amp; Core Log'!$M$6:$M$35,MATCH($A96,'2. Plot &amp; Core Log'!$B$6:$B$35,0)),""))</f>
        <v/>
      </c>
      <c r="H96" s="26" t="str">
        <f aca="false">IF($A96="","",IFERROR(INDEX('2. Plot &amp; Core Log'!$S$6:$S$35,MATCH($A96,'2. Plot &amp; Core Log'!$B$6:$B$35,0)),""))</f>
        <v/>
      </c>
      <c r="I96" s="16" t="str">
        <f aca="false">IF(OR($C96="",$G96=""),"",$C96*$G96)</f>
        <v/>
      </c>
      <c r="J96" s="16" t="str">
        <f aca="false">IF(OR($D96="",$G96=""),"",$D96*$G96)</f>
        <v/>
      </c>
      <c r="K96" s="16" t="str">
        <f aca="false">IF(OR($F96="",$H96=""),"",PI()*(($H96/2)^2)*$F96)</f>
        <v/>
      </c>
      <c r="L96" s="27"/>
      <c r="M96" s="27"/>
      <c r="N96" s="27"/>
      <c r="O96" s="27"/>
      <c r="P96" s="16" t="str">
        <f aca="false">IF(OR($L96="",$M96="",$L96=0),"",(($L96-$M96)/$L96)*100)</f>
        <v/>
      </c>
      <c r="Q96" s="15" t="str">
        <f aca="false">IF(OR($M96="",$K96="",$K96=0),"",$M96/$K96)</f>
        <v/>
      </c>
      <c r="R96" s="15" t="str">
        <f aca="false">IF(OR($N96="",$O96=""),"",IF(UPPER($O96)="OC",$N96,IF(UPPER($O96)="LOI",IF(OR(LOI_INTERCEPT="",LOI_SLOPE=""),"",IF(LOI_INTERCEPT+LOI_SLOPE*$N96&lt;0,"",LOI_INTERCEPT+LOI_SLOPE*$N96)),"")))</f>
        <v/>
      </c>
      <c r="S96" s="18" t="str">
        <f aca="false">IF($R96="","",$R96*10)</f>
        <v/>
      </c>
      <c r="T96" s="28" t="str">
        <f aca="false">IF(OR($Q96="",$R96=""),"",$Q96*$R96/100)</f>
        <v/>
      </c>
      <c r="U96" s="29" t="str">
        <f aca="false">IF(OR($T96="",$F96=""),"",$T96*$F96)</f>
        <v/>
      </c>
      <c r="V96" s="15" t="str">
        <f aca="false">IF($U96="","",$U96*10)</f>
        <v/>
      </c>
      <c r="W96" s="15" t="str">
        <f aca="false">IF(OR($V96="",$I96="",$J96="",$J96&lt;=$I96),"",$V96*MAX(0,MIN($J96,15)-MAX($I96,0))/($J96-$I96))</f>
        <v/>
      </c>
      <c r="X96" s="15" t="str">
        <f aca="false">IF(OR($V96="",$I96="",$J96="",$J96&lt;=$I96),"",$V96*MAX(0,MIN($J96,30)-MAX($I96,15))/($J96-$I96))</f>
        <v/>
      </c>
      <c r="Y96" s="15" t="str">
        <f aca="false">IF(OR($V96="",$I96="",$J96="",$J96&lt;=$I96),"",$V96*MAX(0,MIN($J96,50)-MAX($I96,30))/($J96-$I96))</f>
        <v/>
      </c>
      <c r="Z96" s="15" t="str">
        <f aca="false">IF(OR($V96="",$I96="",$J96="",$J96&lt;=$I96),"",$V96*MAX(0,MIN($J96,100)-MAX($I96,50))/($J96-$I96))</f>
        <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
      </c>
    </row>
    <row r="97" customFormat="false" ht="15.75" hidden="false" customHeight="true" outlineLevel="0" collapsed="false">
      <c r="A97" s="14"/>
      <c r="B97" s="14"/>
      <c r="C97" s="24"/>
      <c r="D97" s="24"/>
      <c r="E97" s="14"/>
      <c r="F97" s="16" t="str">
        <f aca="false">IF(OR($C97="",$D97=""),"",$D97-$C97)</f>
        <v/>
      </c>
      <c r="G97" s="25" t="str">
        <f aca="false">IF($A97="","",IFERROR(INDEX('2. Plot &amp; Core Log'!$M$6:$M$35,MATCH($A97,'2. Plot &amp; Core Log'!$B$6:$B$35,0)),""))</f>
        <v/>
      </c>
      <c r="H97" s="26" t="str">
        <f aca="false">IF($A97="","",IFERROR(INDEX('2. Plot &amp; Core Log'!$S$6:$S$35,MATCH($A97,'2. Plot &amp; Core Log'!$B$6:$B$35,0)),""))</f>
        <v/>
      </c>
      <c r="I97" s="16" t="str">
        <f aca="false">IF(OR($C97="",$G97=""),"",$C97*$G97)</f>
        <v/>
      </c>
      <c r="J97" s="16" t="str">
        <f aca="false">IF(OR($D97="",$G97=""),"",$D97*$G97)</f>
        <v/>
      </c>
      <c r="K97" s="16" t="str">
        <f aca="false">IF(OR($F97="",$H97=""),"",PI()*(($H97/2)^2)*$F97)</f>
        <v/>
      </c>
      <c r="L97" s="27"/>
      <c r="M97" s="27"/>
      <c r="N97" s="27"/>
      <c r="O97" s="27"/>
      <c r="P97" s="16" t="str">
        <f aca="false">IF(OR($L97="",$M97="",$L97=0),"",(($L97-$M97)/$L97)*100)</f>
        <v/>
      </c>
      <c r="Q97" s="15" t="str">
        <f aca="false">IF(OR($M97="",$K97="",$K97=0),"",$M97/$K97)</f>
        <v/>
      </c>
      <c r="R97" s="15" t="str">
        <f aca="false">IF(OR($N97="",$O97=""),"",IF(UPPER($O97)="OC",$N97,IF(UPPER($O97)="LOI",IF(OR(LOI_INTERCEPT="",LOI_SLOPE=""),"",IF(LOI_INTERCEPT+LOI_SLOPE*$N97&lt;0,"",LOI_INTERCEPT+LOI_SLOPE*$N97)),"")))</f>
        <v/>
      </c>
      <c r="S97" s="18" t="str">
        <f aca="false">IF($R97="","",$R97*10)</f>
        <v/>
      </c>
      <c r="T97" s="28" t="str">
        <f aca="false">IF(OR($Q97="",$R97=""),"",$Q97*$R97/100)</f>
        <v/>
      </c>
      <c r="U97" s="29" t="str">
        <f aca="false">IF(OR($T97="",$F97=""),"",$T97*$F97)</f>
        <v/>
      </c>
      <c r="V97" s="15" t="str">
        <f aca="false">IF($U97="","",$U97*10)</f>
        <v/>
      </c>
      <c r="W97" s="15" t="str">
        <f aca="false">IF(OR($V97="",$I97="",$J97="",$J97&lt;=$I97),"",$V97*MAX(0,MIN($J97,15)-MAX($I97,0))/($J97-$I97))</f>
        <v/>
      </c>
      <c r="X97" s="15" t="str">
        <f aca="false">IF(OR($V97="",$I97="",$J97="",$J97&lt;=$I97),"",$V97*MAX(0,MIN($J97,30)-MAX($I97,15))/($J97-$I97))</f>
        <v/>
      </c>
      <c r="Y97" s="15" t="str">
        <f aca="false">IF(OR($V97="",$I97="",$J97="",$J97&lt;=$I97),"",$V97*MAX(0,MIN($J97,50)-MAX($I97,30))/($J97-$I97))</f>
        <v/>
      </c>
      <c r="Z97" s="15" t="str">
        <f aca="false">IF(OR($V97="",$I97="",$J97="",$J97&lt;=$I97),"",$V97*MAX(0,MIN($J97,100)-MAX($I97,50))/($J97-$I97))</f>
        <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
      </c>
    </row>
    <row r="98" customFormat="false" ht="15.75" hidden="false" customHeight="true" outlineLevel="0" collapsed="false">
      <c r="A98" s="14"/>
      <c r="B98" s="14"/>
      <c r="C98" s="24"/>
      <c r="D98" s="24"/>
      <c r="E98" s="14"/>
      <c r="F98" s="16" t="str">
        <f aca="false">IF(OR($C98="",$D98=""),"",$D98-$C98)</f>
        <v/>
      </c>
      <c r="G98" s="25" t="str">
        <f aca="false">IF($A98="","",IFERROR(INDEX('2. Plot &amp; Core Log'!$M$6:$M$35,MATCH($A98,'2. Plot &amp; Core Log'!$B$6:$B$35,0)),""))</f>
        <v/>
      </c>
      <c r="H98" s="26" t="str">
        <f aca="false">IF($A98="","",IFERROR(INDEX('2. Plot &amp; Core Log'!$S$6:$S$35,MATCH($A98,'2. Plot &amp; Core Log'!$B$6:$B$35,0)),""))</f>
        <v/>
      </c>
      <c r="I98" s="16" t="str">
        <f aca="false">IF(OR($C98="",$G98=""),"",$C98*$G98)</f>
        <v/>
      </c>
      <c r="J98" s="16" t="str">
        <f aca="false">IF(OR($D98="",$G98=""),"",$D98*$G98)</f>
        <v/>
      </c>
      <c r="K98" s="16" t="str">
        <f aca="false">IF(OR($F98="",$H98=""),"",PI()*(($H98/2)^2)*$F98)</f>
        <v/>
      </c>
      <c r="L98" s="27"/>
      <c r="M98" s="27"/>
      <c r="N98" s="27"/>
      <c r="O98" s="27"/>
      <c r="P98" s="16" t="str">
        <f aca="false">IF(OR($L98="",$M98="",$L98=0),"",(($L98-$M98)/$L98)*100)</f>
        <v/>
      </c>
      <c r="Q98" s="15" t="str">
        <f aca="false">IF(OR($M98="",$K98="",$K98=0),"",$M98/$K98)</f>
        <v/>
      </c>
      <c r="R98" s="15" t="str">
        <f aca="false">IF(OR($N98="",$O98=""),"",IF(UPPER($O98)="OC",$N98,IF(UPPER($O98)="LOI",IF(OR(LOI_INTERCEPT="",LOI_SLOPE=""),"",IF(LOI_INTERCEPT+LOI_SLOPE*$N98&lt;0,"",LOI_INTERCEPT+LOI_SLOPE*$N98)),"")))</f>
        <v/>
      </c>
      <c r="S98" s="18" t="str">
        <f aca="false">IF($R98="","",$R98*10)</f>
        <v/>
      </c>
      <c r="T98" s="28" t="str">
        <f aca="false">IF(OR($Q98="",$R98=""),"",$Q98*$R98/100)</f>
        <v/>
      </c>
      <c r="U98" s="29" t="str">
        <f aca="false">IF(OR($T98="",$F98=""),"",$T98*$F98)</f>
        <v/>
      </c>
      <c r="V98" s="15" t="str">
        <f aca="false">IF($U98="","",$U98*10)</f>
        <v/>
      </c>
      <c r="W98" s="15" t="str">
        <f aca="false">IF(OR($V98="",$I98="",$J98="",$J98&lt;=$I98),"",$V98*MAX(0,MIN($J98,15)-MAX($I98,0))/($J98-$I98))</f>
        <v/>
      </c>
      <c r="X98" s="15" t="str">
        <f aca="false">IF(OR($V98="",$I98="",$J98="",$J98&lt;=$I98),"",$V98*MAX(0,MIN($J98,30)-MAX($I98,15))/($J98-$I98))</f>
        <v/>
      </c>
      <c r="Y98" s="15" t="str">
        <f aca="false">IF(OR($V98="",$I98="",$J98="",$J98&lt;=$I98),"",$V98*MAX(0,MIN($J98,50)-MAX($I98,30))/($J98-$I98))</f>
        <v/>
      </c>
      <c r="Z98" s="15" t="str">
        <f aca="false">IF(OR($V98="",$I98="",$J98="",$J98&lt;=$I98),"",$V98*MAX(0,MIN($J98,100)-MAX($I98,50))/($J98-$I98))</f>
        <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
      </c>
    </row>
    <row r="99" customFormat="false" ht="15.75" hidden="false" customHeight="true" outlineLevel="0" collapsed="false">
      <c r="A99" s="14"/>
      <c r="B99" s="14"/>
      <c r="C99" s="24"/>
      <c r="D99" s="24"/>
      <c r="E99" s="14"/>
      <c r="F99" s="16" t="str">
        <f aca="false">IF(OR($C99="",$D99=""),"",$D99-$C99)</f>
        <v/>
      </c>
      <c r="G99" s="25" t="str">
        <f aca="false">IF($A99="","",IFERROR(INDEX('2. Plot &amp; Core Log'!$M$6:$M$35,MATCH($A99,'2. Plot &amp; Core Log'!$B$6:$B$35,0)),""))</f>
        <v/>
      </c>
      <c r="H99" s="26" t="str">
        <f aca="false">IF($A99="","",IFERROR(INDEX('2. Plot &amp; Core Log'!$S$6:$S$35,MATCH($A99,'2. Plot &amp; Core Log'!$B$6:$B$35,0)),""))</f>
        <v/>
      </c>
      <c r="I99" s="16" t="str">
        <f aca="false">IF(OR($C99="",$G99=""),"",$C99*$G99)</f>
        <v/>
      </c>
      <c r="J99" s="16" t="str">
        <f aca="false">IF(OR($D99="",$G99=""),"",$D99*$G99)</f>
        <v/>
      </c>
      <c r="K99" s="16" t="str">
        <f aca="false">IF(OR($F99="",$H99=""),"",PI()*(($H99/2)^2)*$F99)</f>
        <v/>
      </c>
      <c r="L99" s="27"/>
      <c r="M99" s="27"/>
      <c r="N99" s="27"/>
      <c r="O99" s="27"/>
      <c r="P99" s="16" t="str">
        <f aca="false">IF(OR($L99="",$M99="",$L99=0),"",(($L99-$M99)/$L99)*100)</f>
        <v/>
      </c>
      <c r="Q99" s="15" t="str">
        <f aca="false">IF(OR($M99="",$K99="",$K99=0),"",$M99/$K99)</f>
        <v/>
      </c>
      <c r="R99" s="15" t="str">
        <f aca="false">IF(OR($N99="",$O99=""),"",IF(UPPER($O99)="OC",$N99,IF(UPPER($O99)="LOI",IF(OR(LOI_INTERCEPT="",LOI_SLOPE=""),"",IF(LOI_INTERCEPT+LOI_SLOPE*$N99&lt;0,"",LOI_INTERCEPT+LOI_SLOPE*$N99)),"")))</f>
        <v/>
      </c>
      <c r="S99" s="18" t="str">
        <f aca="false">IF($R99="","",$R99*10)</f>
        <v/>
      </c>
      <c r="T99" s="28" t="str">
        <f aca="false">IF(OR($Q99="",$R99=""),"",$Q99*$R99/100)</f>
        <v/>
      </c>
      <c r="U99" s="29" t="str">
        <f aca="false">IF(OR($T99="",$F99=""),"",$T99*$F99)</f>
        <v/>
      </c>
      <c r="V99" s="15" t="str">
        <f aca="false">IF($U99="","",$U99*10)</f>
        <v/>
      </c>
      <c r="W99" s="15" t="str">
        <f aca="false">IF(OR($V99="",$I99="",$J99="",$J99&lt;=$I99),"",$V99*MAX(0,MIN($J99,15)-MAX($I99,0))/($J99-$I99))</f>
        <v/>
      </c>
      <c r="X99" s="15" t="str">
        <f aca="false">IF(OR($V99="",$I99="",$J99="",$J99&lt;=$I99),"",$V99*MAX(0,MIN($J99,30)-MAX($I99,15))/($J99-$I99))</f>
        <v/>
      </c>
      <c r="Y99" s="15" t="str">
        <f aca="false">IF(OR($V99="",$I99="",$J99="",$J99&lt;=$I99),"",$V99*MAX(0,MIN($J99,50)-MAX($I99,30))/($J99-$I99))</f>
        <v/>
      </c>
      <c r="Z99" s="15" t="str">
        <f aca="false">IF(OR($V99="",$I99="",$J99="",$J99&lt;=$I99),"",$V99*MAX(0,MIN($J99,100)-MAX($I99,50))/($J99-$I99))</f>
        <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
      </c>
    </row>
    <row r="100" customFormat="false" ht="15.75" hidden="false" customHeight="true" outlineLevel="0" collapsed="false">
      <c r="A100" s="14"/>
      <c r="B100" s="14"/>
      <c r="C100" s="24"/>
      <c r="D100" s="24"/>
      <c r="E100" s="14"/>
      <c r="F100" s="16" t="str">
        <f aca="false">IF(OR($C100="",$D100=""),"",$D100-$C100)</f>
        <v/>
      </c>
      <c r="G100" s="25" t="str">
        <f aca="false">IF($A100="","",IFERROR(INDEX('2. Plot &amp; Core Log'!$M$6:$M$35,MATCH($A100,'2. Plot &amp; Core Log'!$B$6:$B$35,0)),""))</f>
        <v/>
      </c>
      <c r="H100" s="26" t="str">
        <f aca="false">IF($A100="","",IFERROR(INDEX('2. Plot &amp; Core Log'!$S$6:$S$35,MATCH($A100,'2. Plot &amp; Core Log'!$B$6:$B$35,0)),""))</f>
        <v/>
      </c>
      <c r="I100" s="16" t="str">
        <f aca="false">IF(OR($C100="",$G100=""),"",$C100*$G100)</f>
        <v/>
      </c>
      <c r="J100" s="16" t="str">
        <f aca="false">IF(OR($D100="",$G100=""),"",$D100*$G100)</f>
        <v/>
      </c>
      <c r="K100" s="16" t="str">
        <f aca="false">IF(OR($F100="",$H100=""),"",PI()*(($H100/2)^2)*$F100)</f>
        <v/>
      </c>
      <c r="L100" s="27"/>
      <c r="M100" s="27"/>
      <c r="N100" s="27"/>
      <c r="O100" s="27"/>
      <c r="P100" s="16" t="str">
        <f aca="false">IF(OR($L100="",$M100="",$L100=0),"",(($L100-$M100)/$L100)*100)</f>
        <v/>
      </c>
      <c r="Q100" s="15" t="str">
        <f aca="false">IF(OR($M100="",$K100="",$K100=0),"",$M100/$K100)</f>
        <v/>
      </c>
      <c r="R100" s="15" t="str">
        <f aca="false">IF(OR($N100="",$O100=""),"",IF(UPPER($O100)="OC",$N100,IF(UPPER($O100)="LOI",IF(OR(LOI_INTERCEPT="",LOI_SLOPE=""),"",IF(LOI_INTERCEPT+LOI_SLOPE*$N100&lt;0,"",LOI_INTERCEPT+LOI_SLOPE*$N100)),"")))</f>
        <v/>
      </c>
      <c r="S100" s="18" t="str">
        <f aca="false">IF($R100="","",$R100*10)</f>
        <v/>
      </c>
      <c r="T100" s="28" t="str">
        <f aca="false">IF(OR($Q100="",$R100=""),"",$Q100*$R100/100)</f>
        <v/>
      </c>
      <c r="U100" s="29" t="str">
        <f aca="false">IF(OR($T100="",$F100=""),"",$T100*$F100)</f>
        <v/>
      </c>
      <c r="V100" s="15" t="str">
        <f aca="false">IF($U100="","",$U100*10)</f>
        <v/>
      </c>
      <c r="W100" s="15" t="str">
        <f aca="false">IF(OR($V100="",$I100="",$J100="",$J100&lt;=$I100),"",$V100*MAX(0,MIN($J100,15)-MAX($I100,0))/($J100-$I100))</f>
        <v/>
      </c>
      <c r="X100" s="15" t="str">
        <f aca="false">IF(OR($V100="",$I100="",$J100="",$J100&lt;=$I100),"",$V100*MAX(0,MIN($J100,30)-MAX($I100,15))/($J100-$I100))</f>
        <v/>
      </c>
      <c r="Y100" s="15" t="str">
        <f aca="false">IF(OR($V100="",$I100="",$J100="",$J100&lt;=$I100),"",$V100*MAX(0,MIN($J100,50)-MAX($I100,30))/($J100-$I100))</f>
        <v/>
      </c>
      <c r="Z100" s="15" t="str">
        <f aca="false">IF(OR($V100="",$I100="",$J100="",$J100&lt;=$I100),"",$V100*MAX(0,MIN($J100,100)-MAX($I100,50))/($J100-$I100))</f>
        <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
      </c>
    </row>
    <row r="101" customFormat="false" ht="15.75" hidden="false" customHeight="true" outlineLevel="0" collapsed="false">
      <c r="A101" s="14"/>
      <c r="B101" s="14"/>
      <c r="C101" s="24"/>
      <c r="D101" s="24"/>
      <c r="E101" s="14"/>
      <c r="F101" s="16" t="str">
        <f aca="false">IF(OR($C101="",$D101=""),"",$D101-$C101)</f>
        <v/>
      </c>
      <c r="G101" s="25" t="str">
        <f aca="false">IF($A101="","",IFERROR(INDEX('2. Plot &amp; Core Log'!$M$6:$M$35,MATCH($A101,'2. Plot &amp; Core Log'!$B$6:$B$35,0)),""))</f>
        <v/>
      </c>
      <c r="H101" s="26" t="str">
        <f aca="false">IF($A101="","",IFERROR(INDEX('2. Plot &amp; Core Log'!$S$6:$S$35,MATCH($A101,'2. Plot &amp; Core Log'!$B$6:$B$35,0)),""))</f>
        <v/>
      </c>
      <c r="I101" s="16" t="str">
        <f aca="false">IF(OR($C101="",$G101=""),"",$C101*$G101)</f>
        <v/>
      </c>
      <c r="J101" s="16" t="str">
        <f aca="false">IF(OR($D101="",$G101=""),"",$D101*$G101)</f>
        <v/>
      </c>
      <c r="K101" s="16" t="str">
        <f aca="false">IF(OR($F101="",$H101=""),"",PI()*(($H101/2)^2)*$F101)</f>
        <v/>
      </c>
      <c r="L101" s="27"/>
      <c r="M101" s="27"/>
      <c r="N101" s="27"/>
      <c r="O101" s="27"/>
      <c r="P101" s="16" t="str">
        <f aca="false">IF(OR($L101="",$M101="",$L101=0),"",(($L101-$M101)/$L101)*100)</f>
        <v/>
      </c>
      <c r="Q101" s="15" t="str">
        <f aca="false">IF(OR($M101="",$K101="",$K101=0),"",$M101/$K101)</f>
        <v/>
      </c>
      <c r="R101" s="15" t="str">
        <f aca="false">IF(OR($N101="",$O101=""),"",IF(UPPER($O101)="OC",$N101,IF(UPPER($O101)="LOI",IF(OR(LOI_INTERCEPT="",LOI_SLOPE=""),"",IF(LOI_INTERCEPT+LOI_SLOPE*$N101&lt;0,"",LOI_INTERCEPT+LOI_SLOPE*$N101)),"")))</f>
        <v/>
      </c>
      <c r="S101" s="18" t="str">
        <f aca="false">IF($R101="","",$R101*10)</f>
        <v/>
      </c>
      <c r="T101" s="28" t="str">
        <f aca="false">IF(OR($Q101="",$R101=""),"",$Q101*$R101/100)</f>
        <v/>
      </c>
      <c r="U101" s="29" t="str">
        <f aca="false">IF(OR($T101="",$F101=""),"",$T101*$F101)</f>
        <v/>
      </c>
      <c r="V101" s="15" t="str">
        <f aca="false">IF($U101="","",$U101*10)</f>
        <v/>
      </c>
      <c r="W101" s="15" t="str">
        <f aca="false">IF(OR($V101="",$I101="",$J101="",$J101&lt;=$I101),"",$V101*MAX(0,MIN($J101,15)-MAX($I101,0))/($J101-$I101))</f>
        <v/>
      </c>
      <c r="X101" s="15" t="str">
        <f aca="false">IF(OR($V101="",$I101="",$J101="",$J101&lt;=$I101),"",$V101*MAX(0,MIN($J101,30)-MAX($I101,15))/($J101-$I101))</f>
        <v/>
      </c>
      <c r="Y101" s="15" t="str">
        <f aca="false">IF(OR($V101="",$I101="",$J101="",$J101&lt;=$I101),"",$V101*MAX(0,MIN($J101,50)-MAX($I101,30))/($J101-$I101))</f>
        <v/>
      </c>
      <c r="Z101" s="15" t="str">
        <f aca="false">IF(OR($V101="",$I101="",$J101="",$J101&lt;=$I101),"",$V101*MAX(0,MIN($J101,100)-MAX($I101,50))/($J101-$I101))</f>
        <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
      </c>
    </row>
    <row r="102" customFormat="false" ht="15.75" hidden="false" customHeight="true" outlineLevel="0" collapsed="false">
      <c r="A102" s="14"/>
      <c r="B102" s="14"/>
      <c r="C102" s="24"/>
      <c r="D102" s="24"/>
      <c r="E102" s="14"/>
      <c r="F102" s="16" t="str">
        <f aca="false">IF(OR($C102="",$D102=""),"",$D102-$C102)</f>
        <v/>
      </c>
      <c r="G102" s="25" t="str">
        <f aca="false">IF($A102="","",IFERROR(INDEX('2. Plot &amp; Core Log'!$M$6:$M$35,MATCH($A102,'2. Plot &amp; Core Log'!$B$6:$B$35,0)),""))</f>
        <v/>
      </c>
      <c r="H102" s="26" t="str">
        <f aca="false">IF($A102="","",IFERROR(INDEX('2. Plot &amp; Core Log'!$S$6:$S$35,MATCH($A102,'2. Plot &amp; Core Log'!$B$6:$B$35,0)),""))</f>
        <v/>
      </c>
      <c r="I102" s="16" t="str">
        <f aca="false">IF(OR($C102="",$G102=""),"",$C102*$G102)</f>
        <v/>
      </c>
      <c r="J102" s="16" t="str">
        <f aca="false">IF(OR($D102="",$G102=""),"",$D102*$G102)</f>
        <v/>
      </c>
      <c r="K102" s="16" t="str">
        <f aca="false">IF(OR($F102="",$H102=""),"",PI()*(($H102/2)^2)*$F102)</f>
        <v/>
      </c>
      <c r="L102" s="27"/>
      <c r="M102" s="27"/>
      <c r="N102" s="27"/>
      <c r="O102" s="27"/>
      <c r="P102" s="16" t="str">
        <f aca="false">IF(OR($L102="",$M102="",$L102=0),"",(($L102-$M102)/$L102)*100)</f>
        <v/>
      </c>
      <c r="Q102" s="15" t="str">
        <f aca="false">IF(OR($M102="",$K102="",$K102=0),"",$M102/$K102)</f>
        <v/>
      </c>
      <c r="R102" s="15" t="str">
        <f aca="false">IF(OR($N102="",$O102=""),"",IF(UPPER($O102)="OC",$N102,IF(UPPER($O102)="LOI",IF(OR(LOI_INTERCEPT="",LOI_SLOPE=""),"",IF(LOI_INTERCEPT+LOI_SLOPE*$N102&lt;0,"",LOI_INTERCEPT+LOI_SLOPE*$N102)),"")))</f>
        <v/>
      </c>
      <c r="S102" s="18" t="str">
        <f aca="false">IF($R102="","",$R102*10)</f>
        <v/>
      </c>
      <c r="T102" s="28" t="str">
        <f aca="false">IF(OR($Q102="",$R102=""),"",$Q102*$R102/100)</f>
        <v/>
      </c>
      <c r="U102" s="29" t="str">
        <f aca="false">IF(OR($T102="",$F102=""),"",$T102*$F102)</f>
        <v/>
      </c>
      <c r="V102" s="15" t="str">
        <f aca="false">IF($U102="","",$U102*10)</f>
        <v/>
      </c>
      <c r="W102" s="15" t="str">
        <f aca="false">IF(OR($V102="",$I102="",$J102="",$J102&lt;=$I102),"",$V102*MAX(0,MIN($J102,15)-MAX($I102,0))/($J102-$I102))</f>
        <v/>
      </c>
      <c r="X102" s="15" t="str">
        <f aca="false">IF(OR($V102="",$I102="",$J102="",$J102&lt;=$I102),"",$V102*MAX(0,MIN($J102,30)-MAX($I102,15))/($J102-$I102))</f>
        <v/>
      </c>
      <c r="Y102" s="15" t="str">
        <f aca="false">IF(OR($V102="",$I102="",$J102="",$J102&lt;=$I102),"",$V102*MAX(0,MIN($J102,50)-MAX($I102,30))/($J102-$I102))</f>
        <v/>
      </c>
      <c r="Z102" s="15" t="str">
        <f aca="false">IF(OR($V102="",$I102="",$J102="",$J102&lt;=$I102),"",$V102*MAX(0,MIN($J102,100)-MAX($I102,50))/($J102-$I102))</f>
        <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
      </c>
    </row>
    <row r="103" customFormat="false" ht="15.75" hidden="false" customHeight="true" outlineLevel="0" collapsed="false">
      <c r="A103" s="14"/>
      <c r="B103" s="14"/>
      <c r="C103" s="24"/>
      <c r="D103" s="24"/>
      <c r="E103" s="14"/>
      <c r="F103" s="16" t="str">
        <f aca="false">IF(OR($C103="",$D103=""),"",$D103-$C103)</f>
        <v/>
      </c>
      <c r="G103" s="25" t="str">
        <f aca="false">IF($A103="","",IFERROR(INDEX('2. Plot &amp; Core Log'!$M$6:$M$35,MATCH($A103,'2. Plot &amp; Core Log'!$B$6:$B$35,0)),""))</f>
        <v/>
      </c>
      <c r="H103" s="26" t="str">
        <f aca="false">IF($A103="","",IFERROR(INDEX('2. Plot &amp; Core Log'!$S$6:$S$35,MATCH($A103,'2. Plot &amp; Core Log'!$B$6:$B$35,0)),""))</f>
        <v/>
      </c>
      <c r="I103" s="16" t="str">
        <f aca="false">IF(OR($C103="",$G103=""),"",$C103*$G103)</f>
        <v/>
      </c>
      <c r="J103" s="16" t="str">
        <f aca="false">IF(OR($D103="",$G103=""),"",$D103*$G103)</f>
        <v/>
      </c>
      <c r="K103" s="16" t="str">
        <f aca="false">IF(OR($F103="",$H103=""),"",PI()*(($H103/2)^2)*$F103)</f>
        <v/>
      </c>
      <c r="L103" s="27"/>
      <c r="M103" s="27"/>
      <c r="N103" s="27"/>
      <c r="O103" s="27"/>
      <c r="P103" s="16" t="str">
        <f aca="false">IF(OR($L103="",$M103="",$L103=0),"",(($L103-$M103)/$L103)*100)</f>
        <v/>
      </c>
      <c r="Q103" s="15" t="str">
        <f aca="false">IF(OR($M103="",$K103="",$K103=0),"",$M103/$K103)</f>
        <v/>
      </c>
      <c r="R103" s="15" t="str">
        <f aca="false">IF(OR($N103="",$O103=""),"",IF(UPPER($O103)="OC",$N103,IF(UPPER($O103)="LOI",IF(OR(LOI_INTERCEPT="",LOI_SLOPE=""),"",IF(LOI_INTERCEPT+LOI_SLOPE*$N103&lt;0,"",LOI_INTERCEPT+LOI_SLOPE*$N103)),"")))</f>
        <v/>
      </c>
      <c r="S103" s="18" t="str">
        <f aca="false">IF($R103="","",$R103*10)</f>
        <v/>
      </c>
      <c r="T103" s="28" t="str">
        <f aca="false">IF(OR($Q103="",$R103=""),"",$Q103*$R103/100)</f>
        <v/>
      </c>
      <c r="U103" s="29" t="str">
        <f aca="false">IF(OR($T103="",$F103=""),"",$T103*$F103)</f>
        <v/>
      </c>
      <c r="V103" s="15" t="str">
        <f aca="false">IF($U103="","",$U103*10)</f>
        <v/>
      </c>
      <c r="W103" s="15" t="str">
        <f aca="false">IF(OR($V103="",$I103="",$J103="",$J103&lt;=$I103),"",$V103*MAX(0,MIN($J103,15)-MAX($I103,0))/($J103-$I103))</f>
        <v/>
      </c>
      <c r="X103" s="15" t="str">
        <f aca="false">IF(OR($V103="",$I103="",$J103="",$J103&lt;=$I103),"",$V103*MAX(0,MIN($J103,30)-MAX($I103,15))/($J103-$I103))</f>
        <v/>
      </c>
      <c r="Y103" s="15" t="str">
        <f aca="false">IF(OR($V103="",$I103="",$J103="",$J103&lt;=$I103),"",$V103*MAX(0,MIN($J103,50)-MAX($I103,30))/($J103-$I103))</f>
        <v/>
      </c>
      <c r="Z103" s="15" t="str">
        <f aca="false">IF(OR($V103="",$I103="",$J103="",$J103&lt;=$I103),"",$V103*MAX(0,MIN($J103,100)-MAX($I103,50))/($J103-$I103))</f>
        <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
      </c>
    </row>
    <row r="104" customFormat="false" ht="15.75" hidden="false" customHeight="true" outlineLevel="0" collapsed="false">
      <c r="A104" s="14"/>
      <c r="B104" s="14"/>
      <c r="C104" s="24"/>
      <c r="D104" s="24"/>
      <c r="E104" s="14"/>
      <c r="F104" s="16" t="str">
        <f aca="false">IF(OR($C104="",$D104=""),"",$D104-$C104)</f>
        <v/>
      </c>
      <c r="G104" s="25" t="str">
        <f aca="false">IF($A104="","",IFERROR(INDEX('2. Plot &amp; Core Log'!$M$6:$M$35,MATCH($A104,'2. Plot &amp; Core Log'!$B$6:$B$35,0)),""))</f>
        <v/>
      </c>
      <c r="H104" s="26" t="str">
        <f aca="false">IF($A104="","",IFERROR(INDEX('2. Plot &amp; Core Log'!$S$6:$S$35,MATCH($A104,'2. Plot &amp; Core Log'!$B$6:$B$35,0)),""))</f>
        <v/>
      </c>
      <c r="I104" s="16" t="str">
        <f aca="false">IF(OR($C104="",$G104=""),"",$C104*$G104)</f>
        <v/>
      </c>
      <c r="J104" s="16" t="str">
        <f aca="false">IF(OR($D104="",$G104=""),"",$D104*$G104)</f>
        <v/>
      </c>
      <c r="K104" s="16" t="str">
        <f aca="false">IF(OR($F104="",$H104=""),"",PI()*(($H104/2)^2)*$F104)</f>
        <v/>
      </c>
      <c r="L104" s="27"/>
      <c r="M104" s="27"/>
      <c r="N104" s="27"/>
      <c r="O104" s="27"/>
      <c r="P104" s="16" t="str">
        <f aca="false">IF(OR($L104="",$M104="",$L104=0),"",(($L104-$M104)/$L104)*100)</f>
        <v/>
      </c>
      <c r="Q104" s="15" t="str">
        <f aca="false">IF(OR($M104="",$K104="",$K104=0),"",$M104/$K104)</f>
        <v/>
      </c>
      <c r="R104" s="15" t="str">
        <f aca="false">IF(OR($N104="",$O104=""),"",IF(UPPER($O104)="OC",$N104,IF(UPPER($O104)="LOI",IF(OR(LOI_INTERCEPT="",LOI_SLOPE=""),"",IF(LOI_INTERCEPT+LOI_SLOPE*$N104&lt;0,"",LOI_INTERCEPT+LOI_SLOPE*$N104)),"")))</f>
        <v/>
      </c>
      <c r="S104" s="18" t="str">
        <f aca="false">IF($R104="","",$R104*10)</f>
        <v/>
      </c>
      <c r="T104" s="28" t="str">
        <f aca="false">IF(OR($Q104="",$R104=""),"",$Q104*$R104/100)</f>
        <v/>
      </c>
      <c r="U104" s="29" t="str">
        <f aca="false">IF(OR($T104="",$F104=""),"",$T104*$F104)</f>
        <v/>
      </c>
      <c r="V104" s="15" t="str">
        <f aca="false">IF($U104="","",$U104*10)</f>
        <v/>
      </c>
      <c r="W104" s="15" t="str">
        <f aca="false">IF(OR($V104="",$I104="",$J104="",$J104&lt;=$I104),"",$V104*MAX(0,MIN($J104,15)-MAX($I104,0))/($J104-$I104))</f>
        <v/>
      </c>
      <c r="X104" s="15" t="str">
        <f aca="false">IF(OR($V104="",$I104="",$J104="",$J104&lt;=$I104),"",$V104*MAX(0,MIN($J104,30)-MAX($I104,15))/($J104-$I104))</f>
        <v/>
      </c>
      <c r="Y104" s="15" t="str">
        <f aca="false">IF(OR($V104="",$I104="",$J104="",$J104&lt;=$I104),"",$V104*MAX(0,MIN($J104,50)-MAX($I104,30))/($J104-$I104))</f>
        <v/>
      </c>
      <c r="Z104" s="15" t="str">
        <f aca="false">IF(OR($V104="",$I104="",$J104="",$J104&lt;=$I104),"",$V104*MAX(0,MIN($J104,100)-MAX($I104,50))/($J104-$I104))</f>
        <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
      </c>
    </row>
    <row r="105" customFormat="false" ht="15.75" hidden="false" customHeight="true" outlineLevel="0" collapsed="false">
      <c r="A105" s="14"/>
      <c r="B105" s="14"/>
      <c r="C105" s="24"/>
      <c r="D105" s="24"/>
      <c r="E105" s="14"/>
      <c r="F105" s="16" t="str">
        <f aca="false">IF(OR($C105="",$D105=""),"",$D105-$C105)</f>
        <v/>
      </c>
      <c r="G105" s="25" t="str">
        <f aca="false">IF($A105="","",IFERROR(INDEX('2. Plot &amp; Core Log'!$M$6:$M$35,MATCH($A105,'2. Plot &amp; Core Log'!$B$6:$B$35,0)),""))</f>
        <v/>
      </c>
      <c r="H105" s="26" t="str">
        <f aca="false">IF($A105="","",IFERROR(INDEX('2. Plot &amp; Core Log'!$S$6:$S$35,MATCH($A105,'2. Plot &amp; Core Log'!$B$6:$B$35,0)),""))</f>
        <v/>
      </c>
      <c r="I105" s="16" t="str">
        <f aca="false">IF(OR($C105="",$G105=""),"",$C105*$G105)</f>
        <v/>
      </c>
      <c r="J105" s="16" t="str">
        <f aca="false">IF(OR($D105="",$G105=""),"",$D105*$G105)</f>
        <v/>
      </c>
      <c r="K105" s="16" t="str">
        <f aca="false">IF(OR($F105="",$H105=""),"",PI()*(($H105/2)^2)*$F105)</f>
        <v/>
      </c>
      <c r="L105" s="27"/>
      <c r="M105" s="27"/>
      <c r="N105" s="27"/>
      <c r="O105" s="27"/>
      <c r="P105" s="16" t="str">
        <f aca="false">IF(OR($L105="",$M105="",$L105=0),"",(($L105-$M105)/$L105)*100)</f>
        <v/>
      </c>
      <c r="Q105" s="15" t="str">
        <f aca="false">IF(OR($M105="",$K105="",$K105=0),"",$M105/$K105)</f>
        <v/>
      </c>
      <c r="R105" s="15" t="str">
        <f aca="false">IF(OR($N105="",$O105=""),"",IF(UPPER($O105)="OC",$N105,IF(UPPER($O105)="LOI",IF(OR(LOI_INTERCEPT="",LOI_SLOPE=""),"",IF(LOI_INTERCEPT+LOI_SLOPE*$N105&lt;0,"",LOI_INTERCEPT+LOI_SLOPE*$N105)),"")))</f>
        <v/>
      </c>
      <c r="S105" s="18" t="str">
        <f aca="false">IF($R105="","",$R105*10)</f>
        <v/>
      </c>
      <c r="T105" s="28" t="str">
        <f aca="false">IF(OR($Q105="",$R105=""),"",$Q105*$R105/100)</f>
        <v/>
      </c>
      <c r="U105" s="29" t="str">
        <f aca="false">IF(OR($T105="",$F105=""),"",$T105*$F105)</f>
        <v/>
      </c>
      <c r="V105" s="15" t="str">
        <f aca="false">IF($U105="","",$U105*10)</f>
        <v/>
      </c>
      <c r="W105" s="15" t="str">
        <f aca="false">IF(OR($V105="",$I105="",$J105="",$J105&lt;=$I105),"",$V105*MAX(0,MIN($J105,15)-MAX($I105,0))/($J105-$I105))</f>
        <v/>
      </c>
      <c r="X105" s="15" t="str">
        <f aca="false">IF(OR($V105="",$I105="",$J105="",$J105&lt;=$I105),"",$V105*MAX(0,MIN($J105,30)-MAX($I105,15))/($J105-$I105))</f>
        <v/>
      </c>
      <c r="Y105" s="15" t="str">
        <f aca="false">IF(OR($V105="",$I105="",$J105="",$J105&lt;=$I105),"",$V105*MAX(0,MIN($J105,50)-MAX($I105,30))/($J105-$I105))</f>
        <v/>
      </c>
      <c r="Z105" s="15" t="str">
        <f aca="false">IF(OR($V105="",$I105="",$J105="",$J105&lt;=$I105),"",$V105*MAX(0,MIN($J105,100)-MAX($I105,50))/($J105-$I105))</f>
        <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
      </c>
    </row>
    <row r="106" customFormat="false" ht="15.75" hidden="false" customHeight="true" outlineLevel="0" collapsed="false">
      <c r="A106" s="14"/>
      <c r="B106" s="14"/>
      <c r="C106" s="24"/>
      <c r="D106" s="24"/>
      <c r="E106" s="14"/>
      <c r="F106" s="16" t="str">
        <f aca="false">IF(OR($C106="",$D106=""),"",$D106-$C106)</f>
        <v/>
      </c>
      <c r="G106" s="25" t="str">
        <f aca="false">IF($A106="","",IFERROR(INDEX('2. Plot &amp; Core Log'!$M$6:$M$35,MATCH($A106,'2. Plot &amp; Core Log'!$B$6:$B$35,0)),""))</f>
        <v/>
      </c>
      <c r="H106" s="26" t="str">
        <f aca="false">IF($A106="","",IFERROR(INDEX('2. Plot &amp; Core Log'!$S$6:$S$35,MATCH($A106,'2. Plot &amp; Core Log'!$B$6:$B$35,0)),""))</f>
        <v/>
      </c>
      <c r="I106" s="16" t="str">
        <f aca="false">IF(OR($C106="",$G106=""),"",$C106*$G106)</f>
        <v/>
      </c>
      <c r="J106" s="16" t="str">
        <f aca="false">IF(OR($D106="",$G106=""),"",$D106*$G106)</f>
        <v/>
      </c>
      <c r="K106" s="16" t="str">
        <f aca="false">IF(OR($F106="",$H106=""),"",PI()*(($H106/2)^2)*$F106)</f>
        <v/>
      </c>
      <c r="L106" s="27"/>
      <c r="M106" s="27"/>
      <c r="N106" s="27"/>
      <c r="O106" s="27"/>
      <c r="P106" s="16" t="str">
        <f aca="false">IF(OR($L106="",$M106="",$L106=0),"",(($L106-$M106)/$L106)*100)</f>
        <v/>
      </c>
      <c r="Q106" s="15" t="str">
        <f aca="false">IF(OR($M106="",$K106="",$K106=0),"",$M106/$K106)</f>
        <v/>
      </c>
      <c r="R106" s="15" t="str">
        <f aca="false">IF(OR($N106="",$O106=""),"",IF(UPPER($O106)="OC",$N106,IF(UPPER($O106)="LOI",IF(OR(LOI_INTERCEPT="",LOI_SLOPE=""),"",IF(LOI_INTERCEPT+LOI_SLOPE*$N106&lt;0,"",LOI_INTERCEPT+LOI_SLOPE*$N106)),"")))</f>
        <v/>
      </c>
      <c r="S106" s="18" t="str">
        <f aca="false">IF($R106="","",$R106*10)</f>
        <v/>
      </c>
      <c r="T106" s="28" t="str">
        <f aca="false">IF(OR($Q106="",$R106=""),"",$Q106*$R106/100)</f>
        <v/>
      </c>
      <c r="U106" s="29" t="str">
        <f aca="false">IF(OR($T106="",$F106=""),"",$T106*$F106)</f>
        <v/>
      </c>
      <c r="V106" s="15" t="str">
        <f aca="false">IF($U106="","",$U106*10)</f>
        <v/>
      </c>
      <c r="W106" s="15" t="str">
        <f aca="false">IF(OR($V106="",$I106="",$J106="",$J106&lt;=$I106),"",$V106*MAX(0,MIN($J106,15)-MAX($I106,0))/($J106-$I106))</f>
        <v/>
      </c>
      <c r="X106" s="15" t="str">
        <f aca="false">IF(OR($V106="",$I106="",$J106="",$J106&lt;=$I106),"",$V106*MAX(0,MIN($J106,30)-MAX($I106,15))/($J106-$I106))</f>
        <v/>
      </c>
      <c r="Y106" s="15" t="str">
        <f aca="false">IF(OR($V106="",$I106="",$J106="",$J106&lt;=$I106),"",$V106*MAX(0,MIN($J106,50)-MAX($I106,30))/($J106-$I106))</f>
        <v/>
      </c>
      <c r="Z106" s="15" t="str">
        <f aca="false">IF(OR($V106="",$I106="",$J106="",$J106&lt;=$I106),"",$V106*MAX(0,MIN($J106,100)-MAX($I106,50))/($J106-$I106))</f>
        <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
      </c>
    </row>
    <row r="107" customFormat="false" ht="15.75" hidden="false" customHeight="true" outlineLevel="0" collapsed="false">
      <c r="A107" s="14"/>
      <c r="B107" s="14"/>
      <c r="C107" s="24"/>
      <c r="D107" s="24"/>
      <c r="E107" s="14"/>
      <c r="F107" s="16" t="str">
        <f aca="false">IF(OR($C107="",$D107=""),"",$D107-$C107)</f>
        <v/>
      </c>
      <c r="G107" s="25" t="str">
        <f aca="false">IF($A107="","",IFERROR(INDEX('2. Plot &amp; Core Log'!$M$6:$M$35,MATCH($A107,'2. Plot &amp; Core Log'!$B$6:$B$35,0)),""))</f>
        <v/>
      </c>
      <c r="H107" s="26" t="str">
        <f aca="false">IF($A107="","",IFERROR(INDEX('2. Plot &amp; Core Log'!$S$6:$S$35,MATCH($A107,'2. Plot &amp; Core Log'!$B$6:$B$35,0)),""))</f>
        <v/>
      </c>
      <c r="I107" s="16" t="str">
        <f aca="false">IF(OR($C107="",$G107=""),"",$C107*$G107)</f>
        <v/>
      </c>
      <c r="J107" s="16" t="str">
        <f aca="false">IF(OR($D107="",$G107=""),"",$D107*$G107)</f>
        <v/>
      </c>
      <c r="K107" s="16" t="str">
        <f aca="false">IF(OR($F107="",$H107=""),"",PI()*(($H107/2)^2)*$F107)</f>
        <v/>
      </c>
      <c r="L107" s="27"/>
      <c r="M107" s="27"/>
      <c r="N107" s="27"/>
      <c r="O107" s="27"/>
      <c r="P107" s="16" t="str">
        <f aca="false">IF(OR($L107="",$M107="",$L107=0),"",(($L107-$M107)/$L107)*100)</f>
        <v/>
      </c>
      <c r="Q107" s="15" t="str">
        <f aca="false">IF(OR($M107="",$K107="",$K107=0),"",$M107/$K107)</f>
        <v/>
      </c>
      <c r="R107" s="15" t="str">
        <f aca="false">IF(OR($N107="",$O107=""),"",IF(UPPER($O107)="OC",$N107,IF(UPPER($O107)="LOI",IF(OR(LOI_INTERCEPT="",LOI_SLOPE=""),"",IF(LOI_INTERCEPT+LOI_SLOPE*$N107&lt;0,"",LOI_INTERCEPT+LOI_SLOPE*$N107)),"")))</f>
        <v/>
      </c>
      <c r="S107" s="18" t="str">
        <f aca="false">IF($R107="","",$R107*10)</f>
        <v/>
      </c>
      <c r="T107" s="28" t="str">
        <f aca="false">IF(OR($Q107="",$R107=""),"",$Q107*$R107/100)</f>
        <v/>
      </c>
      <c r="U107" s="29" t="str">
        <f aca="false">IF(OR($T107="",$F107=""),"",$T107*$F107)</f>
        <v/>
      </c>
      <c r="V107" s="15" t="str">
        <f aca="false">IF($U107="","",$U107*10)</f>
        <v/>
      </c>
      <c r="W107" s="15" t="str">
        <f aca="false">IF(OR($V107="",$I107="",$J107="",$J107&lt;=$I107),"",$V107*MAX(0,MIN($J107,15)-MAX($I107,0))/($J107-$I107))</f>
        <v/>
      </c>
      <c r="X107" s="15" t="str">
        <f aca="false">IF(OR($V107="",$I107="",$J107="",$J107&lt;=$I107),"",$V107*MAX(0,MIN($J107,30)-MAX($I107,15))/($J107-$I107))</f>
        <v/>
      </c>
      <c r="Y107" s="15" t="str">
        <f aca="false">IF(OR($V107="",$I107="",$J107="",$J107&lt;=$I107),"",$V107*MAX(0,MIN($J107,50)-MAX($I107,30))/($J107-$I107))</f>
        <v/>
      </c>
      <c r="Z107" s="15" t="str">
        <f aca="false">IF(OR($V107="",$I107="",$J107="",$J107&lt;=$I107),"",$V107*MAX(0,MIN($J107,100)-MAX($I107,50))/($J107-$I107))</f>
        <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
      </c>
    </row>
    <row r="108" customFormat="false" ht="15.75" hidden="false" customHeight="true" outlineLevel="0" collapsed="false">
      <c r="A108" s="14"/>
      <c r="B108" s="14"/>
      <c r="C108" s="24"/>
      <c r="D108" s="24"/>
      <c r="E108" s="14"/>
      <c r="F108" s="16" t="str">
        <f aca="false">IF(OR($C108="",$D108=""),"",$D108-$C108)</f>
        <v/>
      </c>
      <c r="G108" s="25" t="str">
        <f aca="false">IF($A108="","",IFERROR(INDEX('2. Plot &amp; Core Log'!$M$6:$M$35,MATCH($A108,'2. Plot &amp; Core Log'!$B$6:$B$35,0)),""))</f>
        <v/>
      </c>
      <c r="H108" s="26" t="str">
        <f aca="false">IF($A108="","",IFERROR(INDEX('2. Plot &amp; Core Log'!$S$6:$S$35,MATCH($A108,'2. Plot &amp; Core Log'!$B$6:$B$35,0)),""))</f>
        <v/>
      </c>
      <c r="I108" s="16" t="str">
        <f aca="false">IF(OR($C108="",$G108=""),"",$C108*$G108)</f>
        <v/>
      </c>
      <c r="J108" s="16" t="str">
        <f aca="false">IF(OR($D108="",$G108=""),"",$D108*$G108)</f>
        <v/>
      </c>
      <c r="K108" s="16" t="str">
        <f aca="false">IF(OR($F108="",$H108=""),"",PI()*(($H108/2)^2)*$F108)</f>
        <v/>
      </c>
      <c r="L108" s="27"/>
      <c r="M108" s="27"/>
      <c r="N108" s="27"/>
      <c r="O108" s="27"/>
      <c r="P108" s="16" t="str">
        <f aca="false">IF(OR($L108="",$M108="",$L108=0),"",(($L108-$M108)/$L108)*100)</f>
        <v/>
      </c>
      <c r="Q108" s="15" t="str">
        <f aca="false">IF(OR($M108="",$K108="",$K108=0),"",$M108/$K108)</f>
        <v/>
      </c>
      <c r="R108" s="15" t="str">
        <f aca="false">IF(OR($N108="",$O108=""),"",IF(UPPER($O108)="OC",$N108,IF(UPPER($O108)="LOI",IF(OR(LOI_INTERCEPT="",LOI_SLOPE=""),"",IF(LOI_INTERCEPT+LOI_SLOPE*$N108&lt;0,"",LOI_INTERCEPT+LOI_SLOPE*$N108)),"")))</f>
        <v/>
      </c>
      <c r="S108" s="18" t="str">
        <f aca="false">IF($R108="","",$R108*10)</f>
        <v/>
      </c>
      <c r="T108" s="28" t="str">
        <f aca="false">IF(OR($Q108="",$R108=""),"",$Q108*$R108/100)</f>
        <v/>
      </c>
      <c r="U108" s="29" t="str">
        <f aca="false">IF(OR($T108="",$F108=""),"",$T108*$F108)</f>
        <v/>
      </c>
      <c r="V108" s="15" t="str">
        <f aca="false">IF($U108="","",$U108*10)</f>
        <v/>
      </c>
      <c r="W108" s="15" t="str">
        <f aca="false">IF(OR($V108="",$I108="",$J108="",$J108&lt;=$I108),"",$V108*MAX(0,MIN($J108,15)-MAX($I108,0))/($J108-$I108))</f>
        <v/>
      </c>
      <c r="X108" s="15" t="str">
        <f aca="false">IF(OR($V108="",$I108="",$J108="",$J108&lt;=$I108),"",$V108*MAX(0,MIN($J108,30)-MAX($I108,15))/($J108-$I108))</f>
        <v/>
      </c>
      <c r="Y108" s="15" t="str">
        <f aca="false">IF(OR($V108="",$I108="",$J108="",$J108&lt;=$I108),"",$V108*MAX(0,MIN($J108,50)-MAX($I108,30))/($J108-$I108))</f>
        <v/>
      </c>
      <c r="Z108" s="15" t="str">
        <f aca="false">IF(OR($V108="",$I108="",$J108="",$J108&lt;=$I108),"",$V108*MAX(0,MIN($J108,100)-MAX($I108,50))/($J108-$I108))</f>
        <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
      </c>
    </row>
    <row r="109" customFormat="false" ht="15.75" hidden="false" customHeight="true" outlineLevel="0" collapsed="false">
      <c r="A109" s="14"/>
      <c r="B109" s="14"/>
      <c r="C109" s="24"/>
      <c r="D109" s="24"/>
      <c r="E109" s="14"/>
      <c r="F109" s="16" t="str">
        <f aca="false">IF(OR($C109="",$D109=""),"",$D109-$C109)</f>
        <v/>
      </c>
      <c r="G109" s="25" t="str">
        <f aca="false">IF($A109="","",IFERROR(INDEX('2. Plot &amp; Core Log'!$M$6:$M$35,MATCH($A109,'2. Plot &amp; Core Log'!$B$6:$B$35,0)),""))</f>
        <v/>
      </c>
      <c r="H109" s="26" t="str">
        <f aca="false">IF($A109="","",IFERROR(INDEX('2. Plot &amp; Core Log'!$S$6:$S$35,MATCH($A109,'2. Plot &amp; Core Log'!$B$6:$B$35,0)),""))</f>
        <v/>
      </c>
      <c r="I109" s="16" t="str">
        <f aca="false">IF(OR($C109="",$G109=""),"",$C109*$G109)</f>
        <v/>
      </c>
      <c r="J109" s="16" t="str">
        <f aca="false">IF(OR($D109="",$G109=""),"",$D109*$G109)</f>
        <v/>
      </c>
      <c r="K109" s="16" t="str">
        <f aca="false">IF(OR($F109="",$H109=""),"",PI()*(($H109/2)^2)*$F109)</f>
        <v/>
      </c>
      <c r="L109" s="27"/>
      <c r="M109" s="27"/>
      <c r="N109" s="27"/>
      <c r="O109" s="27"/>
      <c r="P109" s="16" t="str">
        <f aca="false">IF(OR($L109="",$M109="",$L109=0),"",(($L109-$M109)/$L109)*100)</f>
        <v/>
      </c>
      <c r="Q109" s="15" t="str">
        <f aca="false">IF(OR($M109="",$K109="",$K109=0),"",$M109/$K109)</f>
        <v/>
      </c>
      <c r="R109" s="15" t="str">
        <f aca="false">IF(OR($N109="",$O109=""),"",IF(UPPER($O109)="OC",$N109,IF(UPPER($O109)="LOI",IF(OR(LOI_INTERCEPT="",LOI_SLOPE=""),"",IF(LOI_INTERCEPT+LOI_SLOPE*$N109&lt;0,"",LOI_INTERCEPT+LOI_SLOPE*$N109)),"")))</f>
        <v/>
      </c>
      <c r="S109" s="18" t="str">
        <f aca="false">IF($R109="","",$R109*10)</f>
        <v/>
      </c>
      <c r="T109" s="28" t="str">
        <f aca="false">IF(OR($Q109="",$R109=""),"",$Q109*$R109/100)</f>
        <v/>
      </c>
      <c r="U109" s="29" t="str">
        <f aca="false">IF(OR($T109="",$F109=""),"",$T109*$F109)</f>
        <v/>
      </c>
      <c r="V109" s="15" t="str">
        <f aca="false">IF($U109="","",$U109*10)</f>
        <v/>
      </c>
      <c r="W109" s="15" t="str">
        <f aca="false">IF(OR($V109="",$I109="",$J109="",$J109&lt;=$I109),"",$V109*MAX(0,MIN($J109,15)-MAX($I109,0))/($J109-$I109))</f>
        <v/>
      </c>
      <c r="X109" s="15" t="str">
        <f aca="false">IF(OR($V109="",$I109="",$J109="",$J109&lt;=$I109),"",$V109*MAX(0,MIN($J109,30)-MAX($I109,15))/($J109-$I109))</f>
        <v/>
      </c>
      <c r="Y109" s="15" t="str">
        <f aca="false">IF(OR($V109="",$I109="",$J109="",$J109&lt;=$I109),"",$V109*MAX(0,MIN($J109,50)-MAX($I109,30))/($J109-$I109))</f>
        <v/>
      </c>
      <c r="Z109" s="15" t="str">
        <f aca="false">IF(OR($V109="",$I109="",$J109="",$J109&lt;=$I109),"",$V109*MAX(0,MIN($J109,100)-MAX($I109,50))/($J109-$I109))</f>
        <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
      </c>
    </row>
    <row r="110" customFormat="false" ht="15.75" hidden="false" customHeight="true" outlineLevel="0" collapsed="false">
      <c r="A110" s="14"/>
      <c r="B110" s="14"/>
      <c r="C110" s="24"/>
      <c r="D110" s="24"/>
      <c r="E110" s="14"/>
      <c r="F110" s="16" t="str">
        <f aca="false">IF(OR($C110="",$D110=""),"",$D110-$C110)</f>
        <v/>
      </c>
      <c r="G110" s="25" t="str">
        <f aca="false">IF($A110="","",IFERROR(INDEX('2. Plot &amp; Core Log'!$M$6:$M$35,MATCH($A110,'2. Plot &amp; Core Log'!$B$6:$B$35,0)),""))</f>
        <v/>
      </c>
      <c r="H110" s="26" t="str">
        <f aca="false">IF($A110="","",IFERROR(INDEX('2. Plot &amp; Core Log'!$S$6:$S$35,MATCH($A110,'2. Plot &amp; Core Log'!$B$6:$B$35,0)),""))</f>
        <v/>
      </c>
      <c r="I110" s="16" t="str">
        <f aca="false">IF(OR($C110="",$G110=""),"",$C110*$G110)</f>
        <v/>
      </c>
      <c r="J110" s="16" t="str">
        <f aca="false">IF(OR($D110="",$G110=""),"",$D110*$G110)</f>
        <v/>
      </c>
      <c r="K110" s="16" t="str">
        <f aca="false">IF(OR($F110="",$H110=""),"",PI()*(($H110/2)^2)*$F110)</f>
        <v/>
      </c>
      <c r="L110" s="27"/>
      <c r="M110" s="27"/>
      <c r="N110" s="27"/>
      <c r="O110" s="27"/>
      <c r="P110" s="16" t="str">
        <f aca="false">IF(OR($L110="",$M110="",$L110=0),"",(($L110-$M110)/$L110)*100)</f>
        <v/>
      </c>
      <c r="Q110" s="15" t="str">
        <f aca="false">IF(OR($M110="",$K110="",$K110=0),"",$M110/$K110)</f>
        <v/>
      </c>
      <c r="R110" s="15" t="str">
        <f aca="false">IF(OR($N110="",$O110=""),"",IF(UPPER($O110)="OC",$N110,IF(UPPER($O110)="LOI",IF(OR(LOI_INTERCEPT="",LOI_SLOPE=""),"",IF(LOI_INTERCEPT+LOI_SLOPE*$N110&lt;0,"",LOI_INTERCEPT+LOI_SLOPE*$N110)),"")))</f>
        <v/>
      </c>
      <c r="S110" s="18" t="str">
        <f aca="false">IF($R110="","",$R110*10)</f>
        <v/>
      </c>
      <c r="T110" s="28" t="str">
        <f aca="false">IF(OR($Q110="",$R110=""),"",$Q110*$R110/100)</f>
        <v/>
      </c>
      <c r="U110" s="29" t="str">
        <f aca="false">IF(OR($T110="",$F110=""),"",$T110*$F110)</f>
        <v/>
      </c>
      <c r="V110" s="15" t="str">
        <f aca="false">IF($U110="","",$U110*10)</f>
        <v/>
      </c>
      <c r="W110" s="15" t="str">
        <f aca="false">IF(OR($V110="",$I110="",$J110="",$J110&lt;=$I110),"",$V110*MAX(0,MIN($J110,15)-MAX($I110,0))/($J110-$I110))</f>
        <v/>
      </c>
      <c r="X110" s="15" t="str">
        <f aca="false">IF(OR($V110="",$I110="",$J110="",$J110&lt;=$I110),"",$V110*MAX(0,MIN($J110,30)-MAX($I110,15))/($J110-$I110))</f>
        <v/>
      </c>
      <c r="Y110" s="15" t="str">
        <f aca="false">IF(OR($V110="",$I110="",$J110="",$J110&lt;=$I110),"",$V110*MAX(0,MIN($J110,50)-MAX($I110,30))/($J110-$I110))</f>
        <v/>
      </c>
      <c r="Z110" s="15" t="str">
        <f aca="false">IF(OR($V110="",$I110="",$J110="",$J110&lt;=$I110),"",$V110*MAX(0,MIN($J110,100)-MAX($I110,50))/($J110-$I110))</f>
        <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
      </c>
    </row>
    <row r="111" customFormat="false" ht="15.75" hidden="false" customHeight="true" outlineLevel="0" collapsed="false">
      <c r="A111" s="14"/>
      <c r="B111" s="14"/>
      <c r="C111" s="24"/>
      <c r="D111" s="24"/>
      <c r="E111" s="14"/>
      <c r="F111" s="16" t="str">
        <f aca="false">IF(OR($C111="",$D111=""),"",$D111-$C111)</f>
        <v/>
      </c>
      <c r="G111" s="25" t="str">
        <f aca="false">IF($A111="","",IFERROR(INDEX('2. Plot &amp; Core Log'!$M$6:$M$35,MATCH($A111,'2. Plot &amp; Core Log'!$B$6:$B$35,0)),""))</f>
        <v/>
      </c>
      <c r="H111" s="26" t="str">
        <f aca="false">IF($A111="","",IFERROR(INDEX('2. Plot &amp; Core Log'!$S$6:$S$35,MATCH($A111,'2. Plot &amp; Core Log'!$B$6:$B$35,0)),""))</f>
        <v/>
      </c>
      <c r="I111" s="16" t="str">
        <f aca="false">IF(OR($C111="",$G111=""),"",$C111*$G111)</f>
        <v/>
      </c>
      <c r="J111" s="16" t="str">
        <f aca="false">IF(OR($D111="",$G111=""),"",$D111*$G111)</f>
        <v/>
      </c>
      <c r="K111" s="16" t="str">
        <f aca="false">IF(OR($F111="",$H111=""),"",PI()*(($H111/2)^2)*$F111)</f>
        <v/>
      </c>
      <c r="L111" s="27"/>
      <c r="M111" s="27"/>
      <c r="N111" s="27"/>
      <c r="O111" s="27"/>
      <c r="P111" s="16" t="str">
        <f aca="false">IF(OR($L111="",$M111="",$L111=0),"",(($L111-$M111)/$L111)*100)</f>
        <v/>
      </c>
      <c r="Q111" s="15" t="str">
        <f aca="false">IF(OR($M111="",$K111="",$K111=0),"",$M111/$K111)</f>
        <v/>
      </c>
      <c r="R111" s="15" t="str">
        <f aca="false">IF(OR($N111="",$O111=""),"",IF(UPPER($O111)="OC",$N111,IF(UPPER($O111)="LOI",IF(OR(LOI_INTERCEPT="",LOI_SLOPE=""),"",IF(LOI_INTERCEPT+LOI_SLOPE*$N111&lt;0,"",LOI_INTERCEPT+LOI_SLOPE*$N111)),"")))</f>
        <v/>
      </c>
      <c r="S111" s="18" t="str">
        <f aca="false">IF($R111="","",$R111*10)</f>
        <v/>
      </c>
      <c r="T111" s="28" t="str">
        <f aca="false">IF(OR($Q111="",$R111=""),"",$Q111*$R111/100)</f>
        <v/>
      </c>
      <c r="U111" s="29" t="str">
        <f aca="false">IF(OR($T111="",$F111=""),"",$T111*$F111)</f>
        <v/>
      </c>
      <c r="V111" s="15" t="str">
        <f aca="false">IF($U111="","",$U111*10)</f>
        <v/>
      </c>
      <c r="W111" s="15" t="str">
        <f aca="false">IF(OR($V111="",$I111="",$J111="",$J111&lt;=$I111),"",$V111*MAX(0,MIN($J111,15)-MAX($I111,0))/($J111-$I111))</f>
        <v/>
      </c>
      <c r="X111" s="15" t="str">
        <f aca="false">IF(OR($V111="",$I111="",$J111="",$J111&lt;=$I111),"",$V111*MAX(0,MIN($J111,30)-MAX($I111,15))/($J111-$I111))</f>
        <v/>
      </c>
      <c r="Y111" s="15" t="str">
        <f aca="false">IF(OR($V111="",$I111="",$J111="",$J111&lt;=$I111),"",$V111*MAX(0,MIN($J111,50)-MAX($I111,30))/($J111-$I111))</f>
        <v/>
      </c>
      <c r="Z111" s="15" t="str">
        <f aca="false">IF(OR($V111="",$I111="",$J111="",$J111&lt;=$I111),"",$V111*MAX(0,MIN($J111,100)-MAX($I111,50))/($J111-$I111))</f>
        <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
      </c>
    </row>
    <row r="112" customFormat="false" ht="15.75" hidden="false" customHeight="true" outlineLevel="0" collapsed="false">
      <c r="A112" s="14"/>
      <c r="B112" s="14"/>
      <c r="C112" s="24"/>
      <c r="D112" s="24"/>
      <c r="E112" s="14"/>
      <c r="F112" s="16" t="str">
        <f aca="false">IF(OR($C112="",$D112=""),"",$D112-$C112)</f>
        <v/>
      </c>
      <c r="G112" s="25" t="str">
        <f aca="false">IF($A112="","",IFERROR(INDEX('2. Plot &amp; Core Log'!$M$6:$M$35,MATCH($A112,'2. Plot &amp; Core Log'!$B$6:$B$35,0)),""))</f>
        <v/>
      </c>
      <c r="H112" s="26" t="str">
        <f aca="false">IF($A112="","",IFERROR(INDEX('2. Plot &amp; Core Log'!$S$6:$S$35,MATCH($A112,'2. Plot &amp; Core Log'!$B$6:$B$35,0)),""))</f>
        <v/>
      </c>
      <c r="I112" s="16" t="str">
        <f aca="false">IF(OR($C112="",$G112=""),"",$C112*$G112)</f>
        <v/>
      </c>
      <c r="J112" s="16" t="str">
        <f aca="false">IF(OR($D112="",$G112=""),"",$D112*$G112)</f>
        <v/>
      </c>
      <c r="K112" s="16" t="str">
        <f aca="false">IF(OR($F112="",$H112=""),"",PI()*(($H112/2)^2)*$F112)</f>
        <v/>
      </c>
      <c r="L112" s="27"/>
      <c r="M112" s="27"/>
      <c r="N112" s="27"/>
      <c r="O112" s="27"/>
      <c r="P112" s="16" t="str">
        <f aca="false">IF(OR($L112="",$M112="",$L112=0),"",(($L112-$M112)/$L112)*100)</f>
        <v/>
      </c>
      <c r="Q112" s="15" t="str">
        <f aca="false">IF(OR($M112="",$K112="",$K112=0),"",$M112/$K112)</f>
        <v/>
      </c>
      <c r="R112" s="15" t="str">
        <f aca="false">IF(OR($N112="",$O112=""),"",IF(UPPER($O112)="OC",$N112,IF(UPPER($O112)="LOI",IF(OR(LOI_INTERCEPT="",LOI_SLOPE=""),"",IF(LOI_INTERCEPT+LOI_SLOPE*$N112&lt;0,"",LOI_INTERCEPT+LOI_SLOPE*$N112)),"")))</f>
        <v/>
      </c>
      <c r="S112" s="18" t="str">
        <f aca="false">IF($R112="","",$R112*10)</f>
        <v/>
      </c>
      <c r="T112" s="28" t="str">
        <f aca="false">IF(OR($Q112="",$R112=""),"",$Q112*$R112/100)</f>
        <v/>
      </c>
      <c r="U112" s="29" t="str">
        <f aca="false">IF(OR($T112="",$F112=""),"",$T112*$F112)</f>
        <v/>
      </c>
      <c r="V112" s="15" t="str">
        <f aca="false">IF($U112="","",$U112*10)</f>
        <v/>
      </c>
      <c r="W112" s="15" t="str">
        <f aca="false">IF(OR($V112="",$I112="",$J112="",$J112&lt;=$I112),"",$V112*MAX(0,MIN($J112,15)-MAX($I112,0))/($J112-$I112))</f>
        <v/>
      </c>
      <c r="X112" s="15" t="str">
        <f aca="false">IF(OR($V112="",$I112="",$J112="",$J112&lt;=$I112),"",$V112*MAX(0,MIN($J112,30)-MAX($I112,15))/($J112-$I112))</f>
        <v/>
      </c>
      <c r="Y112" s="15" t="str">
        <f aca="false">IF(OR($V112="",$I112="",$J112="",$J112&lt;=$I112),"",$V112*MAX(0,MIN($J112,50)-MAX($I112,30))/($J112-$I112))</f>
        <v/>
      </c>
      <c r="Z112" s="15" t="str">
        <f aca="false">IF(OR($V112="",$I112="",$J112="",$J112&lt;=$I112),"",$V112*MAX(0,MIN($J112,100)-MAX($I112,50))/($J112-$I112))</f>
        <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
      </c>
    </row>
    <row r="113" customFormat="false" ht="15.75" hidden="false" customHeight="true" outlineLevel="0" collapsed="false">
      <c r="A113" s="14"/>
      <c r="B113" s="14"/>
      <c r="C113" s="24"/>
      <c r="D113" s="24"/>
      <c r="E113" s="14"/>
      <c r="F113" s="16" t="str">
        <f aca="false">IF(OR($C113="",$D113=""),"",$D113-$C113)</f>
        <v/>
      </c>
      <c r="G113" s="25" t="str">
        <f aca="false">IF($A113="","",IFERROR(INDEX('2. Plot &amp; Core Log'!$M$6:$M$35,MATCH($A113,'2. Plot &amp; Core Log'!$B$6:$B$35,0)),""))</f>
        <v/>
      </c>
      <c r="H113" s="26" t="str">
        <f aca="false">IF($A113="","",IFERROR(INDEX('2. Plot &amp; Core Log'!$S$6:$S$35,MATCH($A113,'2. Plot &amp; Core Log'!$B$6:$B$35,0)),""))</f>
        <v/>
      </c>
      <c r="I113" s="16" t="str">
        <f aca="false">IF(OR($C113="",$G113=""),"",$C113*$G113)</f>
        <v/>
      </c>
      <c r="J113" s="16" t="str">
        <f aca="false">IF(OR($D113="",$G113=""),"",$D113*$G113)</f>
        <v/>
      </c>
      <c r="K113" s="16" t="str">
        <f aca="false">IF(OR($F113="",$H113=""),"",PI()*(($H113/2)^2)*$F113)</f>
        <v/>
      </c>
      <c r="L113" s="27"/>
      <c r="M113" s="27"/>
      <c r="N113" s="27"/>
      <c r="O113" s="27"/>
      <c r="P113" s="16" t="str">
        <f aca="false">IF(OR($L113="",$M113="",$L113=0),"",(($L113-$M113)/$L113)*100)</f>
        <v/>
      </c>
      <c r="Q113" s="15" t="str">
        <f aca="false">IF(OR($M113="",$K113="",$K113=0),"",$M113/$K113)</f>
        <v/>
      </c>
      <c r="R113" s="15" t="str">
        <f aca="false">IF(OR($N113="",$O113=""),"",IF(UPPER($O113)="OC",$N113,IF(UPPER($O113)="LOI",IF(OR(LOI_INTERCEPT="",LOI_SLOPE=""),"",IF(LOI_INTERCEPT+LOI_SLOPE*$N113&lt;0,"",LOI_INTERCEPT+LOI_SLOPE*$N113)),"")))</f>
        <v/>
      </c>
      <c r="S113" s="18" t="str">
        <f aca="false">IF($R113="","",$R113*10)</f>
        <v/>
      </c>
      <c r="T113" s="28" t="str">
        <f aca="false">IF(OR($Q113="",$R113=""),"",$Q113*$R113/100)</f>
        <v/>
      </c>
      <c r="U113" s="29" t="str">
        <f aca="false">IF(OR($T113="",$F113=""),"",$T113*$F113)</f>
        <v/>
      </c>
      <c r="V113" s="15" t="str">
        <f aca="false">IF($U113="","",$U113*10)</f>
        <v/>
      </c>
      <c r="W113" s="15" t="str">
        <f aca="false">IF(OR($V113="",$I113="",$J113="",$J113&lt;=$I113),"",$V113*MAX(0,MIN($J113,15)-MAX($I113,0))/($J113-$I113))</f>
        <v/>
      </c>
      <c r="X113" s="15" t="str">
        <f aca="false">IF(OR($V113="",$I113="",$J113="",$J113&lt;=$I113),"",$V113*MAX(0,MIN($J113,30)-MAX($I113,15))/($J113-$I113))</f>
        <v/>
      </c>
      <c r="Y113" s="15" t="str">
        <f aca="false">IF(OR($V113="",$I113="",$J113="",$J113&lt;=$I113),"",$V113*MAX(0,MIN($J113,50)-MAX($I113,30))/($J113-$I113))</f>
        <v/>
      </c>
      <c r="Z113" s="15" t="str">
        <f aca="false">IF(OR($V113="",$I113="",$J113="",$J113&lt;=$I113),"",$V113*MAX(0,MIN($J113,100)-MAX($I113,50))/($J113-$I113))</f>
        <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
      </c>
    </row>
    <row r="114" customFormat="false" ht="15.75" hidden="false" customHeight="true" outlineLevel="0" collapsed="false">
      <c r="A114" s="14"/>
      <c r="B114" s="14"/>
      <c r="C114" s="24"/>
      <c r="D114" s="24"/>
      <c r="E114" s="14"/>
      <c r="F114" s="16" t="str">
        <f aca="false">IF(OR($C114="",$D114=""),"",$D114-$C114)</f>
        <v/>
      </c>
      <c r="G114" s="25" t="str">
        <f aca="false">IF($A114="","",IFERROR(INDEX('2. Plot &amp; Core Log'!$M$6:$M$35,MATCH($A114,'2. Plot &amp; Core Log'!$B$6:$B$35,0)),""))</f>
        <v/>
      </c>
      <c r="H114" s="26" t="str">
        <f aca="false">IF($A114="","",IFERROR(INDEX('2. Plot &amp; Core Log'!$S$6:$S$35,MATCH($A114,'2. Plot &amp; Core Log'!$B$6:$B$35,0)),""))</f>
        <v/>
      </c>
      <c r="I114" s="16" t="str">
        <f aca="false">IF(OR($C114="",$G114=""),"",$C114*$G114)</f>
        <v/>
      </c>
      <c r="J114" s="16" t="str">
        <f aca="false">IF(OR($D114="",$G114=""),"",$D114*$G114)</f>
        <v/>
      </c>
      <c r="K114" s="16" t="str">
        <f aca="false">IF(OR($F114="",$H114=""),"",PI()*(($H114/2)^2)*$F114)</f>
        <v/>
      </c>
      <c r="L114" s="27"/>
      <c r="M114" s="27"/>
      <c r="N114" s="27"/>
      <c r="O114" s="27"/>
      <c r="P114" s="16" t="str">
        <f aca="false">IF(OR($L114="",$M114="",$L114=0),"",(($L114-$M114)/$L114)*100)</f>
        <v/>
      </c>
      <c r="Q114" s="15" t="str">
        <f aca="false">IF(OR($M114="",$K114="",$K114=0),"",$M114/$K114)</f>
        <v/>
      </c>
      <c r="R114" s="15" t="str">
        <f aca="false">IF(OR($N114="",$O114=""),"",IF(UPPER($O114)="OC",$N114,IF(UPPER($O114)="LOI",IF(OR(LOI_INTERCEPT="",LOI_SLOPE=""),"",IF(LOI_INTERCEPT+LOI_SLOPE*$N114&lt;0,"",LOI_INTERCEPT+LOI_SLOPE*$N114)),"")))</f>
        <v/>
      </c>
      <c r="S114" s="18" t="str">
        <f aca="false">IF($R114="","",$R114*10)</f>
        <v/>
      </c>
      <c r="T114" s="28" t="str">
        <f aca="false">IF(OR($Q114="",$R114=""),"",$Q114*$R114/100)</f>
        <v/>
      </c>
      <c r="U114" s="29" t="str">
        <f aca="false">IF(OR($T114="",$F114=""),"",$T114*$F114)</f>
        <v/>
      </c>
      <c r="V114" s="15" t="str">
        <f aca="false">IF($U114="","",$U114*10)</f>
        <v/>
      </c>
      <c r="W114" s="15" t="str">
        <f aca="false">IF(OR($V114="",$I114="",$J114="",$J114&lt;=$I114),"",$V114*MAX(0,MIN($J114,15)-MAX($I114,0))/($J114-$I114))</f>
        <v/>
      </c>
      <c r="X114" s="15" t="str">
        <f aca="false">IF(OR($V114="",$I114="",$J114="",$J114&lt;=$I114),"",$V114*MAX(0,MIN($J114,30)-MAX($I114,15))/($J114-$I114))</f>
        <v/>
      </c>
      <c r="Y114" s="15" t="str">
        <f aca="false">IF(OR($V114="",$I114="",$J114="",$J114&lt;=$I114),"",$V114*MAX(0,MIN($J114,50)-MAX($I114,30))/($J114-$I114))</f>
        <v/>
      </c>
      <c r="Z114" s="15" t="str">
        <f aca="false">IF(OR($V114="",$I114="",$J114="",$J114&lt;=$I114),"",$V114*MAX(0,MIN($J114,100)-MAX($I114,50))/($J114-$I114))</f>
        <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
      </c>
    </row>
    <row r="115" customFormat="false" ht="15.75" hidden="false" customHeight="true" outlineLevel="0" collapsed="false">
      <c r="A115" s="14"/>
      <c r="B115" s="14"/>
      <c r="C115" s="24"/>
      <c r="D115" s="24"/>
      <c r="E115" s="14"/>
      <c r="F115" s="16" t="str">
        <f aca="false">IF(OR($C115="",$D115=""),"",$D115-$C115)</f>
        <v/>
      </c>
      <c r="G115" s="25" t="str">
        <f aca="false">IF($A115="","",IFERROR(INDEX('2. Plot &amp; Core Log'!$M$6:$M$35,MATCH($A115,'2. Plot &amp; Core Log'!$B$6:$B$35,0)),""))</f>
        <v/>
      </c>
      <c r="H115" s="26" t="str">
        <f aca="false">IF($A115="","",IFERROR(INDEX('2. Plot &amp; Core Log'!$S$6:$S$35,MATCH($A115,'2. Plot &amp; Core Log'!$B$6:$B$35,0)),""))</f>
        <v/>
      </c>
      <c r="I115" s="16" t="str">
        <f aca="false">IF(OR($C115="",$G115=""),"",$C115*$G115)</f>
        <v/>
      </c>
      <c r="J115" s="16" t="str">
        <f aca="false">IF(OR($D115="",$G115=""),"",$D115*$G115)</f>
        <v/>
      </c>
      <c r="K115" s="16" t="str">
        <f aca="false">IF(OR($F115="",$H115=""),"",PI()*(($H115/2)^2)*$F115)</f>
        <v/>
      </c>
      <c r="L115" s="27"/>
      <c r="M115" s="27"/>
      <c r="N115" s="27"/>
      <c r="O115" s="27"/>
      <c r="P115" s="16" t="str">
        <f aca="false">IF(OR($L115="",$M115="",$L115=0),"",(($L115-$M115)/$L115)*100)</f>
        <v/>
      </c>
      <c r="Q115" s="15" t="str">
        <f aca="false">IF(OR($M115="",$K115="",$K115=0),"",$M115/$K115)</f>
        <v/>
      </c>
      <c r="R115" s="15" t="str">
        <f aca="false">IF(OR($N115="",$O115=""),"",IF(UPPER($O115)="OC",$N115,IF(UPPER($O115)="LOI",IF(OR(LOI_INTERCEPT="",LOI_SLOPE=""),"",IF(LOI_INTERCEPT+LOI_SLOPE*$N115&lt;0,"",LOI_INTERCEPT+LOI_SLOPE*$N115)),"")))</f>
        <v/>
      </c>
      <c r="S115" s="18" t="str">
        <f aca="false">IF($R115="","",$R115*10)</f>
        <v/>
      </c>
      <c r="T115" s="28" t="str">
        <f aca="false">IF(OR($Q115="",$R115=""),"",$Q115*$R115/100)</f>
        <v/>
      </c>
      <c r="U115" s="29" t="str">
        <f aca="false">IF(OR($T115="",$F115=""),"",$T115*$F115)</f>
        <v/>
      </c>
      <c r="V115" s="15" t="str">
        <f aca="false">IF($U115="","",$U115*10)</f>
        <v/>
      </c>
      <c r="W115" s="15" t="str">
        <f aca="false">IF(OR($V115="",$I115="",$J115="",$J115&lt;=$I115),"",$V115*MAX(0,MIN($J115,15)-MAX($I115,0))/($J115-$I115))</f>
        <v/>
      </c>
      <c r="X115" s="15" t="str">
        <f aca="false">IF(OR($V115="",$I115="",$J115="",$J115&lt;=$I115),"",$V115*MAX(0,MIN($J115,30)-MAX($I115,15))/($J115-$I115))</f>
        <v/>
      </c>
      <c r="Y115" s="15" t="str">
        <f aca="false">IF(OR($V115="",$I115="",$J115="",$J115&lt;=$I115),"",$V115*MAX(0,MIN($J115,50)-MAX($I115,30))/($J115-$I115))</f>
        <v/>
      </c>
      <c r="Z115" s="15" t="str">
        <f aca="false">IF(OR($V115="",$I115="",$J115="",$J115&lt;=$I115),"",$V115*MAX(0,MIN($J115,100)-MAX($I115,50))/($J115-$I115))</f>
        <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
      </c>
    </row>
    <row r="116" customFormat="false" ht="15.75" hidden="false" customHeight="true" outlineLevel="0" collapsed="false">
      <c r="A116" s="14"/>
      <c r="B116" s="14"/>
      <c r="C116" s="24"/>
      <c r="D116" s="24"/>
      <c r="E116" s="14"/>
      <c r="F116" s="16" t="str">
        <f aca="false">IF(OR($C116="",$D116=""),"",$D116-$C116)</f>
        <v/>
      </c>
      <c r="G116" s="25" t="str">
        <f aca="false">IF($A116="","",IFERROR(INDEX('2. Plot &amp; Core Log'!$M$6:$M$35,MATCH($A116,'2. Plot &amp; Core Log'!$B$6:$B$35,0)),""))</f>
        <v/>
      </c>
      <c r="H116" s="26" t="str">
        <f aca="false">IF($A116="","",IFERROR(INDEX('2. Plot &amp; Core Log'!$S$6:$S$35,MATCH($A116,'2. Plot &amp; Core Log'!$B$6:$B$35,0)),""))</f>
        <v/>
      </c>
      <c r="I116" s="16" t="str">
        <f aca="false">IF(OR($C116="",$G116=""),"",$C116*$G116)</f>
        <v/>
      </c>
      <c r="J116" s="16" t="str">
        <f aca="false">IF(OR($D116="",$G116=""),"",$D116*$G116)</f>
        <v/>
      </c>
      <c r="K116" s="16" t="str">
        <f aca="false">IF(OR($F116="",$H116=""),"",PI()*(($H116/2)^2)*$F116)</f>
        <v/>
      </c>
      <c r="L116" s="27"/>
      <c r="M116" s="27"/>
      <c r="N116" s="27"/>
      <c r="O116" s="27"/>
      <c r="P116" s="16" t="str">
        <f aca="false">IF(OR($L116="",$M116="",$L116=0),"",(($L116-$M116)/$L116)*100)</f>
        <v/>
      </c>
      <c r="Q116" s="15" t="str">
        <f aca="false">IF(OR($M116="",$K116="",$K116=0),"",$M116/$K116)</f>
        <v/>
      </c>
      <c r="R116" s="15" t="str">
        <f aca="false">IF(OR($N116="",$O116=""),"",IF(UPPER($O116)="OC",$N116,IF(UPPER($O116)="LOI",IF(OR(LOI_INTERCEPT="",LOI_SLOPE=""),"",IF(LOI_INTERCEPT+LOI_SLOPE*$N116&lt;0,"",LOI_INTERCEPT+LOI_SLOPE*$N116)),"")))</f>
        <v/>
      </c>
      <c r="S116" s="18" t="str">
        <f aca="false">IF($R116="","",$R116*10)</f>
        <v/>
      </c>
      <c r="T116" s="28" t="str">
        <f aca="false">IF(OR($Q116="",$R116=""),"",$Q116*$R116/100)</f>
        <v/>
      </c>
      <c r="U116" s="29" t="str">
        <f aca="false">IF(OR($T116="",$F116=""),"",$T116*$F116)</f>
        <v/>
      </c>
      <c r="V116" s="15" t="str">
        <f aca="false">IF($U116="","",$U116*10)</f>
        <v/>
      </c>
      <c r="W116" s="15" t="str">
        <f aca="false">IF(OR($V116="",$I116="",$J116="",$J116&lt;=$I116),"",$V116*MAX(0,MIN($J116,15)-MAX($I116,0))/($J116-$I116))</f>
        <v/>
      </c>
      <c r="X116" s="15" t="str">
        <f aca="false">IF(OR($V116="",$I116="",$J116="",$J116&lt;=$I116),"",$V116*MAX(0,MIN($J116,30)-MAX($I116,15))/($J116-$I116))</f>
        <v/>
      </c>
      <c r="Y116" s="15" t="str">
        <f aca="false">IF(OR($V116="",$I116="",$J116="",$J116&lt;=$I116),"",$V116*MAX(0,MIN($J116,50)-MAX($I116,30))/($J116-$I116))</f>
        <v/>
      </c>
      <c r="Z116" s="15" t="str">
        <f aca="false">IF(OR($V116="",$I116="",$J116="",$J116&lt;=$I116),"",$V116*MAX(0,MIN($J116,100)-MAX($I116,50))/($J116-$I116))</f>
        <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
      </c>
    </row>
    <row r="117" customFormat="false" ht="15.75" hidden="false" customHeight="true" outlineLevel="0" collapsed="false">
      <c r="A117" s="14"/>
      <c r="B117" s="14"/>
      <c r="C117" s="24"/>
      <c r="D117" s="24"/>
      <c r="E117" s="14"/>
      <c r="F117" s="16" t="str">
        <f aca="false">IF(OR($C117="",$D117=""),"",$D117-$C117)</f>
        <v/>
      </c>
      <c r="G117" s="25" t="str">
        <f aca="false">IF($A117="","",IFERROR(INDEX('2. Plot &amp; Core Log'!$M$6:$M$35,MATCH($A117,'2. Plot &amp; Core Log'!$B$6:$B$35,0)),""))</f>
        <v/>
      </c>
      <c r="H117" s="26" t="str">
        <f aca="false">IF($A117="","",IFERROR(INDEX('2. Plot &amp; Core Log'!$S$6:$S$35,MATCH($A117,'2. Plot &amp; Core Log'!$B$6:$B$35,0)),""))</f>
        <v/>
      </c>
      <c r="I117" s="16" t="str">
        <f aca="false">IF(OR($C117="",$G117=""),"",$C117*$G117)</f>
        <v/>
      </c>
      <c r="J117" s="16" t="str">
        <f aca="false">IF(OR($D117="",$G117=""),"",$D117*$G117)</f>
        <v/>
      </c>
      <c r="K117" s="16" t="str">
        <f aca="false">IF(OR($F117="",$H117=""),"",PI()*(($H117/2)^2)*$F117)</f>
        <v/>
      </c>
      <c r="L117" s="27"/>
      <c r="M117" s="27"/>
      <c r="N117" s="27"/>
      <c r="O117" s="27"/>
      <c r="P117" s="16" t="str">
        <f aca="false">IF(OR($L117="",$M117="",$L117=0),"",(($L117-$M117)/$L117)*100)</f>
        <v/>
      </c>
      <c r="Q117" s="15" t="str">
        <f aca="false">IF(OR($M117="",$K117="",$K117=0),"",$M117/$K117)</f>
        <v/>
      </c>
      <c r="R117" s="15" t="str">
        <f aca="false">IF(OR($N117="",$O117=""),"",IF(UPPER($O117)="OC",$N117,IF(UPPER($O117)="LOI",IF(OR(LOI_INTERCEPT="",LOI_SLOPE=""),"",IF(LOI_INTERCEPT+LOI_SLOPE*$N117&lt;0,"",LOI_INTERCEPT+LOI_SLOPE*$N117)),"")))</f>
        <v/>
      </c>
      <c r="S117" s="18" t="str">
        <f aca="false">IF($R117="","",$R117*10)</f>
        <v/>
      </c>
      <c r="T117" s="28" t="str">
        <f aca="false">IF(OR($Q117="",$R117=""),"",$Q117*$R117/100)</f>
        <v/>
      </c>
      <c r="U117" s="29" t="str">
        <f aca="false">IF(OR($T117="",$F117=""),"",$T117*$F117)</f>
        <v/>
      </c>
      <c r="V117" s="15" t="str">
        <f aca="false">IF($U117="","",$U117*10)</f>
        <v/>
      </c>
      <c r="W117" s="15" t="str">
        <f aca="false">IF(OR($V117="",$I117="",$J117="",$J117&lt;=$I117),"",$V117*MAX(0,MIN($J117,15)-MAX($I117,0))/($J117-$I117))</f>
        <v/>
      </c>
      <c r="X117" s="15" t="str">
        <f aca="false">IF(OR($V117="",$I117="",$J117="",$J117&lt;=$I117),"",$V117*MAX(0,MIN($J117,30)-MAX($I117,15))/($J117-$I117))</f>
        <v/>
      </c>
      <c r="Y117" s="15" t="str">
        <f aca="false">IF(OR($V117="",$I117="",$J117="",$J117&lt;=$I117),"",$V117*MAX(0,MIN($J117,50)-MAX($I117,30))/($J117-$I117))</f>
        <v/>
      </c>
      <c r="Z117" s="15" t="str">
        <f aca="false">IF(OR($V117="",$I117="",$J117="",$J117&lt;=$I117),"",$V117*MAX(0,MIN($J117,100)-MAX($I117,50))/($J117-$I117))</f>
        <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
      </c>
    </row>
    <row r="118" customFormat="false" ht="15.75" hidden="false" customHeight="true" outlineLevel="0" collapsed="false">
      <c r="A118" s="14"/>
      <c r="B118" s="14"/>
      <c r="C118" s="24"/>
      <c r="D118" s="24"/>
      <c r="E118" s="14"/>
      <c r="F118" s="16" t="str">
        <f aca="false">IF(OR($C118="",$D118=""),"",$D118-$C118)</f>
        <v/>
      </c>
      <c r="G118" s="25" t="str">
        <f aca="false">IF($A118="","",IFERROR(INDEX('2. Plot &amp; Core Log'!$M$6:$M$35,MATCH($A118,'2. Plot &amp; Core Log'!$B$6:$B$35,0)),""))</f>
        <v/>
      </c>
      <c r="H118" s="26" t="str">
        <f aca="false">IF($A118="","",IFERROR(INDEX('2. Plot &amp; Core Log'!$S$6:$S$35,MATCH($A118,'2. Plot &amp; Core Log'!$B$6:$B$35,0)),""))</f>
        <v/>
      </c>
      <c r="I118" s="16" t="str">
        <f aca="false">IF(OR($C118="",$G118=""),"",$C118*$G118)</f>
        <v/>
      </c>
      <c r="J118" s="16" t="str">
        <f aca="false">IF(OR($D118="",$G118=""),"",$D118*$G118)</f>
        <v/>
      </c>
      <c r="K118" s="16" t="str">
        <f aca="false">IF(OR($F118="",$H118=""),"",PI()*(($H118/2)^2)*$F118)</f>
        <v/>
      </c>
      <c r="L118" s="27"/>
      <c r="M118" s="27"/>
      <c r="N118" s="27"/>
      <c r="O118" s="27"/>
      <c r="P118" s="16" t="str">
        <f aca="false">IF(OR($L118="",$M118="",$L118=0),"",(($L118-$M118)/$L118)*100)</f>
        <v/>
      </c>
      <c r="Q118" s="15" t="str">
        <f aca="false">IF(OR($M118="",$K118="",$K118=0),"",$M118/$K118)</f>
        <v/>
      </c>
      <c r="R118" s="15" t="str">
        <f aca="false">IF(OR($N118="",$O118=""),"",IF(UPPER($O118)="OC",$N118,IF(UPPER($O118)="LOI",IF(OR(LOI_INTERCEPT="",LOI_SLOPE=""),"",IF(LOI_INTERCEPT+LOI_SLOPE*$N118&lt;0,"",LOI_INTERCEPT+LOI_SLOPE*$N118)),"")))</f>
        <v/>
      </c>
      <c r="S118" s="18" t="str">
        <f aca="false">IF($R118="","",$R118*10)</f>
        <v/>
      </c>
      <c r="T118" s="28" t="str">
        <f aca="false">IF(OR($Q118="",$R118=""),"",$Q118*$R118/100)</f>
        <v/>
      </c>
      <c r="U118" s="29" t="str">
        <f aca="false">IF(OR($T118="",$F118=""),"",$T118*$F118)</f>
        <v/>
      </c>
      <c r="V118" s="15" t="str">
        <f aca="false">IF($U118="","",$U118*10)</f>
        <v/>
      </c>
      <c r="W118" s="15" t="str">
        <f aca="false">IF(OR($V118="",$I118="",$J118="",$J118&lt;=$I118),"",$V118*MAX(0,MIN($J118,15)-MAX($I118,0))/($J118-$I118))</f>
        <v/>
      </c>
      <c r="X118" s="15" t="str">
        <f aca="false">IF(OR($V118="",$I118="",$J118="",$J118&lt;=$I118),"",$V118*MAX(0,MIN($J118,30)-MAX($I118,15))/($J118-$I118))</f>
        <v/>
      </c>
      <c r="Y118" s="15" t="str">
        <f aca="false">IF(OR($V118="",$I118="",$J118="",$J118&lt;=$I118),"",$V118*MAX(0,MIN($J118,50)-MAX($I118,30))/($J118-$I118))</f>
        <v/>
      </c>
      <c r="Z118" s="15" t="str">
        <f aca="false">IF(OR($V118="",$I118="",$J118="",$J118&lt;=$I118),"",$V118*MAX(0,MIN($J118,100)-MAX($I118,50))/($J118-$I118))</f>
        <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
      </c>
    </row>
    <row r="119" customFormat="false" ht="15.75" hidden="false" customHeight="true" outlineLevel="0" collapsed="false">
      <c r="A119" s="14"/>
      <c r="B119" s="14"/>
      <c r="C119" s="24"/>
      <c r="D119" s="24"/>
      <c r="E119" s="14"/>
      <c r="F119" s="16" t="str">
        <f aca="false">IF(OR($C119="",$D119=""),"",$D119-$C119)</f>
        <v/>
      </c>
      <c r="G119" s="25" t="str">
        <f aca="false">IF($A119="","",IFERROR(INDEX('2. Plot &amp; Core Log'!$M$6:$M$35,MATCH($A119,'2. Plot &amp; Core Log'!$B$6:$B$35,0)),""))</f>
        <v/>
      </c>
      <c r="H119" s="26" t="str">
        <f aca="false">IF($A119="","",IFERROR(INDEX('2. Plot &amp; Core Log'!$S$6:$S$35,MATCH($A119,'2. Plot &amp; Core Log'!$B$6:$B$35,0)),""))</f>
        <v/>
      </c>
      <c r="I119" s="16" t="str">
        <f aca="false">IF(OR($C119="",$G119=""),"",$C119*$G119)</f>
        <v/>
      </c>
      <c r="J119" s="16" t="str">
        <f aca="false">IF(OR($D119="",$G119=""),"",$D119*$G119)</f>
        <v/>
      </c>
      <c r="K119" s="16" t="str">
        <f aca="false">IF(OR($F119="",$H119=""),"",PI()*(($H119/2)^2)*$F119)</f>
        <v/>
      </c>
      <c r="L119" s="27"/>
      <c r="M119" s="27"/>
      <c r="N119" s="27"/>
      <c r="O119" s="27"/>
      <c r="P119" s="16" t="str">
        <f aca="false">IF(OR($L119="",$M119="",$L119=0),"",(($L119-$M119)/$L119)*100)</f>
        <v/>
      </c>
      <c r="Q119" s="15" t="str">
        <f aca="false">IF(OR($M119="",$K119="",$K119=0),"",$M119/$K119)</f>
        <v/>
      </c>
      <c r="R119" s="15" t="str">
        <f aca="false">IF(OR($N119="",$O119=""),"",IF(UPPER($O119)="OC",$N119,IF(UPPER($O119)="LOI",IF(OR(LOI_INTERCEPT="",LOI_SLOPE=""),"",IF(LOI_INTERCEPT+LOI_SLOPE*$N119&lt;0,"",LOI_INTERCEPT+LOI_SLOPE*$N119)),"")))</f>
        <v/>
      </c>
      <c r="S119" s="18" t="str">
        <f aca="false">IF($R119="","",$R119*10)</f>
        <v/>
      </c>
      <c r="T119" s="28" t="str">
        <f aca="false">IF(OR($Q119="",$R119=""),"",$Q119*$R119/100)</f>
        <v/>
      </c>
      <c r="U119" s="29" t="str">
        <f aca="false">IF(OR($T119="",$F119=""),"",$T119*$F119)</f>
        <v/>
      </c>
      <c r="V119" s="15" t="str">
        <f aca="false">IF($U119="","",$U119*10)</f>
        <v/>
      </c>
      <c r="W119" s="15" t="str">
        <f aca="false">IF(OR($V119="",$I119="",$J119="",$J119&lt;=$I119),"",$V119*MAX(0,MIN($J119,15)-MAX($I119,0))/($J119-$I119))</f>
        <v/>
      </c>
      <c r="X119" s="15" t="str">
        <f aca="false">IF(OR($V119="",$I119="",$J119="",$J119&lt;=$I119),"",$V119*MAX(0,MIN($J119,30)-MAX($I119,15))/($J119-$I119))</f>
        <v/>
      </c>
      <c r="Y119" s="15" t="str">
        <f aca="false">IF(OR($V119="",$I119="",$J119="",$J119&lt;=$I119),"",$V119*MAX(0,MIN($J119,50)-MAX($I119,30))/($J119-$I119))</f>
        <v/>
      </c>
      <c r="Z119" s="15" t="str">
        <f aca="false">IF(OR($V119="",$I119="",$J119="",$J119&lt;=$I119),"",$V119*MAX(0,MIN($J119,100)-MAX($I119,50))/($J119-$I119))</f>
        <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
      </c>
    </row>
    <row r="120" customFormat="false" ht="15.75" hidden="false" customHeight="true" outlineLevel="0" collapsed="false">
      <c r="A120" s="14"/>
      <c r="B120" s="14"/>
      <c r="C120" s="24"/>
      <c r="D120" s="24"/>
      <c r="E120" s="14"/>
      <c r="F120" s="16" t="str">
        <f aca="false">IF(OR($C120="",$D120=""),"",$D120-$C120)</f>
        <v/>
      </c>
      <c r="G120" s="25" t="str">
        <f aca="false">IF($A120="","",IFERROR(INDEX('2. Plot &amp; Core Log'!$M$6:$M$35,MATCH($A120,'2. Plot &amp; Core Log'!$B$6:$B$35,0)),""))</f>
        <v/>
      </c>
      <c r="H120" s="26" t="str">
        <f aca="false">IF($A120="","",IFERROR(INDEX('2. Plot &amp; Core Log'!$S$6:$S$35,MATCH($A120,'2. Plot &amp; Core Log'!$B$6:$B$35,0)),""))</f>
        <v/>
      </c>
      <c r="I120" s="16" t="str">
        <f aca="false">IF(OR($C120="",$G120=""),"",$C120*$G120)</f>
        <v/>
      </c>
      <c r="J120" s="16" t="str">
        <f aca="false">IF(OR($D120="",$G120=""),"",$D120*$G120)</f>
        <v/>
      </c>
      <c r="K120" s="16" t="str">
        <f aca="false">IF(OR($F120="",$H120=""),"",PI()*(($H120/2)^2)*$F120)</f>
        <v/>
      </c>
      <c r="L120" s="27"/>
      <c r="M120" s="27"/>
      <c r="N120" s="27"/>
      <c r="O120" s="27"/>
      <c r="P120" s="16" t="str">
        <f aca="false">IF(OR($L120="",$M120="",$L120=0),"",(($L120-$M120)/$L120)*100)</f>
        <v/>
      </c>
      <c r="Q120" s="15" t="str">
        <f aca="false">IF(OR($M120="",$K120="",$K120=0),"",$M120/$K120)</f>
        <v/>
      </c>
      <c r="R120" s="15" t="str">
        <f aca="false">IF(OR($N120="",$O120=""),"",IF(UPPER($O120)="OC",$N120,IF(UPPER($O120)="LOI",IF(OR(LOI_INTERCEPT="",LOI_SLOPE=""),"",IF(LOI_INTERCEPT+LOI_SLOPE*$N120&lt;0,"",LOI_INTERCEPT+LOI_SLOPE*$N120)),"")))</f>
        <v/>
      </c>
      <c r="S120" s="18" t="str">
        <f aca="false">IF($R120="","",$R120*10)</f>
        <v/>
      </c>
      <c r="T120" s="28" t="str">
        <f aca="false">IF(OR($Q120="",$R120=""),"",$Q120*$R120/100)</f>
        <v/>
      </c>
      <c r="U120" s="29" t="str">
        <f aca="false">IF(OR($T120="",$F120=""),"",$T120*$F120)</f>
        <v/>
      </c>
      <c r="V120" s="15" t="str">
        <f aca="false">IF($U120="","",$U120*10)</f>
        <v/>
      </c>
      <c r="W120" s="15" t="str">
        <f aca="false">IF(OR($V120="",$I120="",$J120="",$J120&lt;=$I120),"",$V120*MAX(0,MIN($J120,15)-MAX($I120,0))/($J120-$I120))</f>
        <v/>
      </c>
      <c r="X120" s="15" t="str">
        <f aca="false">IF(OR($V120="",$I120="",$J120="",$J120&lt;=$I120),"",$V120*MAX(0,MIN($J120,30)-MAX($I120,15))/($J120-$I120))</f>
        <v/>
      </c>
      <c r="Y120" s="15" t="str">
        <f aca="false">IF(OR($V120="",$I120="",$J120="",$J120&lt;=$I120),"",$V120*MAX(0,MIN($J120,50)-MAX($I120,30))/($J120-$I120))</f>
        <v/>
      </c>
      <c r="Z120" s="15" t="str">
        <f aca="false">IF(OR($V120="",$I120="",$J120="",$J120&lt;=$I120),"",$V120*MAX(0,MIN($J120,100)-MAX($I120,50))/($J120-$I120))</f>
        <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
      </c>
    </row>
    <row r="121" customFormat="false" ht="15.75" hidden="false" customHeight="true" outlineLevel="0" collapsed="false">
      <c r="A121" s="14"/>
      <c r="B121" s="14"/>
      <c r="C121" s="24"/>
      <c r="D121" s="24"/>
      <c r="E121" s="14"/>
      <c r="F121" s="16" t="str">
        <f aca="false">IF(OR($C121="",$D121=""),"",$D121-$C121)</f>
        <v/>
      </c>
      <c r="G121" s="25" t="str">
        <f aca="false">IF($A121="","",IFERROR(INDEX('2. Plot &amp; Core Log'!$M$6:$M$35,MATCH($A121,'2. Plot &amp; Core Log'!$B$6:$B$35,0)),""))</f>
        <v/>
      </c>
      <c r="H121" s="26" t="str">
        <f aca="false">IF($A121="","",IFERROR(INDEX('2. Plot &amp; Core Log'!$S$6:$S$35,MATCH($A121,'2. Plot &amp; Core Log'!$B$6:$B$35,0)),""))</f>
        <v/>
      </c>
      <c r="I121" s="16" t="str">
        <f aca="false">IF(OR($C121="",$G121=""),"",$C121*$G121)</f>
        <v/>
      </c>
      <c r="J121" s="16" t="str">
        <f aca="false">IF(OR($D121="",$G121=""),"",$D121*$G121)</f>
        <v/>
      </c>
      <c r="K121" s="16" t="str">
        <f aca="false">IF(OR($F121="",$H121=""),"",PI()*(($H121/2)^2)*$F121)</f>
        <v/>
      </c>
      <c r="L121" s="27"/>
      <c r="M121" s="27"/>
      <c r="N121" s="27"/>
      <c r="O121" s="27"/>
      <c r="P121" s="16" t="str">
        <f aca="false">IF(OR($L121="",$M121="",$L121=0),"",(($L121-$M121)/$L121)*100)</f>
        <v/>
      </c>
      <c r="Q121" s="15" t="str">
        <f aca="false">IF(OR($M121="",$K121="",$K121=0),"",$M121/$K121)</f>
        <v/>
      </c>
      <c r="R121" s="15" t="str">
        <f aca="false">IF(OR($N121="",$O121=""),"",IF(UPPER($O121)="OC",$N121,IF(UPPER($O121)="LOI",IF(OR(LOI_INTERCEPT="",LOI_SLOPE=""),"",IF(LOI_INTERCEPT+LOI_SLOPE*$N121&lt;0,"",LOI_INTERCEPT+LOI_SLOPE*$N121)),"")))</f>
        <v/>
      </c>
      <c r="S121" s="18" t="str">
        <f aca="false">IF($R121="","",$R121*10)</f>
        <v/>
      </c>
      <c r="T121" s="28" t="str">
        <f aca="false">IF(OR($Q121="",$R121=""),"",$Q121*$R121/100)</f>
        <v/>
      </c>
      <c r="U121" s="29" t="str">
        <f aca="false">IF(OR($T121="",$F121=""),"",$T121*$F121)</f>
        <v/>
      </c>
      <c r="V121" s="15" t="str">
        <f aca="false">IF($U121="","",$U121*10)</f>
        <v/>
      </c>
      <c r="W121" s="15" t="str">
        <f aca="false">IF(OR($V121="",$I121="",$J121="",$J121&lt;=$I121),"",$V121*MAX(0,MIN($J121,15)-MAX($I121,0))/($J121-$I121))</f>
        <v/>
      </c>
      <c r="X121" s="15" t="str">
        <f aca="false">IF(OR($V121="",$I121="",$J121="",$J121&lt;=$I121),"",$V121*MAX(0,MIN($J121,30)-MAX($I121,15))/($J121-$I121))</f>
        <v/>
      </c>
      <c r="Y121" s="15" t="str">
        <f aca="false">IF(OR($V121="",$I121="",$J121="",$J121&lt;=$I121),"",$V121*MAX(0,MIN($J121,50)-MAX($I121,30))/($J121-$I121))</f>
        <v/>
      </c>
      <c r="Z121" s="15" t="str">
        <f aca="false">IF(OR($V121="",$I121="",$J121="",$J121&lt;=$I121),"",$V121*MAX(0,MIN($J121,100)-MAX($I121,50))/($J121-$I121))</f>
        <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
      </c>
    </row>
    <row r="122" customFormat="false" ht="15.75" hidden="false" customHeight="true" outlineLevel="0" collapsed="false">
      <c r="A122" s="14"/>
      <c r="B122" s="14"/>
      <c r="C122" s="24"/>
      <c r="D122" s="24"/>
      <c r="E122" s="14"/>
      <c r="F122" s="16" t="str">
        <f aca="false">IF(OR($C122="",$D122=""),"",$D122-$C122)</f>
        <v/>
      </c>
      <c r="G122" s="25" t="str">
        <f aca="false">IF($A122="","",IFERROR(INDEX('2. Plot &amp; Core Log'!$M$6:$M$35,MATCH($A122,'2. Plot &amp; Core Log'!$B$6:$B$35,0)),""))</f>
        <v/>
      </c>
      <c r="H122" s="26" t="str">
        <f aca="false">IF($A122="","",IFERROR(INDEX('2. Plot &amp; Core Log'!$S$6:$S$35,MATCH($A122,'2. Plot &amp; Core Log'!$B$6:$B$35,0)),""))</f>
        <v/>
      </c>
      <c r="I122" s="16" t="str">
        <f aca="false">IF(OR($C122="",$G122=""),"",$C122*$G122)</f>
        <v/>
      </c>
      <c r="J122" s="16" t="str">
        <f aca="false">IF(OR($D122="",$G122=""),"",$D122*$G122)</f>
        <v/>
      </c>
      <c r="K122" s="16" t="str">
        <f aca="false">IF(OR($F122="",$H122=""),"",PI()*(($H122/2)^2)*$F122)</f>
        <v/>
      </c>
      <c r="L122" s="27"/>
      <c r="M122" s="27"/>
      <c r="N122" s="27"/>
      <c r="O122" s="27"/>
      <c r="P122" s="16" t="str">
        <f aca="false">IF(OR($L122="",$M122="",$L122=0),"",(($L122-$M122)/$L122)*100)</f>
        <v/>
      </c>
      <c r="Q122" s="15" t="str">
        <f aca="false">IF(OR($M122="",$K122="",$K122=0),"",$M122/$K122)</f>
        <v/>
      </c>
      <c r="R122" s="15" t="str">
        <f aca="false">IF(OR($N122="",$O122=""),"",IF(UPPER($O122)="OC",$N122,IF(UPPER($O122)="LOI",IF(OR(LOI_INTERCEPT="",LOI_SLOPE=""),"",IF(LOI_INTERCEPT+LOI_SLOPE*$N122&lt;0,"",LOI_INTERCEPT+LOI_SLOPE*$N122)),"")))</f>
        <v/>
      </c>
      <c r="S122" s="18" t="str">
        <f aca="false">IF($R122="","",$R122*10)</f>
        <v/>
      </c>
      <c r="T122" s="28" t="str">
        <f aca="false">IF(OR($Q122="",$R122=""),"",$Q122*$R122/100)</f>
        <v/>
      </c>
      <c r="U122" s="29" t="str">
        <f aca="false">IF(OR($T122="",$F122=""),"",$T122*$F122)</f>
        <v/>
      </c>
      <c r="V122" s="15" t="str">
        <f aca="false">IF($U122="","",$U122*10)</f>
        <v/>
      </c>
      <c r="W122" s="15" t="str">
        <f aca="false">IF(OR($V122="",$I122="",$J122="",$J122&lt;=$I122),"",$V122*MAX(0,MIN($J122,15)-MAX($I122,0))/($J122-$I122))</f>
        <v/>
      </c>
      <c r="X122" s="15" t="str">
        <f aca="false">IF(OR($V122="",$I122="",$J122="",$J122&lt;=$I122),"",$V122*MAX(0,MIN($J122,30)-MAX($I122,15))/($J122-$I122))</f>
        <v/>
      </c>
      <c r="Y122" s="15" t="str">
        <f aca="false">IF(OR($V122="",$I122="",$J122="",$J122&lt;=$I122),"",$V122*MAX(0,MIN($J122,50)-MAX($I122,30))/($J122-$I122))</f>
        <v/>
      </c>
      <c r="Z122" s="15" t="str">
        <f aca="false">IF(OR($V122="",$I122="",$J122="",$J122&lt;=$I122),"",$V122*MAX(0,MIN($J122,100)-MAX($I122,50))/($J122-$I122))</f>
        <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
      </c>
    </row>
    <row r="123" customFormat="false" ht="15.75" hidden="false" customHeight="true" outlineLevel="0" collapsed="false">
      <c r="A123" s="14"/>
      <c r="B123" s="14"/>
      <c r="C123" s="24"/>
      <c r="D123" s="24"/>
      <c r="E123" s="14"/>
      <c r="F123" s="16" t="str">
        <f aca="false">IF(OR($C123="",$D123=""),"",$D123-$C123)</f>
        <v/>
      </c>
      <c r="G123" s="25" t="str">
        <f aca="false">IF($A123="","",IFERROR(INDEX('2. Plot &amp; Core Log'!$M$6:$M$35,MATCH($A123,'2. Plot &amp; Core Log'!$B$6:$B$35,0)),""))</f>
        <v/>
      </c>
      <c r="H123" s="26" t="str">
        <f aca="false">IF($A123="","",IFERROR(INDEX('2. Plot &amp; Core Log'!$S$6:$S$35,MATCH($A123,'2. Plot &amp; Core Log'!$B$6:$B$35,0)),""))</f>
        <v/>
      </c>
      <c r="I123" s="16" t="str">
        <f aca="false">IF(OR($C123="",$G123=""),"",$C123*$G123)</f>
        <v/>
      </c>
      <c r="J123" s="16" t="str">
        <f aca="false">IF(OR($D123="",$G123=""),"",$D123*$G123)</f>
        <v/>
      </c>
      <c r="K123" s="16" t="str">
        <f aca="false">IF(OR($F123="",$H123=""),"",PI()*(($H123/2)^2)*$F123)</f>
        <v/>
      </c>
      <c r="L123" s="27"/>
      <c r="M123" s="27"/>
      <c r="N123" s="27"/>
      <c r="O123" s="27"/>
      <c r="P123" s="16" t="str">
        <f aca="false">IF(OR($L123="",$M123="",$L123=0),"",(($L123-$M123)/$L123)*100)</f>
        <v/>
      </c>
      <c r="Q123" s="15" t="str">
        <f aca="false">IF(OR($M123="",$K123="",$K123=0),"",$M123/$K123)</f>
        <v/>
      </c>
      <c r="R123" s="15" t="str">
        <f aca="false">IF(OR($N123="",$O123=""),"",IF(UPPER($O123)="OC",$N123,IF(UPPER($O123)="LOI",IF(OR(LOI_INTERCEPT="",LOI_SLOPE=""),"",IF(LOI_INTERCEPT+LOI_SLOPE*$N123&lt;0,"",LOI_INTERCEPT+LOI_SLOPE*$N123)),"")))</f>
        <v/>
      </c>
      <c r="S123" s="18" t="str">
        <f aca="false">IF($R123="","",$R123*10)</f>
        <v/>
      </c>
      <c r="T123" s="28" t="str">
        <f aca="false">IF(OR($Q123="",$R123=""),"",$Q123*$R123/100)</f>
        <v/>
      </c>
      <c r="U123" s="29" t="str">
        <f aca="false">IF(OR($T123="",$F123=""),"",$T123*$F123)</f>
        <v/>
      </c>
      <c r="V123" s="15" t="str">
        <f aca="false">IF($U123="","",$U123*10)</f>
        <v/>
      </c>
      <c r="W123" s="15" t="str">
        <f aca="false">IF(OR($V123="",$I123="",$J123="",$J123&lt;=$I123),"",$V123*MAX(0,MIN($J123,15)-MAX($I123,0))/($J123-$I123))</f>
        <v/>
      </c>
      <c r="X123" s="15" t="str">
        <f aca="false">IF(OR($V123="",$I123="",$J123="",$J123&lt;=$I123),"",$V123*MAX(0,MIN($J123,30)-MAX($I123,15))/($J123-$I123))</f>
        <v/>
      </c>
      <c r="Y123" s="15" t="str">
        <f aca="false">IF(OR($V123="",$I123="",$J123="",$J123&lt;=$I123),"",$V123*MAX(0,MIN($J123,50)-MAX($I123,30))/($J123-$I123))</f>
        <v/>
      </c>
      <c r="Z123" s="15" t="str">
        <f aca="false">IF(OR($V123="",$I123="",$J123="",$J123&lt;=$I123),"",$V123*MAX(0,MIN($J123,100)-MAX($I123,50))/($J123-$I123))</f>
        <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
      </c>
    </row>
    <row r="124" customFormat="false" ht="15.75" hidden="false" customHeight="true" outlineLevel="0" collapsed="false">
      <c r="A124" s="14"/>
      <c r="B124" s="14"/>
      <c r="C124" s="24"/>
      <c r="D124" s="24"/>
      <c r="E124" s="14"/>
      <c r="F124" s="16" t="str">
        <f aca="false">IF(OR($C124="",$D124=""),"",$D124-$C124)</f>
        <v/>
      </c>
      <c r="G124" s="25" t="str">
        <f aca="false">IF($A124="","",IFERROR(INDEX('2. Plot &amp; Core Log'!$M$6:$M$35,MATCH($A124,'2. Plot &amp; Core Log'!$B$6:$B$35,0)),""))</f>
        <v/>
      </c>
      <c r="H124" s="26" t="str">
        <f aca="false">IF($A124="","",IFERROR(INDEX('2. Plot &amp; Core Log'!$S$6:$S$35,MATCH($A124,'2. Plot &amp; Core Log'!$B$6:$B$35,0)),""))</f>
        <v/>
      </c>
      <c r="I124" s="16" t="str">
        <f aca="false">IF(OR($C124="",$G124=""),"",$C124*$G124)</f>
        <v/>
      </c>
      <c r="J124" s="16" t="str">
        <f aca="false">IF(OR($D124="",$G124=""),"",$D124*$G124)</f>
        <v/>
      </c>
      <c r="K124" s="16" t="str">
        <f aca="false">IF(OR($F124="",$H124=""),"",PI()*(($H124/2)^2)*$F124)</f>
        <v/>
      </c>
      <c r="L124" s="27"/>
      <c r="M124" s="27"/>
      <c r="N124" s="27"/>
      <c r="O124" s="27"/>
      <c r="P124" s="16" t="str">
        <f aca="false">IF(OR($L124="",$M124="",$L124=0),"",(($L124-$M124)/$L124)*100)</f>
        <v/>
      </c>
      <c r="Q124" s="15" t="str">
        <f aca="false">IF(OR($M124="",$K124="",$K124=0),"",$M124/$K124)</f>
        <v/>
      </c>
      <c r="R124" s="15" t="str">
        <f aca="false">IF(OR($N124="",$O124=""),"",IF(UPPER($O124)="OC",$N124,IF(UPPER($O124)="LOI",IF(OR(LOI_INTERCEPT="",LOI_SLOPE=""),"",IF(LOI_INTERCEPT+LOI_SLOPE*$N124&lt;0,"",LOI_INTERCEPT+LOI_SLOPE*$N124)),"")))</f>
        <v/>
      </c>
      <c r="S124" s="18" t="str">
        <f aca="false">IF($R124="","",$R124*10)</f>
        <v/>
      </c>
      <c r="T124" s="28" t="str">
        <f aca="false">IF(OR($Q124="",$R124=""),"",$Q124*$R124/100)</f>
        <v/>
      </c>
      <c r="U124" s="29" t="str">
        <f aca="false">IF(OR($T124="",$F124=""),"",$T124*$F124)</f>
        <v/>
      </c>
      <c r="V124" s="15" t="str">
        <f aca="false">IF($U124="","",$U124*10)</f>
        <v/>
      </c>
      <c r="W124" s="15" t="str">
        <f aca="false">IF(OR($V124="",$I124="",$J124="",$J124&lt;=$I124),"",$V124*MAX(0,MIN($J124,15)-MAX($I124,0))/($J124-$I124))</f>
        <v/>
      </c>
      <c r="X124" s="15" t="str">
        <f aca="false">IF(OR($V124="",$I124="",$J124="",$J124&lt;=$I124),"",$V124*MAX(0,MIN($J124,30)-MAX($I124,15))/($J124-$I124))</f>
        <v/>
      </c>
      <c r="Y124" s="15" t="str">
        <f aca="false">IF(OR($V124="",$I124="",$J124="",$J124&lt;=$I124),"",$V124*MAX(0,MIN($J124,50)-MAX($I124,30))/($J124-$I124))</f>
        <v/>
      </c>
      <c r="Z124" s="15" t="str">
        <f aca="false">IF(OR($V124="",$I124="",$J124="",$J124&lt;=$I124),"",$V124*MAX(0,MIN($J124,100)-MAX($I124,50))/($J124-$I124))</f>
        <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
      </c>
    </row>
    <row r="125" customFormat="false" ht="15.75" hidden="false" customHeight="true" outlineLevel="0" collapsed="false">
      <c r="A125" s="14"/>
      <c r="B125" s="14"/>
      <c r="C125" s="24"/>
      <c r="D125" s="24"/>
      <c r="E125" s="14"/>
      <c r="F125" s="16" t="str">
        <f aca="false">IF(OR($C125="",$D125=""),"",$D125-$C125)</f>
        <v/>
      </c>
      <c r="G125" s="25" t="str">
        <f aca="false">IF($A125="","",IFERROR(INDEX('2. Plot &amp; Core Log'!$M$6:$M$35,MATCH($A125,'2. Plot &amp; Core Log'!$B$6:$B$35,0)),""))</f>
        <v/>
      </c>
      <c r="H125" s="26" t="str">
        <f aca="false">IF($A125="","",IFERROR(INDEX('2. Plot &amp; Core Log'!$S$6:$S$35,MATCH($A125,'2. Plot &amp; Core Log'!$B$6:$B$35,0)),""))</f>
        <v/>
      </c>
      <c r="I125" s="16" t="str">
        <f aca="false">IF(OR($C125="",$G125=""),"",$C125*$G125)</f>
        <v/>
      </c>
      <c r="J125" s="16" t="str">
        <f aca="false">IF(OR($D125="",$G125=""),"",$D125*$G125)</f>
        <v/>
      </c>
      <c r="K125" s="16" t="str">
        <f aca="false">IF(OR($F125="",$H125=""),"",PI()*(($H125/2)^2)*$F125)</f>
        <v/>
      </c>
      <c r="L125" s="27"/>
      <c r="M125" s="27"/>
      <c r="N125" s="27"/>
      <c r="O125" s="27"/>
      <c r="P125" s="16" t="str">
        <f aca="false">IF(OR($L125="",$M125="",$L125=0),"",(($L125-$M125)/$L125)*100)</f>
        <v/>
      </c>
      <c r="Q125" s="15" t="str">
        <f aca="false">IF(OR($M125="",$K125="",$K125=0),"",$M125/$K125)</f>
        <v/>
      </c>
      <c r="R125" s="15" t="str">
        <f aca="false">IF(OR($N125="",$O125=""),"",IF(UPPER($O125)="OC",$N125,IF(UPPER($O125)="LOI",IF(OR(LOI_INTERCEPT="",LOI_SLOPE=""),"",IF(LOI_INTERCEPT+LOI_SLOPE*$N125&lt;0,"",LOI_INTERCEPT+LOI_SLOPE*$N125)),"")))</f>
        <v/>
      </c>
      <c r="S125" s="18" t="str">
        <f aca="false">IF($R125="","",$R125*10)</f>
        <v/>
      </c>
      <c r="T125" s="28" t="str">
        <f aca="false">IF(OR($Q125="",$R125=""),"",$Q125*$R125/100)</f>
        <v/>
      </c>
      <c r="U125" s="29" t="str">
        <f aca="false">IF(OR($T125="",$F125=""),"",$T125*$F125)</f>
        <v/>
      </c>
      <c r="V125" s="15" t="str">
        <f aca="false">IF($U125="","",$U125*10)</f>
        <v/>
      </c>
      <c r="W125" s="15" t="str">
        <f aca="false">IF(OR($V125="",$I125="",$J125="",$J125&lt;=$I125),"",$V125*MAX(0,MIN($J125,15)-MAX($I125,0))/($J125-$I125))</f>
        <v/>
      </c>
      <c r="X125" s="15" t="str">
        <f aca="false">IF(OR($V125="",$I125="",$J125="",$J125&lt;=$I125),"",$V125*MAX(0,MIN($J125,30)-MAX($I125,15))/($J125-$I125))</f>
        <v/>
      </c>
      <c r="Y125" s="15" t="str">
        <f aca="false">IF(OR($V125="",$I125="",$J125="",$J125&lt;=$I125),"",$V125*MAX(0,MIN($J125,50)-MAX($I125,30))/($J125-$I125))</f>
        <v/>
      </c>
      <c r="Z125" s="15" t="str">
        <f aca="false">IF(OR($V125="",$I125="",$J125="",$J125&lt;=$I125),"",$V125*MAX(0,MIN($J125,100)-MAX($I125,50))/($J125-$I125))</f>
        <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
      </c>
    </row>
    <row r="126" customFormat="false" ht="15.75" hidden="false" customHeight="true" outlineLevel="0" collapsed="false">
      <c r="A126" s="14"/>
      <c r="B126" s="14"/>
      <c r="C126" s="24"/>
      <c r="D126" s="24"/>
      <c r="E126" s="14"/>
      <c r="F126" s="16" t="str">
        <f aca="false">IF(OR($C126="",$D126=""),"",$D126-$C126)</f>
        <v/>
      </c>
      <c r="G126" s="25" t="str">
        <f aca="false">IF($A126="","",IFERROR(INDEX('2. Plot &amp; Core Log'!$M$6:$M$35,MATCH($A126,'2. Plot &amp; Core Log'!$B$6:$B$35,0)),""))</f>
        <v/>
      </c>
      <c r="H126" s="26" t="str">
        <f aca="false">IF($A126="","",IFERROR(INDEX('2. Plot &amp; Core Log'!$S$6:$S$35,MATCH($A126,'2. Plot &amp; Core Log'!$B$6:$B$35,0)),""))</f>
        <v/>
      </c>
      <c r="I126" s="16" t="str">
        <f aca="false">IF(OR($C126="",$G126=""),"",$C126*$G126)</f>
        <v/>
      </c>
      <c r="J126" s="16" t="str">
        <f aca="false">IF(OR($D126="",$G126=""),"",$D126*$G126)</f>
        <v/>
      </c>
      <c r="K126" s="16" t="str">
        <f aca="false">IF(OR($F126="",$H126=""),"",PI()*(($H126/2)^2)*$F126)</f>
        <v/>
      </c>
      <c r="L126" s="27"/>
      <c r="M126" s="27"/>
      <c r="N126" s="27"/>
      <c r="O126" s="27"/>
      <c r="P126" s="16" t="str">
        <f aca="false">IF(OR($L126="",$M126="",$L126=0),"",(($L126-$M126)/$L126)*100)</f>
        <v/>
      </c>
      <c r="Q126" s="15" t="str">
        <f aca="false">IF(OR($M126="",$K126="",$K126=0),"",$M126/$K126)</f>
        <v/>
      </c>
      <c r="R126" s="15" t="str">
        <f aca="false">IF(OR($N126="",$O126=""),"",IF(UPPER($O126)="OC",$N126,IF(UPPER($O126)="LOI",IF(OR(LOI_INTERCEPT="",LOI_SLOPE=""),"",IF(LOI_INTERCEPT+LOI_SLOPE*$N126&lt;0,"",LOI_INTERCEPT+LOI_SLOPE*$N126)),"")))</f>
        <v/>
      </c>
      <c r="S126" s="18" t="str">
        <f aca="false">IF($R126="","",$R126*10)</f>
        <v/>
      </c>
      <c r="T126" s="28" t="str">
        <f aca="false">IF(OR($Q126="",$R126=""),"",$Q126*$R126/100)</f>
        <v/>
      </c>
      <c r="U126" s="29" t="str">
        <f aca="false">IF(OR($T126="",$F126=""),"",$T126*$F126)</f>
        <v/>
      </c>
      <c r="V126" s="15" t="str">
        <f aca="false">IF($U126="","",$U126*10)</f>
        <v/>
      </c>
      <c r="W126" s="15" t="str">
        <f aca="false">IF(OR($V126="",$I126="",$J126="",$J126&lt;=$I126),"",$V126*MAX(0,MIN($J126,15)-MAX($I126,0))/($J126-$I126))</f>
        <v/>
      </c>
      <c r="X126" s="15" t="str">
        <f aca="false">IF(OR($V126="",$I126="",$J126="",$J126&lt;=$I126),"",$V126*MAX(0,MIN($J126,30)-MAX($I126,15))/($J126-$I126))</f>
        <v/>
      </c>
      <c r="Y126" s="15" t="str">
        <f aca="false">IF(OR($V126="",$I126="",$J126="",$J126&lt;=$I126),"",$V126*MAX(0,MIN($J126,50)-MAX($I126,30))/($J126-$I126))</f>
        <v/>
      </c>
      <c r="Z126" s="15" t="str">
        <f aca="false">IF(OR($V126="",$I126="",$J126="",$J126&lt;=$I126),"",$V126*MAX(0,MIN($J126,100)-MAX($I126,50))/($J126-$I126))</f>
        <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
      </c>
    </row>
    <row r="127" customFormat="false" ht="15.75" hidden="false" customHeight="true" outlineLevel="0" collapsed="false">
      <c r="A127" s="14"/>
      <c r="B127" s="14"/>
      <c r="C127" s="24"/>
      <c r="D127" s="24"/>
      <c r="E127" s="14"/>
      <c r="F127" s="16" t="str">
        <f aca="false">IF(OR($C127="",$D127=""),"",$D127-$C127)</f>
        <v/>
      </c>
      <c r="G127" s="25" t="str">
        <f aca="false">IF($A127="","",IFERROR(INDEX('2. Plot &amp; Core Log'!$M$6:$M$35,MATCH($A127,'2. Plot &amp; Core Log'!$B$6:$B$35,0)),""))</f>
        <v/>
      </c>
      <c r="H127" s="26" t="str">
        <f aca="false">IF($A127="","",IFERROR(INDEX('2. Plot &amp; Core Log'!$S$6:$S$35,MATCH($A127,'2. Plot &amp; Core Log'!$B$6:$B$35,0)),""))</f>
        <v/>
      </c>
      <c r="I127" s="16" t="str">
        <f aca="false">IF(OR($C127="",$G127=""),"",$C127*$G127)</f>
        <v/>
      </c>
      <c r="J127" s="16" t="str">
        <f aca="false">IF(OR($D127="",$G127=""),"",$D127*$G127)</f>
        <v/>
      </c>
      <c r="K127" s="16" t="str">
        <f aca="false">IF(OR($F127="",$H127=""),"",PI()*(($H127/2)^2)*$F127)</f>
        <v/>
      </c>
      <c r="L127" s="27"/>
      <c r="M127" s="27"/>
      <c r="N127" s="27"/>
      <c r="O127" s="27"/>
      <c r="P127" s="16" t="str">
        <f aca="false">IF(OR($L127="",$M127="",$L127=0),"",(($L127-$M127)/$L127)*100)</f>
        <v/>
      </c>
      <c r="Q127" s="15" t="str">
        <f aca="false">IF(OR($M127="",$K127="",$K127=0),"",$M127/$K127)</f>
        <v/>
      </c>
      <c r="R127" s="15" t="str">
        <f aca="false">IF(OR($N127="",$O127=""),"",IF(UPPER($O127)="OC",$N127,IF(UPPER($O127)="LOI",IF(OR(LOI_INTERCEPT="",LOI_SLOPE=""),"",IF(LOI_INTERCEPT+LOI_SLOPE*$N127&lt;0,"",LOI_INTERCEPT+LOI_SLOPE*$N127)),"")))</f>
        <v/>
      </c>
      <c r="S127" s="18" t="str">
        <f aca="false">IF($R127="","",$R127*10)</f>
        <v/>
      </c>
      <c r="T127" s="28" t="str">
        <f aca="false">IF(OR($Q127="",$R127=""),"",$Q127*$R127/100)</f>
        <v/>
      </c>
      <c r="U127" s="29" t="str">
        <f aca="false">IF(OR($T127="",$F127=""),"",$T127*$F127)</f>
        <v/>
      </c>
      <c r="V127" s="15" t="str">
        <f aca="false">IF($U127="","",$U127*10)</f>
        <v/>
      </c>
      <c r="W127" s="15" t="str">
        <f aca="false">IF(OR($V127="",$I127="",$J127="",$J127&lt;=$I127),"",$V127*MAX(0,MIN($J127,15)-MAX($I127,0))/($J127-$I127))</f>
        <v/>
      </c>
      <c r="X127" s="15" t="str">
        <f aca="false">IF(OR($V127="",$I127="",$J127="",$J127&lt;=$I127),"",$V127*MAX(0,MIN($J127,30)-MAX($I127,15))/($J127-$I127))</f>
        <v/>
      </c>
      <c r="Y127" s="15" t="str">
        <f aca="false">IF(OR($V127="",$I127="",$J127="",$J127&lt;=$I127),"",$V127*MAX(0,MIN($J127,50)-MAX($I127,30))/($J127-$I127))</f>
        <v/>
      </c>
      <c r="Z127" s="15" t="str">
        <f aca="false">IF(OR($V127="",$I127="",$J127="",$J127&lt;=$I127),"",$V127*MAX(0,MIN($J127,100)-MAX($I127,50))/($J127-$I127))</f>
        <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
      </c>
    </row>
    <row r="128" customFormat="false" ht="15.75" hidden="false" customHeight="true" outlineLevel="0" collapsed="false">
      <c r="A128" s="14"/>
      <c r="B128" s="14"/>
      <c r="C128" s="24"/>
      <c r="D128" s="24"/>
      <c r="E128" s="14"/>
      <c r="F128" s="16" t="str">
        <f aca="false">IF(OR($C128="",$D128=""),"",$D128-$C128)</f>
        <v/>
      </c>
      <c r="G128" s="25" t="str">
        <f aca="false">IF($A128="","",IFERROR(INDEX('2. Plot &amp; Core Log'!$M$6:$M$35,MATCH($A128,'2. Plot &amp; Core Log'!$B$6:$B$35,0)),""))</f>
        <v/>
      </c>
      <c r="H128" s="26" t="str">
        <f aca="false">IF($A128="","",IFERROR(INDEX('2. Plot &amp; Core Log'!$S$6:$S$35,MATCH($A128,'2. Plot &amp; Core Log'!$B$6:$B$35,0)),""))</f>
        <v/>
      </c>
      <c r="I128" s="16" t="str">
        <f aca="false">IF(OR($C128="",$G128=""),"",$C128*$G128)</f>
        <v/>
      </c>
      <c r="J128" s="16" t="str">
        <f aca="false">IF(OR($D128="",$G128=""),"",$D128*$G128)</f>
        <v/>
      </c>
      <c r="K128" s="16" t="str">
        <f aca="false">IF(OR($F128="",$H128=""),"",PI()*(($H128/2)^2)*$F128)</f>
        <v/>
      </c>
      <c r="L128" s="27"/>
      <c r="M128" s="27"/>
      <c r="N128" s="27"/>
      <c r="O128" s="27"/>
      <c r="P128" s="16" t="str">
        <f aca="false">IF(OR($L128="",$M128="",$L128=0),"",(($L128-$M128)/$L128)*100)</f>
        <v/>
      </c>
      <c r="Q128" s="15" t="str">
        <f aca="false">IF(OR($M128="",$K128="",$K128=0),"",$M128/$K128)</f>
        <v/>
      </c>
      <c r="R128" s="15" t="str">
        <f aca="false">IF(OR($N128="",$O128=""),"",IF(UPPER($O128)="OC",$N128,IF(UPPER($O128)="LOI",IF(OR(LOI_INTERCEPT="",LOI_SLOPE=""),"",IF(LOI_INTERCEPT+LOI_SLOPE*$N128&lt;0,"",LOI_INTERCEPT+LOI_SLOPE*$N128)),"")))</f>
        <v/>
      </c>
      <c r="S128" s="18" t="str">
        <f aca="false">IF($R128="","",$R128*10)</f>
        <v/>
      </c>
      <c r="T128" s="28" t="str">
        <f aca="false">IF(OR($Q128="",$R128=""),"",$Q128*$R128/100)</f>
        <v/>
      </c>
      <c r="U128" s="29" t="str">
        <f aca="false">IF(OR($T128="",$F128=""),"",$T128*$F128)</f>
        <v/>
      </c>
      <c r="V128" s="15" t="str">
        <f aca="false">IF($U128="","",$U128*10)</f>
        <v/>
      </c>
      <c r="W128" s="15" t="str">
        <f aca="false">IF(OR($V128="",$I128="",$J128="",$J128&lt;=$I128),"",$V128*MAX(0,MIN($J128,15)-MAX($I128,0))/($J128-$I128))</f>
        <v/>
      </c>
      <c r="X128" s="15" t="str">
        <f aca="false">IF(OR($V128="",$I128="",$J128="",$J128&lt;=$I128),"",$V128*MAX(0,MIN($J128,30)-MAX($I128,15))/($J128-$I128))</f>
        <v/>
      </c>
      <c r="Y128" s="15" t="str">
        <f aca="false">IF(OR($V128="",$I128="",$J128="",$J128&lt;=$I128),"",$V128*MAX(0,MIN($J128,50)-MAX($I128,30))/($J128-$I128))</f>
        <v/>
      </c>
      <c r="Z128" s="15" t="str">
        <f aca="false">IF(OR($V128="",$I128="",$J128="",$J128&lt;=$I128),"",$V128*MAX(0,MIN($J128,100)-MAX($I128,50))/($J128-$I128))</f>
        <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
      </c>
    </row>
    <row r="129" customFormat="false" ht="15.75" hidden="false" customHeight="true" outlineLevel="0" collapsed="false">
      <c r="A129" s="14"/>
      <c r="B129" s="14"/>
      <c r="C129" s="24"/>
      <c r="D129" s="24"/>
      <c r="E129" s="14"/>
      <c r="F129" s="16" t="str">
        <f aca="false">IF(OR($C129="",$D129=""),"",$D129-$C129)</f>
        <v/>
      </c>
      <c r="G129" s="25" t="str">
        <f aca="false">IF($A129="","",IFERROR(INDEX('2. Plot &amp; Core Log'!$M$6:$M$35,MATCH($A129,'2. Plot &amp; Core Log'!$B$6:$B$35,0)),""))</f>
        <v/>
      </c>
      <c r="H129" s="26" t="str">
        <f aca="false">IF($A129="","",IFERROR(INDEX('2. Plot &amp; Core Log'!$S$6:$S$35,MATCH($A129,'2. Plot &amp; Core Log'!$B$6:$B$35,0)),""))</f>
        <v/>
      </c>
      <c r="I129" s="16" t="str">
        <f aca="false">IF(OR($C129="",$G129=""),"",$C129*$G129)</f>
        <v/>
      </c>
      <c r="J129" s="16" t="str">
        <f aca="false">IF(OR($D129="",$G129=""),"",$D129*$G129)</f>
        <v/>
      </c>
      <c r="K129" s="16" t="str">
        <f aca="false">IF(OR($F129="",$H129=""),"",PI()*(($H129/2)^2)*$F129)</f>
        <v/>
      </c>
      <c r="L129" s="27"/>
      <c r="M129" s="27"/>
      <c r="N129" s="27"/>
      <c r="O129" s="27"/>
      <c r="P129" s="16" t="str">
        <f aca="false">IF(OR($L129="",$M129="",$L129=0),"",(($L129-$M129)/$L129)*100)</f>
        <v/>
      </c>
      <c r="Q129" s="15" t="str">
        <f aca="false">IF(OR($M129="",$K129="",$K129=0),"",$M129/$K129)</f>
        <v/>
      </c>
      <c r="R129" s="15" t="str">
        <f aca="false">IF(OR($N129="",$O129=""),"",IF(UPPER($O129)="OC",$N129,IF(UPPER($O129)="LOI",IF(OR(LOI_INTERCEPT="",LOI_SLOPE=""),"",IF(LOI_INTERCEPT+LOI_SLOPE*$N129&lt;0,"",LOI_INTERCEPT+LOI_SLOPE*$N129)),"")))</f>
        <v/>
      </c>
      <c r="S129" s="18" t="str">
        <f aca="false">IF($R129="","",$R129*10)</f>
        <v/>
      </c>
      <c r="T129" s="28" t="str">
        <f aca="false">IF(OR($Q129="",$R129=""),"",$Q129*$R129/100)</f>
        <v/>
      </c>
      <c r="U129" s="29" t="str">
        <f aca="false">IF(OR($T129="",$F129=""),"",$T129*$F129)</f>
        <v/>
      </c>
      <c r="V129" s="15" t="str">
        <f aca="false">IF($U129="","",$U129*10)</f>
        <v/>
      </c>
      <c r="W129" s="15" t="str">
        <f aca="false">IF(OR($V129="",$I129="",$J129="",$J129&lt;=$I129),"",$V129*MAX(0,MIN($J129,15)-MAX($I129,0))/($J129-$I129))</f>
        <v/>
      </c>
      <c r="X129" s="15" t="str">
        <f aca="false">IF(OR($V129="",$I129="",$J129="",$J129&lt;=$I129),"",$V129*MAX(0,MIN($J129,30)-MAX($I129,15))/($J129-$I129))</f>
        <v/>
      </c>
      <c r="Y129" s="15" t="str">
        <f aca="false">IF(OR($V129="",$I129="",$J129="",$J129&lt;=$I129),"",$V129*MAX(0,MIN($J129,50)-MAX($I129,30))/($J129-$I129))</f>
        <v/>
      </c>
      <c r="Z129" s="15" t="str">
        <f aca="false">IF(OR($V129="",$I129="",$J129="",$J129&lt;=$I129),"",$V129*MAX(0,MIN($J129,100)-MAX($I129,50))/($J129-$I129))</f>
        <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
      </c>
    </row>
    <row r="130" customFormat="false" ht="15.75" hidden="false" customHeight="true" outlineLevel="0" collapsed="false">
      <c r="A130" s="14"/>
      <c r="B130" s="14"/>
      <c r="C130" s="24"/>
      <c r="D130" s="24"/>
      <c r="E130" s="14"/>
      <c r="F130" s="16" t="str">
        <f aca="false">IF(OR($C130="",$D130=""),"",$D130-$C130)</f>
        <v/>
      </c>
      <c r="G130" s="25" t="str">
        <f aca="false">IF($A130="","",IFERROR(INDEX('2. Plot &amp; Core Log'!$M$6:$M$35,MATCH($A130,'2. Plot &amp; Core Log'!$B$6:$B$35,0)),""))</f>
        <v/>
      </c>
      <c r="H130" s="26" t="str">
        <f aca="false">IF($A130="","",IFERROR(INDEX('2. Plot &amp; Core Log'!$S$6:$S$35,MATCH($A130,'2. Plot &amp; Core Log'!$B$6:$B$35,0)),""))</f>
        <v/>
      </c>
      <c r="I130" s="16" t="str">
        <f aca="false">IF(OR($C130="",$G130=""),"",$C130*$G130)</f>
        <v/>
      </c>
      <c r="J130" s="16" t="str">
        <f aca="false">IF(OR($D130="",$G130=""),"",$D130*$G130)</f>
        <v/>
      </c>
      <c r="K130" s="16" t="str">
        <f aca="false">IF(OR($F130="",$H130=""),"",PI()*(($H130/2)^2)*$F130)</f>
        <v/>
      </c>
      <c r="L130" s="27"/>
      <c r="M130" s="27"/>
      <c r="N130" s="27"/>
      <c r="O130" s="27"/>
      <c r="P130" s="16" t="str">
        <f aca="false">IF(OR($L130="",$M130="",$L130=0),"",(($L130-$M130)/$L130)*100)</f>
        <v/>
      </c>
      <c r="Q130" s="15" t="str">
        <f aca="false">IF(OR($M130="",$K130="",$K130=0),"",$M130/$K130)</f>
        <v/>
      </c>
      <c r="R130" s="15" t="str">
        <f aca="false">IF(OR($N130="",$O130=""),"",IF(UPPER($O130)="OC",$N130,IF(UPPER($O130)="LOI",IF(OR(LOI_INTERCEPT="",LOI_SLOPE=""),"",IF(LOI_INTERCEPT+LOI_SLOPE*$N130&lt;0,"",LOI_INTERCEPT+LOI_SLOPE*$N130)),"")))</f>
        <v/>
      </c>
      <c r="S130" s="18" t="str">
        <f aca="false">IF($R130="","",$R130*10)</f>
        <v/>
      </c>
      <c r="T130" s="28" t="str">
        <f aca="false">IF(OR($Q130="",$R130=""),"",$Q130*$R130/100)</f>
        <v/>
      </c>
      <c r="U130" s="29" t="str">
        <f aca="false">IF(OR($T130="",$F130=""),"",$T130*$F130)</f>
        <v/>
      </c>
      <c r="V130" s="15" t="str">
        <f aca="false">IF($U130="","",$U130*10)</f>
        <v/>
      </c>
      <c r="W130" s="15" t="str">
        <f aca="false">IF(OR($V130="",$I130="",$J130="",$J130&lt;=$I130),"",$V130*MAX(0,MIN($J130,15)-MAX($I130,0))/($J130-$I130))</f>
        <v/>
      </c>
      <c r="X130" s="15" t="str">
        <f aca="false">IF(OR($V130="",$I130="",$J130="",$J130&lt;=$I130),"",$V130*MAX(0,MIN($J130,30)-MAX($I130,15))/($J130-$I130))</f>
        <v/>
      </c>
      <c r="Y130" s="15" t="str">
        <f aca="false">IF(OR($V130="",$I130="",$J130="",$J130&lt;=$I130),"",$V130*MAX(0,MIN($J130,50)-MAX($I130,30))/($J130-$I130))</f>
        <v/>
      </c>
      <c r="Z130" s="15" t="str">
        <f aca="false">IF(OR($V130="",$I130="",$J130="",$J130&lt;=$I130),"",$V130*MAX(0,MIN($J130,100)-MAX($I130,50))/($J130-$I130))</f>
        <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
      </c>
    </row>
    <row r="131" customFormat="false" ht="15.75" hidden="false" customHeight="true" outlineLevel="0" collapsed="false">
      <c r="A131" s="14"/>
      <c r="B131" s="14"/>
      <c r="C131" s="24"/>
      <c r="D131" s="24"/>
      <c r="E131" s="14"/>
      <c r="F131" s="16" t="str">
        <f aca="false">IF(OR($C131="",$D131=""),"",$D131-$C131)</f>
        <v/>
      </c>
      <c r="G131" s="25" t="str">
        <f aca="false">IF($A131="","",IFERROR(INDEX('2. Plot &amp; Core Log'!$M$6:$M$35,MATCH($A131,'2. Plot &amp; Core Log'!$B$6:$B$35,0)),""))</f>
        <v/>
      </c>
      <c r="H131" s="26" t="str">
        <f aca="false">IF($A131="","",IFERROR(INDEX('2. Plot &amp; Core Log'!$S$6:$S$35,MATCH($A131,'2. Plot &amp; Core Log'!$B$6:$B$35,0)),""))</f>
        <v/>
      </c>
      <c r="I131" s="16" t="str">
        <f aca="false">IF(OR($C131="",$G131=""),"",$C131*$G131)</f>
        <v/>
      </c>
      <c r="J131" s="16" t="str">
        <f aca="false">IF(OR($D131="",$G131=""),"",$D131*$G131)</f>
        <v/>
      </c>
      <c r="K131" s="16" t="str">
        <f aca="false">IF(OR($F131="",$H131=""),"",PI()*(($H131/2)^2)*$F131)</f>
        <v/>
      </c>
      <c r="L131" s="27"/>
      <c r="M131" s="27"/>
      <c r="N131" s="27"/>
      <c r="O131" s="27"/>
      <c r="P131" s="16" t="str">
        <f aca="false">IF(OR($L131="",$M131="",$L131=0),"",(($L131-$M131)/$L131)*100)</f>
        <v/>
      </c>
      <c r="Q131" s="15" t="str">
        <f aca="false">IF(OR($M131="",$K131="",$K131=0),"",$M131/$K131)</f>
        <v/>
      </c>
      <c r="R131" s="15" t="str">
        <f aca="false">IF(OR($N131="",$O131=""),"",IF(UPPER($O131)="OC",$N131,IF(UPPER($O131)="LOI",IF(OR(LOI_INTERCEPT="",LOI_SLOPE=""),"",IF(LOI_INTERCEPT+LOI_SLOPE*$N131&lt;0,"",LOI_INTERCEPT+LOI_SLOPE*$N131)),"")))</f>
        <v/>
      </c>
      <c r="S131" s="18" t="str">
        <f aca="false">IF($R131="","",$R131*10)</f>
        <v/>
      </c>
      <c r="T131" s="28" t="str">
        <f aca="false">IF(OR($Q131="",$R131=""),"",$Q131*$R131/100)</f>
        <v/>
      </c>
      <c r="U131" s="29" t="str">
        <f aca="false">IF(OR($T131="",$F131=""),"",$T131*$F131)</f>
        <v/>
      </c>
      <c r="V131" s="15" t="str">
        <f aca="false">IF($U131="","",$U131*10)</f>
        <v/>
      </c>
      <c r="W131" s="15" t="str">
        <f aca="false">IF(OR($V131="",$I131="",$J131="",$J131&lt;=$I131),"",$V131*MAX(0,MIN($J131,15)-MAX($I131,0))/($J131-$I131))</f>
        <v/>
      </c>
      <c r="X131" s="15" t="str">
        <f aca="false">IF(OR($V131="",$I131="",$J131="",$J131&lt;=$I131),"",$V131*MAX(0,MIN($J131,30)-MAX($I131,15))/($J131-$I131))</f>
        <v/>
      </c>
      <c r="Y131" s="15" t="str">
        <f aca="false">IF(OR($V131="",$I131="",$J131="",$J131&lt;=$I131),"",$V131*MAX(0,MIN($J131,50)-MAX($I131,30))/($J131-$I131))</f>
        <v/>
      </c>
      <c r="Z131" s="15" t="str">
        <f aca="false">IF(OR($V131="",$I131="",$J131="",$J131&lt;=$I131),"",$V131*MAX(0,MIN($J131,100)-MAX($I131,50))/($J131-$I131))</f>
        <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
      </c>
    </row>
    <row r="132" customFormat="false" ht="15.75" hidden="false" customHeight="true" outlineLevel="0" collapsed="false">
      <c r="A132" s="14"/>
      <c r="B132" s="14"/>
      <c r="C132" s="24"/>
      <c r="D132" s="24"/>
      <c r="E132" s="14"/>
      <c r="F132" s="16" t="str">
        <f aca="false">IF(OR($C132="",$D132=""),"",$D132-$C132)</f>
        <v/>
      </c>
      <c r="G132" s="25" t="str">
        <f aca="false">IF($A132="","",IFERROR(INDEX('2. Plot &amp; Core Log'!$M$6:$M$35,MATCH($A132,'2. Plot &amp; Core Log'!$B$6:$B$35,0)),""))</f>
        <v/>
      </c>
      <c r="H132" s="26" t="str">
        <f aca="false">IF($A132="","",IFERROR(INDEX('2. Plot &amp; Core Log'!$S$6:$S$35,MATCH($A132,'2. Plot &amp; Core Log'!$B$6:$B$35,0)),""))</f>
        <v/>
      </c>
      <c r="I132" s="16" t="str">
        <f aca="false">IF(OR($C132="",$G132=""),"",$C132*$G132)</f>
        <v/>
      </c>
      <c r="J132" s="16" t="str">
        <f aca="false">IF(OR($D132="",$G132=""),"",$D132*$G132)</f>
        <v/>
      </c>
      <c r="K132" s="16" t="str">
        <f aca="false">IF(OR($F132="",$H132=""),"",PI()*(($H132/2)^2)*$F132)</f>
        <v/>
      </c>
      <c r="L132" s="27"/>
      <c r="M132" s="27"/>
      <c r="N132" s="27"/>
      <c r="O132" s="27"/>
      <c r="P132" s="16" t="str">
        <f aca="false">IF(OR($L132="",$M132="",$L132=0),"",(($L132-$M132)/$L132)*100)</f>
        <v/>
      </c>
      <c r="Q132" s="15" t="str">
        <f aca="false">IF(OR($M132="",$K132="",$K132=0),"",$M132/$K132)</f>
        <v/>
      </c>
      <c r="R132" s="15" t="str">
        <f aca="false">IF(OR($N132="",$O132=""),"",IF(UPPER($O132)="OC",$N132,IF(UPPER($O132)="LOI",IF(OR(LOI_INTERCEPT="",LOI_SLOPE=""),"",IF(LOI_INTERCEPT+LOI_SLOPE*$N132&lt;0,"",LOI_INTERCEPT+LOI_SLOPE*$N132)),"")))</f>
        <v/>
      </c>
      <c r="S132" s="18" t="str">
        <f aca="false">IF($R132="","",$R132*10)</f>
        <v/>
      </c>
      <c r="T132" s="28" t="str">
        <f aca="false">IF(OR($Q132="",$R132=""),"",$Q132*$R132/100)</f>
        <v/>
      </c>
      <c r="U132" s="29" t="str">
        <f aca="false">IF(OR($T132="",$F132=""),"",$T132*$F132)</f>
        <v/>
      </c>
      <c r="V132" s="15" t="str">
        <f aca="false">IF($U132="","",$U132*10)</f>
        <v/>
      </c>
      <c r="W132" s="15" t="str">
        <f aca="false">IF(OR($V132="",$I132="",$J132="",$J132&lt;=$I132),"",$V132*MAX(0,MIN($J132,15)-MAX($I132,0))/($J132-$I132))</f>
        <v/>
      </c>
      <c r="X132" s="15" t="str">
        <f aca="false">IF(OR($V132="",$I132="",$J132="",$J132&lt;=$I132),"",$V132*MAX(0,MIN($J132,30)-MAX($I132,15))/($J132-$I132))</f>
        <v/>
      </c>
      <c r="Y132" s="15" t="str">
        <f aca="false">IF(OR($V132="",$I132="",$J132="",$J132&lt;=$I132),"",$V132*MAX(0,MIN($J132,50)-MAX($I132,30))/($J132-$I132))</f>
        <v/>
      </c>
      <c r="Z132" s="15" t="str">
        <f aca="false">IF(OR($V132="",$I132="",$J132="",$J132&lt;=$I132),"",$V132*MAX(0,MIN($J132,100)-MAX($I132,50))/($J132-$I132))</f>
        <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
      </c>
    </row>
    <row r="133" customFormat="false" ht="15.75" hidden="false" customHeight="true" outlineLevel="0" collapsed="false">
      <c r="A133" s="14"/>
      <c r="B133" s="14"/>
      <c r="C133" s="24"/>
      <c r="D133" s="24"/>
      <c r="E133" s="14"/>
      <c r="F133" s="16" t="str">
        <f aca="false">IF(OR($C133="",$D133=""),"",$D133-$C133)</f>
        <v/>
      </c>
      <c r="G133" s="25" t="str">
        <f aca="false">IF($A133="","",IFERROR(INDEX('2. Plot &amp; Core Log'!$M$6:$M$35,MATCH($A133,'2. Plot &amp; Core Log'!$B$6:$B$35,0)),""))</f>
        <v/>
      </c>
      <c r="H133" s="26" t="str">
        <f aca="false">IF($A133="","",IFERROR(INDEX('2. Plot &amp; Core Log'!$S$6:$S$35,MATCH($A133,'2. Plot &amp; Core Log'!$B$6:$B$35,0)),""))</f>
        <v/>
      </c>
      <c r="I133" s="16" t="str">
        <f aca="false">IF(OR($C133="",$G133=""),"",$C133*$G133)</f>
        <v/>
      </c>
      <c r="J133" s="16" t="str">
        <f aca="false">IF(OR($D133="",$G133=""),"",$D133*$G133)</f>
        <v/>
      </c>
      <c r="K133" s="16" t="str">
        <f aca="false">IF(OR($F133="",$H133=""),"",PI()*(($H133/2)^2)*$F133)</f>
        <v/>
      </c>
      <c r="L133" s="27"/>
      <c r="M133" s="27"/>
      <c r="N133" s="27"/>
      <c r="O133" s="27"/>
      <c r="P133" s="16" t="str">
        <f aca="false">IF(OR($L133="",$M133="",$L133=0),"",(($L133-$M133)/$L133)*100)</f>
        <v/>
      </c>
      <c r="Q133" s="15" t="str">
        <f aca="false">IF(OR($M133="",$K133="",$K133=0),"",$M133/$K133)</f>
        <v/>
      </c>
      <c r="R133" s="15" t="str">
        <f aca="false">IF(OR($N133="",$O133=""),"",IF(UPPER($O133)="OC",$N133,IF(UPPER($O133)="LOI",IF(OR(LOI_INTERCEPT="",LOI_SLOPE=""),"",IF(LOI_INTERCEPT+LOI_SLOPE*$N133&lt;0,"",LOI_INTERCEPT+LOI_SLOPE*$N133)),"")))</f>
        <v/>
      </c>
      <c r="S133" s="18" t="str">
        <f aca="false">IF($R133="","",$R133*10)</f>
        <v/>
      </c>
      <c r="T133" s="28" t="str">
        <f aca="false">IF(OR($Q133="",$R133=""),"",$Q133*$R133/100)</f>
        <v/>
      </c>
      <c r="U133" s="29" t="str">
        <f aca="false">IF(OR($T133="",$F133=""),"",$T133*$F133)</f>
        <v/>
      </c>
      <c r="V133" s="15" t="str">
        <f aca="false">IF($U133="","",$U133*10)</f>
        <v/>
      </c>
      <c r="W133" s="15" t="str">
        <f aca="false">IF(OR($V133="",$I133="",$J133="",$J133&lt;=$I133),"",$V133*MAX(0,MIN($J133,15)-MAX($I133,0))/($J133-$I133))</f>
        <v/>
      </c>
      <c r="X133" s="15" t="str">
        <f aca="false">IF(OR($V133="",$I133="",$J133="",$J133&lt;=$I133),"",$V133*MAX(0,MIN($J133,30)-MAX($I133,15))/($J133-$I133))</f>
        <v/>
      </c>
      <c r="Y133" s="15" t="str">
        <f aca="false">IF(OR($V133="",$I133="",$J133="",$J133&lt;=$I133),"",$V133*MAX(0,MIN($J133,50)-MAX($I133,30))/($J133-$I133))</f>
        <v/>
      </c>
      <c r="Z133" s="15" t="str">
        <f aca="false">IF(OR($V133="",$I133="",$J133="",$J133&lt;=$I133),"",$V133*MAX(0,MIN($J133,100)-MAX($I133,50))/($J133-$I133))</f>
        <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
      </c>
    </row>
    <row r="134" customFormat="false" ht="15.75" hidden="false" customHeight="true" outlineLevel="0" collapsed="false">
      <c r="A134" s="14"/>
      <c r="B134" s="14"/>
      <c r="C134" s="24"/>
      <c r="D134" s="24"/>
      <c r="E134" s="14"/>
      <c r="F134" s="16" t="str">
        <f aca="false">IF(OR($C134="",$D134=""),"",$D134-$C134)</f>
        <v/>
      </c>
      <c r="G134" s="25" t="str">
        <f aca="false">IF($A134="","",IFERROR(INDEX('2. Plot &amp; Core Log'!$M$6:$M$35,MATCH($A134,'2. Plot &amp; Core Log'!$B$6:$B$35,0)),""))</f>
        <v/>
      </c>
      <c r="H134" s="26" t="str">
        <f aca="false">IF($A134="","",IFERROR(INDEX('2. Plot &amp; Core Log'!$S$6:$S$35,MATCH($A134,'2. Plot &amp; Core Log'!$B$6:$B$35,0)),""))</f>
        <v/>
      </c>
      <c r="I134" s="16" t="str">
        <f aca="false">IF(OR($C134="",$G134=""),"",$C134*$G134)</f>
        <v/>
      </c>
      <c r="J134" s="16" t="str">
        <f aca="false">IF(OR($D134="",$G134=""),"",$D134*$G134)</f>
        <v/>
      </c>
      <c r="K134" s="16" t="str">
        <f aca="false">IF(OR($F134="",$H134=""),"",PI()*(($H134/2)^2)*$F134)</f>
        <v/>
      </c>
      <c r="L134" s="27"/>
      <c r="M134" s="27"/>
      <c r="N134" s="27"/>
      <c r="O134" s="27"/>
      <c r="P134" s="16" t="str">
        <f aca="false">IF(OR($L134="",$M134="",$L134=0),"",(($L134-$M134)/$L134)*100)</f>
        <v/>
      </c>
      <c r="Q134" s="15" t="str">
        <f aca="false">IF(OR($M134="",$K134="",$K134=0),"",$M134/$K134)</f>
        <v/>
      </c>
      <c r="R134" s="15" t="str">
        <f aca="false">IF(OR($N134="",$O134=""),"",IF(UPPER($O134)="OC",$N134,IF(UPPER($O134)="LOI",IF(OR(LOI_INTERCEPT="",LOI_SLOPE=""),"",IF(LOI_INTERCEPT+LOI_SLOPE*$N134&lt;0,"",LOI_INTERCEPT+LOI_SLOPE*$N134)),"")))</f>
        <v/>
      </c>
      <c r="S134" s="18" t="str">
        <f aca="false">IF($R134="","",$R134*10)</f>
        <v/>
      </c>
      <c r="T134" s="28" t="str">
        <f aca="false">IF(OR($Q134="",$R134=""),"",$Q134*$R134/100)</f>
        <v/>
      </c>
      <c r="U134" s="29" t="str">
        <f aca="false">IF(OR($T134="",$F134=""),"",$T134*$F134)</f>
        <v/>
      </c>
      <c r="V134" s="15" t="str">
        <f aca="false">IF($U134="","",$U134*10)</f>
        <v/>
      </c>
      <c r="W134" s="15" t="str">
        <f aca="false">IF(OR($V134="",$I134="",$J134="",$J134&lt;=$I134),"",$V134*MAX(0,MIN($J134,15)-MAX($I134,0))/($J134-$I134))</f>
        <v/>
      </c>
      <c r="X134" s="15" t="str">
        <f aca="false">IF(OR($V134="",$I134="",$J134="",$J134&lt;=$I134),"",$V134*MAX(0,MIN($J134,30)-MAX($I134,15))/($J134-$I134))</f>
        <v/>
      </c>
      <c r="Y134" s="15" t="str">
        <f aca="false">IF(OR($V134="",$I134="",$J134="",$J134&lt;=$I134),"",$V134*MAX(0,MIN($J134,50)-MAX($I134,30))/($J134-$I134))</f>
        <v/>
      </c>
      <c r="Z134" s="15" t="str">
        <f aca="false">IF(OR($V134="",$I134="",$J134="",$J134&lt;=$I134),"",$V134*MAX(0,MIN($J134,100)-MAX($I134,50))/($J134-$I134))</f>
        <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
      </c>
    </row>
    <row r="135" customFormat="false" ht="15.75" hidden="false" customHeight="true" outlineLevel="0" collapsed="false">
      <c r="A135" s="14"/>
      <c r="B135" s="14"/>
      <c r="C135" s="24"/>
      <c r="D135" s="24"/>
      <c r="E135" s="14"/>
      <c r="F135" s="16" t="str">
        <f aca="false">IF(OR($C135="",$D135=""),"",$D135-$C135)</f>
        <v/>
      </c>
      <c r="G135" s="25" t="str">
        <f aca="false">IF($A135="","",IFERROR(INDEX('2. Plot &amp; Core Log'!$M$6:$M$35,MATCH($A135,'2. Plot &amp; Core Log'!$B$6:$B$35,0)),""))</f>
        <v/>
      </c>
      <c r="H135" s="26" t="str">
        <f aca="false">IF($A135="","",IFERROR(INDEX('2. Plot &amp; Core Log'!$S$6:$S$35,MATCH($A135,'2. Plot &amp; Core Log'!$B$6:$B$35,0)),""))</f>
        <v/>
      </c>
      <c r="I135" s="16" t="str">
        <f aca="false">IF(OR($C135="",$G135=""),"",$C135*$G135)</f>
        <v/>
      </c>
      <c r="J135" s="16" t="str">
        <f aca="false">IF(OR($D135="",$G135=""),"",$D135*$G135)</f>
        <v/>
      </c>
      <c r="K135" s="16" t="str">
        <f aca="false">IF(OR($F135="",$H135=""),"",PI()*(($H135/2)^2)*$F135)</f>
        <v/>
      </c>
      <c r="L135" s="27"/>
      <c r="M135" s="27"/>
      <c r="N135" s="27"/>
      <c r="O135" s="27"/>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8" t="str">
        <f aca="false">IF(OR($Q135="",$R135=""),"",$Q135*$R135/100)</f>
        <v/>
      </c>
      <c r="U135" s="29"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4"/>
      <c r="D136" s="24"/>
      <c r="E136" s="14"/>
      <c r="F136" s="16" t="str">
        <f aca="false">IF(OR($C136="",$D136=""),"",$D136-$C136)</f>
        <v/>
      </c>
      <c r="G136" s="25" t="str">
        <f aca="false">IF($A136="","",IFERROR(INDEX('2. Plot &amp; Core Log'!$M$6:$M$35,MATCH($A136,'2. Plot &amp; Core Log'!$B$6:$B$35,0)),""))</f>
        <v/>
      </c>
      <c r="H136" s="26" t="str">
        <f aca="false">IF($A136="","",IFERROR(INDEX('2. Plot &amp; Core Log'!$S$6:$S$35,MATCH($A136,'2. Plot &amp; Core Log'!$B$6:$B$35,0)),""))</f>
        <v/>
      </c>
      <c r="I136" s="16" t="str">
        <f aca="false">IF(OR($C136="",$G136=""),"",$C136*$G136)</f>
        <v/>
      </c>
      <c r="J136" s="16" t="str">
        <f aca="false">IF(OR($D136="",$G136=""),"",$D136*$G136)</f>
        <v/>
      </c>
      <c r="K136" s="16" t="str">
        <f aca="false">IF(OR($F136="",$H136=""),"",PI()*(($H136/2)^2)*$F136)</f>
        <v/>
      </c>
      <c r="L136" s="27"/>
      <c r="M136" s="27"/>
      <c r="N136" s="27"/>
      <c r="O136" s="27"/>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8" t="str">
        <f aca="false">IF(OR($Q136="",$R136=""),"",$Q136*$R136/100)</f>
        <v/>
      </c>
      <c r="U136" s="29"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4"/>
      <c r="D137" s="24"/>
      <c r="E137" s="14"/>
      <c r="F137" s="16" t="str">
        <f aca="false">IF(OR($C137="",$D137=""),"",$D137-$C137)</f>
        <v/>
      </c>
      <c r="G137" s="25" t="str">
        <f aca="false">IF($A137="","",IFERROR(INDEX('2. Plot &amp; Core Log'!$M$6:$M$35,MATCH($A137,'2. Plot &amp; Core Log'!$B$6:$B$35,0)),""))</f>
        <v/>
      </c>
      <c r="H137" s="26" t="str">
        <f aca="false">IF($A137="","",IFERROR(INDEX('2. Plot &amp; Core Log'!$S$6:$S$35,MATCH($A137,'2. Plot &amp; Core Log'!$B$6:$B$35,0)),""))</f>
        <v/>
      </c>
      <c r="I137" s="16" t="str">
        <f aca="false">IF(OR($C137="",$G137=""),"",$C137*$G137)</f>
        <v/>
      </c>
      <c r="J137" s="16" t="str">
        <f aca="false">IF(OR($D137="",$G137=""),"",$D137*$G137)</f>
        <v/>
      </c>
      <c r="K137" s="16" t="str">
        <f aca="false">IF(OR($F137="",$H137=""),"",PI()*(($H137/2)^2)*$F137)</f>
        <v/>
      </c>
      <c r="L137" s="27"/>
      <c r="M137" s="27"/>
      <c r="N137" s="27"/>
      <c r="O137" s="27"/>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8" t="str">
        <f aca="false">IF(OR($Q137="",$R137=""),"",$Q137*$R137/100)</f>
        <v/>
      </c>
      <c r="U137" s="29"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4"/>
      <c r="D138" s="24"/>
      <c r="E138" s="14"/>
      <c r="F138" s="16" t="str">
        <f aca="false">IF(OR($C138="",$D138=""),"",$D138-$C138)</f>
        <v/>
      </c>
      <c r="G138" s="25" t="str">
        <f aca="false">IF($A138="","",IFERROR(INDEX('2. Plot &amp; Core Log'!$M$6:$M$35,MATCH($A138,'2. Plot &amp; Core Log'!$B$6:$B$35,0)),""))</f>
        <v/>
      </c>
      <c r="H138" s="26" t="str">
        <f aca="false">IF($A138="","",IFERROR(INDEX('2. Plot &amp; Core Log'!$S$6:$S$35,MATCH($A138,'2. Plot &amp; Core Log'!$B$6:$B$35,0)),""))</f>
        <v/>
      </c>
      <c r="I138" s="16" t="str">
        <f aca="false">IF(OR($C138="",$G138=""),"",$C138*$G138)</f>
        <v/>
      </c>
      <c r="J138" s="16" t="str">
        <f aca="false">IF(OR($D138="",$G138=""),"",$D138*$G138)</f>
        <v/>
      </c>
      <c r="K138" s="16" t="str">
        <f aca="false">IF(OR($F138="",$H138=""),"",PI()*(($H138/2)^2)*$F138)</f>
        <v/>
      </c>
      <c r="L138" s="27"/>
      <c r="M138" s="27"/>
      <c r="N138" s="27"/>
      <c r="O138" s="27"/>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8" t="str">
        <f aca="false">IF(OR($Q138="",$R138=""),"",$Q138*$R138/100)</f>
        <v/>
      </c>
      <c r="U138" s="29"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4"/>
      <c r="D139" s="24"/>
      <c r="E139" s="14"/>
      <c r="F139" s="16" t="str">
        <f aca="false">IF(OR($C139="",$D139=""),"",$D139-$C139)</f>
        <v/>
      </c>
      <c r="G139" s="25" t="str">
        <f aca="false">IF($A139="","",IFERROR(INDEX('2. Plot &amp; Core Log'!$M$6:$M$35,MATCH($A139,'2. Plot &amp; Core Log'!$B$6:$B$35,0)),""))</f>
        <v/>
      </c>
      <c r="H139" s="26" t="str">
        <f aca="false">IF($A139="","",IFERROR(INDEX('2. Plot &amp; Core Log'!$S$6:$S$35,MATCH($A139,'2. Plot &amp; Core Log'!$B$6:$B$35,0)),""))</f>
        <v/>
      </c>
      <c r="I139" s="16" t="str">
        <f aca="false">IF(OR($C139="",$G139=""),"",$C139*$G139)</f>
        <v/>
      </c>
      <c r="J139" s="16" t="str">
        <f aca="false">IF(OR($D139="",$G139=""),"",$D139*$G139)</f>
        <v/>
      </c>
      <c r="K139" s="16" t="str">
        <f aca="false">IF(OR($F139="",$H139=""),"",PI()*(($H139/2)^2)*$F139)</f>
        <v/>
      </c>
      <c r="L139" s="27"/>
      <c r="M139" s="27"/>
      <c r="N139" s="27"/>
      <c r="O139" s="27"/>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8" t="str">
        <f aca="false">IF(OR($Q139="",$R139=""),"",$Q139*$R139/100)</f>
        <v/>
      </c>
      <c r="U139" s="29"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4"/>
      <c r="D140" s="24"/>
      <c r="E140" s="14"/>
      <c r="F140" s="16" t="str">
        <f aca="false">IF(OR($C140="",$D140=""),"",$D140-$C140)</f>
        <v/>
      </c>
      <c r="G140" s="25" t="str">
        <f aca="false">IF($A140="","",IFERROR(INDEX('2. Plot &amp; Core Log'!$M$6:$M$35,MATCH($A140,'2. Plot &amp; Core Log'!$B$6:$B$35,0)),""))</f>
        <v/>
      </c>
      <c r="H140" s="26" t="str">
        <f aca="false">IF($A140="","",IFERROR(INDEX('2. Plot &amp; Core Log'!$S$6:$S$35,MATCH($A140,'2. Plot &amp; Core Log'!$B$6:$B$35,0)),""))</f>
        <v/>
      </c>
      <c r="I140" s="16" t="str">
        <f aca="false">IF(OR($C140="",$G140=""),"",$C140*$G140)</f>
        <v/>
      </c>
      <c r="J140" s="16" t="str">
        <f aca="false">IF(OR($D140="",$G140=""),"",$D140*$G140)</f>
        <v/>
      </c>
      <c r="K140" s="16" t="str">
        <f aca="false">IF(OR($F140="",$H140=""),"",PI()*(($H140/2)^2)*$F140)</f>
        <v/>
      </c>
      <c r="L140" s="27"/>
      <c r="M140" s="27"/>
      <c r="N140" s="27"/>
      <c r="O140" s="27"/>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8" t="str">
        <f aca="false">IF(OR($Q140="",$R140=""),"",$Q140*$R140/100)</f>
        <v/>
      </c>
      <c r="U140" s="29"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4"/>
      <c r="D141" s="24"/>
      <c r="E141" s="14"/>
      <c r="F141" s="16" t="str">
        <f aca="false">IF(OR($C141="",$D141=""),"",$D141-$C141)</f>
        <v/>
      </c>
      <c r="G141" s="25" t="str">
        <f aca="false">IF($A141="","",IFERROR(INDEX('2. Plot &amp; Core Log'!$M$6:$M$35,MATCH($A141,'2. Plot &amp; Core Log'!$B$6:$B$35,0)),""))</f>
        <v/>
      </c>
      <c r="H141" s="26" t="str">
        <f aca="false">IF($A141="","",IFERROR(INDEX('2. Plot &amp; Core Log'!$S$6:$S$35,MATCH($A141,'2. Plot &amp; Core Log'!$B$6:$B$35,0)),""))</f>
        <v/>
      </c>
      <c r="I141" s="16" t="str">
        <f aca="false">IF(OR($C141="",$G141=""),"",$C141*$G141)</f>
        <v/>
      </c>
      <c r="J141" s="16" t="str">
        <f aca="false">IF(OR($D141="",$G141=""),"",$D141*$G141)</f>
        <v/>
      </c>
      <c r="K141" s="16" t="str">
        <f aca="false">IF(OR($F141="",$H141=""),"",PI()*(($H141/2)^2)*$F141)</f>
        <v/>
      </c>
      <c r="L141" s="27"/>
      <c r="M141" s="27"/>
      <c r="N141" s="27"/>
      <c r="O141" s="27"/>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8" t="str">
        <f aca="false">IF(OR($Q141="",$R141=""),"",$Q141*$R141/100)</f>
        <v/>
      </c>
      <c r="U141" s="29"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4"/>
      <c r="D142" s="24"/>
      <c r="E142" s="14"/>
      <c r="F142" s="16" t="str">
        <f aca="false">IF(OR($C142="",$D142=""),"",$D142-$C142)</f>
        <v/>
      </c>
      <c r="G142" s="25" t="str">
        <f aca="false">IF($A142="","",IFERROR(INDEX('2. Plot &amp; Core Log'!$M$6:$M$35,MATCH($A142,'2. Plot &amp; Core Log'!$B$6:$B$35,0)),""))</f>
        <v/>
      </c>
      <c r="H142" s="26" t="str">
        <f aca="false">IF($A142="","",IFERROR(INDEX('2. Plot &amp; Core Log'!$S$6:$S$35,MATCH($A142,'2. Plot &amp; Core Log'!$B$6:$B$35,0)),""))</f>
        <v/>
      </c>
      <c r="I142" s="16" t="str">
        <f aca="false">IF(OR($C142="",$G142=""),"",$C142*$G142)</f>
        <v/>
      </c>
      <c r="J142" s="16" t="str">
        <f aca="false">IF(OR($D142="",$G142=""),"",$D142*$G142)</f>
        <v/>
      </c>
      <c r="K142" s="16" t="str">
        <f aca="false">IF(OR($F142="",$H142=""),"",PI()*(($H142/2)^2)*$F142)</f>
        <v/>
      </c>
      <c r="L142" s="27"/>
      <c r="M142" s="27"/>
      <c r="N142" s="27"/>
      <c r="O142" s="27"/>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8" t="str">
        <f aca="false">IF(OR($Q142="",$R142=""),"",$Q142*$R142/100)</f>
        <v/>
      </c>
      <c r="U142" s="29"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4"/>
      <c r="D143" s="24"/>
      <c r="E143" s="14"/>
      <c r="F143" s="16" t="str">
        <f aca="false">IF(OR($C143="",$D143=""),"",$D143-$C143)</f>
        <v/>
      </c>
      <c r="G143" s="25" t="str">
        <f aca="false">IF($A143="","",IFERROR(INDEX('2. Plot &amp; Core Log'!$M$6:$M$35,MATCH($A143,'2. Plot &amp; Core Log'!$B$6:$B$35,0)),""))</f>
        <v/>
      </c>
      <c r="H143" s="26" t="str">
        <f aca="false">IF($A143="","",IFERROR(INDEX('2. Plot &amp; Core Log'!$S$6:$S$35,MATCH($A143,'2. Plot &amp; Core Log'!$B$6:$B$35,0)),""))</f>
        <v/>
      </c>
      <c r="I143" s="16" t="str">
        <f aca="false">IF(OR($C143="",$G143=""),"",$C143*$G143)</f>
        <v/>
      </c>
      <c r="J143" s="16" t="str">
        <f aca="false">IF(OR($D143="",$G143=""),"",$D143*$G143)</f>
        <v/>
      </c>
      <c r="K143" s="16" t="str">
        <f aca="false">IF(OR($F143="",$H143=""),"",PI()*(($H143/2)^2)*$F143)</f>
        <v/>
      </c>
      <c r="L143" s="27"/>
      <c r="M143" s="27"/>
      <c r="N143" s="27"/>
      <c r="O143" s="27"/>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8" t="str">
        <f aca="false">IF(OR($Q143="",$R143=""),"",$Q143*$R143/100)</f>
        <v/>
      </c>
      <c r="U143" s="29"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4"/>
      <c r="D144" s="24"/>
      <c r="E144" s="14"/>
      <c r="F144" s="16" t="str">
        <f aca="false">IF(OR($C144="",$D144=""),"",$D144-$C144)</f>
        <v/>
      </c>
      <c r="G144" s="25" t="str">
        <f aca="false">IF($A144="","",IFERROR(INDEX('2. Plot &amp; Core Log'!$M$6:$M$35,MATCH($A144,'2. Plot &amp; Core Log'!$B$6:$B$35,0)),""))</f>
        <v/>
      </c>
      <c r="H144" s="26" t="str">
        <f aca="false">IF($A144="","",IFERROR(INDEX('2. Plot &amp; Core Log'!$S$6:$S$35,MATCH($A144,'2. Plot &amp; Core Log'!$B$6:$B$35,0)),""))</f>
        <v/>
      </c>
      <c r="I144" s="16" t="str">
        <f aca="false">IF(OR($C144="",$G144=""),"",$C144*$G144)</f>
        <v/>
      </c>
      <c r="J144" s="16" t="str">
        <f aca="false">IF(OR($D144="",$G144=""),"",$D144*$G144)</f>
        <v/>
      </c>
      <c r="K144" s="16" t="str">
        <f aca="false">IF(OR($F144="",$H144=""),"",PI()*(($H144/2)^2)*$F144)</f>
        <v/>
      </c>
      <c r="L144" s="27"/>
      <c r="M144" s="27"/>
      <c r="N144" s="27"/>
      <c r="O144" s="27"/>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8" t="str">
        <f aca="false">IF(OR($Q144="",$R144=""),"",$Q144*$R144/100)</f>
        <v/>
      </c>
      <c r="U144" s="29"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4"/>
      <c r="D145" s="24"/>
      <c r="E145" s="14"/>
      <c r="F145" s="16" t="str">
        <f aca="false">IF(OR($C145="",$D145=""),"",$D145-$C145)</f>
        <v/>
      </c>
      <c r="G145" s="25" t="str">
        <f aca="false">IF($A145="","",IFERROR(INDEX('2. Plot &amp; Core Log'!$M$6:$M$35,MATCH($A145,'2. Plot &amp; Core Log'!$B$6:$B$35,0)),""))</f>
        <v/>
      </c>
      <c r="H145" s="26" t="str">
        <f aca="false">IF($A145="","",IFERROR(INDEX('2. Plot &amp; Core Log'!$S$6:$S$35,MATCH($A145,'2. Plot &amp; Core Log'!$B$6:$B$35,0)),""))</f>
        <v/>
      </c>
      <c r="I145" s="16" t="str">
        <f aca="false">IF(OR($C145="",$G145=""),"",$C145*$G145)</f>
        <v/>
      </c>
      <c r="J145" s="16" t="str">
        <f aca="false">IF(OR($D145="",$G145=""),"",$D145*$G145)</f>
        <v/>
      </c>
      <c r="K145" s="16" t="str">
        <f aca="false">IF(OR($F145="",$H145=""),"",PI()*(($H145/2)^2)*$F145)</f>
        <v/>
      </c>
      <c r="L145" s="27"/>
      <c r="M145" s="27"/>
      <c r="N145" s="27"/>
      <c r="O145" s="27"/>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8" t="str">
        <f aca="false">IF(OR($Q145="",$R145=""),"",$Q145*$R145/100)</f>
        <v/>
      </c>
      <c r="U145" s="29"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4"/>
      <c r="D146" s="24"/>
      <c r="E146" s="14"/>
      <c r="F146" s="16" t="str">
        <f aca="false">IF(OR($C146="",$D146=""),"",$D146-$C146)</f>
        <v/>
      </c>
      <c r="G146" s="25" t="str">
        <f aca="false">IF($A146="","",IFERROR(INDEX('2. Plot &amp; Core Log'!$M$6:$M$35,MATCH($A146,'2. Plot &amp; Core Log'!$B$6:$B$35,0)),""))</f>
        <v/>
      </c>
      <c r="H146" s="26" t="str">
        <f aca="false">IF($A146="","",IFERROR(INDEX('2. Plot &amp; Core Log'!$S$6:$S$35,MATCH($A146,'2. Plot &amp; Core Log'!$B$6:$B$35,0)),""))</f>
        <v/>
      </c>
      <c r="I146" s="16" t="str">
        <f aca="false">IF(OR($C146="",$G146=""),"",$C146*$G146)</f>
        <v/>
      </c>
      <c r="J146" s="16" t="str">
        <f aca="false">IF(OR($D146="",$G146=""),"",$D146*$G146)</f>
        <v/>
      </c>
      <c r="K146" s="16" t="str">
        <f aca="false">IF(OR($F146="",$H146=""),"",PI()*(($H146/2)^2)*$F146)</f>
        <v/>
      </c>
      <c r="L146" s="27"/>
      <c r="M146" s="27"/>
      <c r="N146" s="27"/>
      <c r="O146" s="27"/>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8" t="str">
        <f aca="false">IF(OR($Q146="",$R146=""),"",$Q146*$R146/100)</f>
        <v/>
      </c>
      <c r="U146" s="29"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4"/>
      <c r="D147" s="24"/>
      <c r="E147" s="14"/>
      <c r="F147" s="16" t="str">
        <f aca="false">IF(OR($C147="",$D147=""),"",$D147-$C147)</f>
        <v/>
      </c>
      <c r="G147" s="25" t="str">
        <f aca="false">IF($A147="","",IFERROR(INDEX('2. Plot &amp; Core Log'!$M$6:$M$35,MATCH($A147,'2. Plot &amp; Core Log'!$B$6:$B$35,0)),""))</f>
        <v/>
      </c>
      <c r="H147" s="26" t="str">
        <f aca="false">IF($A147="","",IFERROR(INDEX('2. Plot &amp; Core Log'!$S$6:$S$35,MATCH($A147,'2. Plot &amp; Core Log'!$B$6:$B$35,0)),""))</f>
        <v/>
      </c>
      <c r="I147" s="16" t="str">
        <f aca="false">IF(OR($C147="",$G147=""),"",$C147*$G147)</f>
        <v/>
      </c>
      <c r="J147" s="16" t="str">
        <f aca="false">IF(OR($D147="",$G147=""),"",$D147*$G147)</f>
        <v/>
      </c>
      <c r="K147" s="16" t="str">
        <f aca="false">IF(OR($F147="",$H147=""),"",PI()*(($H147/2)^2)*$F147)</f>
        <v/>
      </c>
      <c r="L147" s="27"/>
      <c r="M147" s="27"/>
      <c r="N147" s="27"/>
      <c r="O147" s="27"/>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8" t="str">
        <f aca="false">IF(OR($Q147="",$R147=""),"",$Q147*$R147/100)</f>
        <v/>
      </c>
      <c r="U147" s="29"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4"/>
      <c r="D148" s="24"/>
      <c r="E148" s="14"/>
      <c r="F148" s="16" t="str">
        <f aca="false">IF(OR($C148="",$D148=""),"",$D148-$C148)</f>
        <v/>
      </c>
      <c r="G148" s="25" t="str">
        <f aca="false">IF($A148="","",IFERROR(INDEX('2. Plot &amp; Core Log'!$M$6:$M$35,MATCH($A148,'2. Plot &amp; Core Log'!$B$6:$B$35,0)),""))</f>
        <v/>
      </c>
      <c r="H148" s="26" t="str">
        <f aca="false">IF($A148="","",IFERROR(INDEX('2. Plot &amp; Core Log'!$S$6:$S$35,MATCH($A148,'2. Plot &amp; Core Log'!$B$6:$B$35,0)),""))</f>
        <v/>
      </c>
      <c r="I148" s="16" t="str">
        <f aca="false">IF(OR($C148="",$G148=""),"",$C148*$G148)</f>
        <v/>
      </c>
      <c r="J148" s="16" t="str">
        <f aca="false">IF(OR($D148="",$G148=""),"",$D148*$G148)</f>
        <v/>
      </c>
      <c r="K148" s="16" t="str">
        <f aca="false">IF(OR($F148="",$H148=""),"",PI()*(($H148/2)^2)*$F148)</f>
        <v/>
      </c>
      <c r="L148" s="27"/>
      <c r="M148" s="27"/>
      <c r="N148" s="27"/>
      <c r="O148" s="27"/>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8" t="str">
        <f aca="false">IF(OR($Q148="",$R148=""),"",$Q148*$R148/100)</f>
        <v/>
      </c>
      <c r="U148" s="29"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4"/>
      <c r="D149" s="24"/>
      <c r="E149" s="14"/>
      <c r="F149" s="16" t="str">
        <f aca="false">IF(OR($C149="",$D149=""),"",$D149-$C149)</f>
        <v/>
      </c>
      <c r="G149" s="25" t="str">
        <f aca="false">IF($A149="","",IFERROR(INDEX('2. Plot &amp; Core Log'!$M$6:$M$35,MATCH($A149,'2. Plot &amp; Core Log'!$B$6:$B$35,0)),""))</f>
        <v/>
      </c>
      <c r="H149" s="26" t="str">
        <f aca="false">IF($A149="","",IFERROR(INDEX('2. Plot &amp; Core Log'!$S$6:$S$35,MATCH($A149,'2. Plot &amp; Core Log'!$B$6:$B$35,0)),""))</f>
        <v/>
      </c>
      <c r="I149" s="16" t="str">
        <f aca="false">IF(OR($C149="",$G149=""),"",$C149*$G149)</f>
        <v/>
      </c>
      <c r="J149" s="16" t="str">
        <f aca="false">IF(OR($D149="",$G149=""),"",$D149*$G149)</f>
        <v/>
      </c>
      <c r="K149" s="16" t="str">
        <f aca="false">IF(OR($F149="",$H149=""),"",PI()*(($H149/2)^2)*$F149)</f>
        <v/>
      </c>
      <c r="L149" s="27"/>
      <c r="M149" s="27"/>
      <c r="N149" s="27"/>
      <c r="O149" s="27"/>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8" t="str">
        <f aca="false">IF(OR($Q149="",$R149=""),"",$Q149*$R149/100)</f>
        <v/>
      </c>
      <c r="U149" s="29"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4"/>
      <c r="D150" s="24"/>
      <c r="E150" s="14"/>
      <c r="F150" s="16" t="str">
        <f aca="false">IF(OR($C150="",$D150=""),"",$D150-$C150)</f>
        <v/>
      </c>
      <c r="G150" s="25" t="str">
        <f aca="false">IF($A150="","",IFERROR(INDEX('2. Plot &amp; Core Log'!$M$6:$M$35,MATCH($A150,'2. Plot &amp; Core Log'!$B$6:$B$35,0)),""))</f>
        <v/>
      </c>
      <c r="H150" s="26" t="str">
        <f aca="false">IF($A150="","",IFERROR(INDEX('2. Plot &amp; Core Log'!$S$6:$S$35,MATCH($A150,'2. Plot &amp; Core Log'!$B$6:$B$35,0)),""))</f>
        <v/>
      </c>
      <c r="I150" s="16" t="str">
        <f aca="false">IF(OR($C150="",$G150=""),"",$C150*$G150)</f>
        <v/>
      </c>
      <c r="J150" s="16" t="str">
        <f aca="false">IF(OR($D150="",$G150=""),"",$D150*$G150)</f>
        <v/>
      </c>
      <c r="K150" s="16" t="str">
        <f aca="false">IF(OR($F150="",$H150=""),"",PI()*(($H150/2)^2)*$F150)</f>
        <v/>
      </c>
      <c r="L150" s="27"/>
      <c r="M150" s="27"/>
      <c r="N150" s="27"/>
      <c r="O150" s="27"/>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8" t="str">
        <f aca="false">IF(OR($Q150="",$R150=""),"",$Q150*$R150/100)</f>
        <v/>
      </c>
      <c r="U150" s="29"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4"/>
      <c r="D151" s="24"/>
      <c r="E151" s="14"/>
      <c r="F151" s="16" t="str">
        <f aca="false">IF(OR($C151="",$D151=""),"",$D151-$C151)</f>
        <v/>
      </c>
      <c r="G151" s="25" t="str">
        <f aca="false">IF($A151="","",IFERROR(INDEX('2. Plot &amp; Core Log'!$M$6:$M$35,MATCH($A151,'2. Plot &amp; Core Log'!$B$6:$B$35,0)),""))</f>
        <v/>
      </c>
      <c r="H151" s="26" t="str">
        <f aca="false">IF($A151="","",IFERROR(INDEX('2. Plot &amp; Core Log'!$S$6:$S$35,MATCH($A151,'2. Plot &amp; Core Log'!$B$6:$B$35,0)),""))</f>
        <v/>
      </c>
      <c r="I151" s="16" t="str">
        <f aca="false">IF(OR($C151="",$G151=""),"",$C151*$G151)</f>
        <v/>
      </c>
      <c r="J151" s="16" t="str">
        <f aca="false">IF(OR($D151="",$G151=""),"",$D151*$G151)</f>
        <v/>
      </c>
      <c r="K151" s="16" t="str">
        <f aca="false">IF(OR($F151="",$H151=""),"",PI()*(($H151/2)^2)*$F151)</f>
        <v/>
      </c>
      <c r="L151" s="27"/>
      <c r="M151" s="27"/>
      <c r="N151" s="27"/>
      <c r="O151" s="27"/>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8" t="str">
        <f aca="false">IF(OR($Q151="",$R151=""),"",$Q151*$R151/100)</f>
        <v/>
      </c>
      <c r="U151" s="29"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4"/>
      <c r="D152" s="24"/>
      <c r="E152" s="14"/>
      <c r="F152" s="16" t="str">
        <f aca="false">IF(OR($C152="",$D152=""),"",$D152-$C152)</f>
        <v/>
      </c>
      <c r="G152" s="25" t="str">
        <f aca="false">IF($A152="","",IFERROR(INDEX('2. Plot &amp; Core Log'!$M$6:$M$35,MATCH($A152,'2. Plot &amp; Core Log'!$B$6:$B$35,0)),""))</f>
        <v/>
      </c>
      <c r="H152" s="26" t="str">
        <f aca="false">IF($A152="","",IFERROR(INDEX('2. Plot &amp; Core Log'!$S$6:$S$35,MATCH($A152,'2. Plot &amp; Core Log'!$B$6:$B$35,0)),""))</f>
        <v/>
      </c>
      <c r="I152" s="16" t="str">
        <f aca="false">IF(OR($C152="",$G152=""),"",$C152*$G152)</f>
        <v/>
      </c>
      <c r="J152" s="16" t="str">
        <f aca="false">IF(OR($D152="",$G152=""),"",$D152*$G152)</f>
        <v/>
      </c>
      <c r="K152" s="16" t="str">
        <f aca="false">IF(OR($F152="",$H152=""),"",PI()*(($H152/2)^2)*$F152)</f>
        <v/>
      </c>
      <c r="L152" s="27"/>
      <c r="M152" s="27"/>
      <c r="N152" s="27"/>
      <c r="O152" s="27"/>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8" t="str">
        <f aca="false">IF(OR($Q152="",$R152=""),"",$Q152*$R152/100)</f>
        <v/>
      </c>
      <c r="U152" s="29"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4"/>
      <c r="D153" s="24"/>
      <c r="E153" s="14"/>
      <c r="F153" s="16" t="str">
        <f aca="false">IF(OR($C153="",$D153=""),"",$D153-$C153)</f>
        <v/>
      </c>
      <c r="G153" s="25" t="str">
        <f aca="false">IF($A153="","",IFERROR(INDEX('2. Plot &amp; Core Log'!$M$6:$M$35,MATCH($A153,'2. Plot &amp; Core Log'!$B$6:$B$35,0)),""))</f>
        <v/>
      </c>
      <c r="H153" s="26" t="str">
        <f aca="false">IF($A153="","",IFERROR(INDEX('2. Plot &amp; Core Log'!$S$6:$S$35,MATCH($A153,'2. Plot &amp; Core Log'!$B$6:$B$35,0)),""))</f>
        <v/>
      </c>
      <c r="I153" s="16" t="str">
        <f aca="false">IF(OR($C153="",$G153=""),"",$C153*$G153)</f>
        <v/>
      </c>
      <c r="J153" s="16" t="str">
        <f aca="false">IF(OR($D153="",$G153=""),"",$D153*$G153)</f>
        <v/>
      </c>
      <c r="K153" s="16" t="str">
        <f aca="false">IF(OR($F153="",$H153=""),"",PI()*(($H153/2)^2)*$F153)</f>
        <v/>
      </c>
      <c r="L153" s="27"/>
      <c r="M153" s="27"/>
      <c r="N153" s="27"/>
      <c r="O153" s="27"/>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8" t="str">
        <f aca="false">IF(OR($Q153="",$R153=""),"",$Q153*$R153/100)</f>
        <v/>
      </c>
      <c r="U153" s="29"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4"/>
      <c r="D154" s="24"/>
      <c r="E154" s="14"/>
      <c r="F154" s="16" t="str">
        <f aca="false">IF(OR($C154="",$D154=""),"",$D154-$C154)</f>
        <v/>
      </c>
      <c r="G154" s="25" t="str">
        <f aca="false">IF($A154="","",IFERROR(INDEX('2. Plot &amp; Core Log'!$M$6:$M$35,MATCH($A154,'2. Plot &amp; Core Log'!$B$6:$B$35,0)),""))</f>
        <v/>
      </c>
      <c r="H154" s="26" t="str">
        <f aca="false">IF($A154="","",IFERROR(INDEX('2. Plot &amp; Core Log'!$S$6:$S$35,MATCH($A154,'2. Plot &amp; Core Log'!$B$6:$B$35,0)),""))</f>
        <v/>
      </c>
      <c r="I154" s="16" t="str">
        <f aca="false">IF(OR($C154="",$G154=""),"",$C154*$G154)</f>
        <v/>
      </c>
      <c r="J154" s="16" t="str">
        <f aca="false">IF(OR($D154="",$G154=""),"",$D154*$G154)</f>
        <v/>
      </c>
      <c r="K154" s="16" t="str">
        <f aca="false">IF(OR($F154="",$H154=""),"",PI()*(($H154/2)^2)*$F154)</f>
        <v/>
      </c>
      <c r="L154" s="27"/>
      <c r="M154" s="27"/>
      <c r="N154" s="27"/>
      <c r="O154" s="27"/>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8" t="str">
        <f aca="false">IF(OR($Q154="",$R154=""),"",$Q154*$R154/100)</f>
        <v/>
      </c>
      <c r="U154" s="29"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4"/>
      <c r="D155" s="24"/>
      <c r="E155" s="14"/>
      <c r="F155" s="16" t="str">
        <f aca="false">IF(OR($C155="",$D155=""),"",$D155-$C155)</f>
        <v/>
      </c>
      <c r="G155" s="25" t="str">
        <f aca="false">IF($A155="","",IFERROR(INDEX('2. Plot &amp; Core Log'!$M$6:$M$35,MATCH($A155,'2. Plot &amp; Core Log'!$B$6:$B$35,0)),""))</f>
        <v/>
      </c>
      <c r="H155" s="26" t="str">
        <f aca="false">IF($A155="","",IFERROR(INDEX('2. Plot &amp; Core Log'!$S$6:$S$35,MATCH($A155,'2. Plot &amp; Core Log'!$B$6:$B$35,0)),""))</f>
        <v/>
      </c>
      <c r="I155" s="16" t="str">
        <f aca="false">IF(OR($C155="",$G155=""),"",$C155*$G155)</f>
        <v/>
      </c>
      <c r="J155" s="16" t="str">
        <f aca="false">IF(OR($D155="",$G155=""),"",$D155*$G155)</f>
        <v/>
      </c>
      <c r="K155" s="16" t="str">
        <f aca="false">IF(OR($F155="",$H155=""),"",PI()*(($H155/2)^2)*$F155)</f>
        <v/>
      </c>
      <c r="L155" s="27"/>
      <c r="M155" s="27"/>
      <c r="N155" s="27"/>
      <c r="O155" s="27"/>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8" t="str">
        <f aca="false">IF(OR($Q155="",$R155=""),"",$Q155*$R155/100)</f>
        <v/>
      </c>
      <c r="U155" s="29"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4"/>
      <c r="D156" s="24"/>
      <c r="E156" s="14"/>
      <c r="F156" s="16" t="str">
        <f aca="false">IF(OR($C156="",$D156=""),"",$D156-$C156)</f>
        <v/>
      </c>
      <c r="G156" s="25" t="str">
        <f aca="false">IF($A156="","",IFERROR(INDEX('2. Plot &amp; Core Log'!$M$6:$M$35,MATCH($A156,'2. Plot &amp; Core Log'!$B$6:$B$35,0)),""))</f>
        <v/>
      </c>
      <c r="H156" s="26" t="str">
        <f aca="false">IF($A156="","",IFERROR(INDEX('2. Plot &amp; Core Log'!$S$6:$S$35,MATCH($A156,'2. Plot &amp; Core Log'!$B$6:$B$35,0)),""))</f>
        <v/>
      </c>
      <c r="I156" s="16" t="str">
        <f aca="false">IF(OR($C156="",$G156=""),"",$C156*$G156)</f>
        <v/>
      </c>
      <c r="J156" s="16" t="str">
        <f aca="false">IF(OR($D156="",$G156=""),"",$D156*$G156)</f>
        <v/>
      </c>
      <c r="K156" s="16" t="str">
        <f aca="false">IF(OR($F156="",$H156=""),"",PI()*(($H156/2)^2)*$F156)</f>
        <v/>
      </c>
      <c r="L156" s="27"/>
      <c r="M156" s="27"/>
      <c r="N156" s="27"/>
      <c r="O156" s="27"/>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8" t="str">
        <f aca="false">IF(OR($Q156="",$R156=""),"",$Q156*$R156/100)</f>
        <v/>
      </c>
      <c r="U156" s="29"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4"/>
      <c r="D157" s="24"/>
      <c r="E157" s="14"/>
      <c r="F157" s="16" t="str">
        <f aca="false">IF(OR($C157="",$D157=""),"",$D157-$C157)</f>
        <v/>
      </c>
      <c r="G157" s="25" t="str">
        <f aca="false">IF($A157="","",IFERROR(INDEX('2. Plot &amp; Core Log'!$M$6:$M$35,MATCH($A157,'2. Plot &amp; Core Log'!$B$6:$B$35,0)),""))</f>
        <v/>
      </c>
      <c r="H157" s="26" t="str">
        <f aca="false">IF($A157="","",IFERROR(INDEX('2. Plot &amp; Core Log'!$S$6:$S$35,MATCH($A157,'2. Plot &amp; Core Log'!$B$6:$B$35,0)),""))</f>
        <v/>
      </c>
      <c r="I157" s="16" t="str">
        <f aca="false">IF(OR($C157="",$G157=""),"",$C157*$G157)</f>
        <v/>
      </c>
      <c r="J157" s="16" t="str">
        <f aca="false">IF(OR($D157="",$G157=""),"",$D157*$G157)</f>
        <v/>
      </c>
      <c r="K157" s="16" t="str">
        <f aca="false">IF(OR($F157="",$H157=""),"",PI()*(($H157/2)^2)*$F157)</f>
        <v/>
      </c>
      <c r="L157" s="27"/>
      <c r="M157" s="27"/>
      <c r="N157" s="27"/>
      <c r="O157" s="27"/>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8" t="str">
        <f aca="false">IF(OR($Q157="",$R157=""),"",$Q157*$R157/100)</f>
        <v/>
      </c>
      <c r="U157" s="29"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4"/>
      <c r="D158" s="24"/>
      <c r="E158" s="14"/>
      <c r="F158" s="16" t="str">
        <f aca="false">IF(OR($C158="",$D158=""),"",$D158-$C158)</f>
        <v/>
      </c>
      <c r="G158" s="25" t="str">
        <f aca="false">IF($A158="","",IFERROR(INDEX('2. Plot &amp; Core Log'!$M$6:$M$35,MATCH($A158,'2. Plot &amp; Core Log'!$B$6:$B$35,0)),""))</f>
        <v/>
      </c>
      <c r="H158" s="26" t="str">
        <f aca="false">IF($A158="","",IFERROR(INDEX('2. Plot &amp; Core Log'!$S$6:$S$35,MATCH($A158,'2. Plot &amp; Core Log'!$B$6:$B$35,0)),""))</f>
        <v/>
      </c>
      <c r="I158" s="16" t="str">
        <f aca="false">IF(OR($C158="",$G158=""),"",$C158*$G158)</f>
        <v/>
      </c>
      <c r="J158" s="16" t="str">
        <f aca="false">IF(OR($D158="",$G158=""),"",$D158*$G158)</f>
        <v/>
      </c>
      <c r="K158" s="16" t="str">
        <f aca="false">IF(OR($F158="",$H158=""),"",PI()*(($H158/2)^2)*$F158)</f>
        <v/>
      </c>
      <c r="L158" s="27"/>
      <c r="M158" s="27"/>
      <c r="N158" s="27"/>
      <c r="O158" s="27"/>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8" t="str">
        <f aca="false">IF(OR($Q158="",$R158=""),"",$Q158*$R158/100)</f>
        <v/>
      </c>
      <c r="U158" s="29"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4"/>
      <c r="D159" s="24"/>
      <c r="E159" s="14"/>
      <c r="F159" s="16" t="str">
        <f aca="false">IF(OR($C159="",$D159=""),"",$D159-$C159)</f>
        <v/>
      </c>
      <c r="G159" s="25" t="str">
        <f aca="false">IF($A159="","",IFERROR(INDEX('2. Plot &amp; Core Log'!$M$6:$M$35,MATCH($A159,'2. Plot &amp; Core Log'!$B$6:$B$35,0)),""))</f>
        <v/>
      </c>
      <c r="H159" s="26" t="str">
        <f aca="false">IF($A159="","",IFERROR(INDEX('2. Plot &amp; Core Log'!$S$6:$S$35,MATCH($A159,'2. Plot &amp; Core Log'!$B$6:$B$35,0)),""))</f>
        <v/>
      </c>
      <c r="I159" s="16" t="str">
        <f aca="false">IF(OR($C159="",$G159=""),"",$C159*$G159)</f>
        <v/>
      </c>
      <c r="J159" s="16" t="str">
        <f aca="false">IF(OR($D159="",$G159=""),"",$D159*$G159)</f>
        <v/>
      </c>
      <c r="K159" s="16" t="str">
        <f aca="false">IF(OR($F159="",$H159=""),"",PI()*(($H159/2)^2)*$F159)</f>
        <v/>
      </c>
      <c r="L159" s="27"/>
      <c r="M159" s="27"/>
      <c r="N159" s="27"/>
      <c r="O159" s="27"/>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8" t="str">
        <f aca="false">IF(OR($Q159="",$R159=""),"",$Q159*$R159/100)</f>
        <v/>
      </c>
      <c r="U159" s="29"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4"/>
      <c r="D160" s="24"/>
      <c r="E160" s="14"/>
      <c r="F160" s="16" t="str">
        <f aca="false">IF(OR($C160="",$D160=""),"",$D160-$C160)</f>
        <v/>
      </c>
      <c r="G160" s="25" t="str">
        <f aca="false">IF($A160="","",IFERROR(INDEX('2. Plot &amp; Core Log'!$M$6:$M$35,MATCH($A160,'2. Plot &amp; Core Log'!$B$6:$B$35,0)),""))</f>
        <v/>
      </c>
      <c r="H160" s="26" t="str">
        <f aca="false">IF($A160="","",IFERROR(INDEX('2. Plot &amp; Core Log'!$S$6:$S$35,MATCH($A160,'2. Plot &amp; Core Log'!$B$6:$B$35,0)),""))</f>
        <v/>
      </c>
      <c r="I160" s="16" t="str">
        <f aca="false">IF(OR($C160="",$G160=""),"",$C160*$G160)</f>
        <v/>
      </c>
      <c r="J160" s="16" t="str">
        <f aca="false">IF(OR($D160="",$G160=""),"",$D160*$G160)</f>
        <v/>
      </c>
      <c r="K160" s="16" t="str">
        <f aca="false">IF(OR($F160="",$H160=""),"",PI()*(($H160/2)^2)*$F160)</f>
        <v/>
      </c>
      <c r="L160" s="27"/>
      <c r="M160" s="27"/>
      <c r="N160" s="27"/>
      <c r="O160" s="27"/>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8" t="str">
        <f aca="false">IF(OR($Q160="",$R160=""),"",$Q160*$R160/100)</f>
        <v/>
      </c>
      <c r="U160" s="29"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4"/>
      <c r="D161" s="24"/>
      <c r="E161" s="14"/>
      <c r="F161" s="16" t="str">
        <f aca="false">IF(OR($C161="",$D161=""),"",$D161-$C161)</f>
        <v/>
      </c>
      <c r="G161" s="25" t="str">
        <f aca="false">IF($A161="","",IFERROR(INDEX('2. Plot &amp; Core Log'!$M$6:$M$35,MATCH($A161,'2. Plot &amp; Core Log'!$B$6:$B$35,0)),""))</f>
        <v/>
      </c>
      <c r="H161" s="26" t="str">
        <f aca="false">IF($A161="","",IFERROR(INDEX('2. Plot &amp; Core Log'!$S$6:$S$35,MATCH($A161,'2. Plot &amp; Core Log'!$B$6:$B$35,0)),""))</f>
        <v/>
      </c>
      <c r="I161" s="16" t="str">
        <f aca="false">IF(OR($C161="",$G161=""),"",$C161*$G161)</f>
        <v/>
      </c>
      <c r="J161" s="16" t="str">
        <f aca="false">IF(OR($D161="",$G161=""),"",$D161*$G161)</f>
        <v/>
      </c>
      <c r="K161" s="16" t="str">
        <f aca="false">IF(OR($F161="",$H161=""),"",PI()*(($H161/2)^2)*$F161)</f>
        <v/>
      </c>
      <c r="L161" s="27"/>
      <c r="M161" s="27"/>
      <c r="N161" s="27"/>
      <c r="O161" s="27"/>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8" t="str">
        <f aca="false">IF(OR($Q161="",$R161=""),"",$Q161*$R161/100)</f>
        <v/>
      </c>
      <c r="U161" s="29"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4"/>
      <c r="D162" s="24"/>
      <c r="E162" s="14"/>
      <c r="F162" s="16" t="str">
        <f aca="false">IF(OR($C162="",$D162=""),"",$D162-$C162)</f>
        <v/>
      </c>
      <c r="G162" s="25" t="str">
        <f aca="false">IF($A162="","",IFERROR(INDEX('2. Plot &amp; Core Log'!$M$6:$M$35,MATCH($A162,'2. Plot &amp; Core Log'!$B$6:$B$35,0)),""))</f>
        <v/>
      </c>
      <c r="H162" s="26" t="str">
        <f aca="false">IF($A162="","",IFERROR(INDEX('2. Plot &amp; Core Log'!$S$6:$S$35,MATCH($A162,'2. Plot &amp; Core Log'!$B$6:$B$35,0)),""))</f>
        <v/>
      </c>
      <c r="I162" s="16" t="str">
        <f aca="false">IF(OR($C162="",$G162=""),"",$C162*$G162)</f>
        <v/>
      </c>
      <c r="J162" s="16" t="str">
        <f aca="false">IF(OR($D162="",$G162=""),"",$D162*$G162)</f>
        <v/>
      </c>
      <c r="K162" s="16" t="str">
        <f aca="false">IF(OR($F162="",$H162=""),"",PI()*(($H162/2)^2)*$F162)</f>
        <v/>
      </c>
      <c r="L162" s="27"/>
      <c r="M162" s="27"/>
      <c r="N162" s="27"/>
      <c r="O162" s="27"/>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8" t="str">
        <f aca="false">IF(OR($Q162="",$R162=""),"",$Q162*$R162/100)</f>
        <v/>
      </c>
      <c r="U162" s="29"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4"/>
      <c r="D163" s="24"/>
      <c r="E163" s="14"/>
      <c r="F163" s="16" t="str">
        <f aca="false">IF(OR($C163="",$D163=""),"",$D163-$C163)</f>
        <v/>
      </c>
      <c r="G163" s="25" t="str">
        <f aca="false">IF($A163="","",IFERROR(INDEX('2. Plot &amp; Core Log'!$M$6:$M$35,MATCH($A163,'2. Plot &amp; Core Log'!$B$6:$B$35,0)),""))</f>
        <v/>
      </c>
      <c r="H163" s="26" t="str">
        <f aca="false">IF($A163="","",IFERROR(INDEX('2. Plot &amp; Core Log'!$S$6:$S$35,MATCH($A163,'2. Plot &amp; Core Log'!$B$6:$B$35,0)),""))</f>
        <v/>
      </c>
      <c r="I163" s="16" t="str">
        <f aca="false">IF(OR($C163="",$G163=""),"",$C163*$G163)</f>
        <v/>
      </c>
      <c r="J163" s="16" t="str">
        <f aca="false">IF(OR($D163="",$G163=""),"",$D163*$G163)</f>
        <v/>
      </c>
      <c r="K163" s="16" t="str">
        <f aca="false">IF(OR($F163="",$H163=""),"",PI()*(($H163/2)^2)*$F163)</f>
        <v/>
      </c>
      <c r="L163" s="27"/>
      <c r="M163" s="27"/>
      <c r="N163" s="27"/>
      <c r="O163" s="27"/>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8" t="str">
        <f aca="false">IF(OR($Q163="",$R163=""),"",$Q163*$R163/100)</f>
        <v/>
      </c>
      <c r="U163" s="29"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4"/>
      <c r="D164" s="24"/>
      <c r="E164" s="14"/>
      <c r="F164" s="16" t="str">
        <f aca="false">IF(OR($C164="",$D164=""),"",$D164-$C164)</f>
        <v/>
      </c>
      <c r="G164" s="25" t="str">
        <f aca="false">IF($A164="","",IFERROR(INDEX('2. Plot &amp; Core Log'!$M$6:$M$35,MATCH($A164,'2. Plot &amp; Core Log'!$B$6:$B$35,0)),""))</f>
        <v/>
      </c>
      <c r="H164" s="26" t="str">
        <f aca="false">IF($A164="","",IFERROR(INDEX('2. Plot &amp; Core Log'!$S$6:$S$35,MATCH($A164,'2. Plot &amp; Core Log'!$B$6:$B$35,0)),""))</f>
        <v/>
      </c>
      <c r="I164" s="16" t="str">
        <f aca="false">IF(OR($C164="",$G164=""),"",$C164*$G164)</f>
        <v/>
      </c>
      <c r="J164" s="16" t="str">
        <f aca="false">IF(OR($D164="",$G164=""),"",$D164*$G164)</f>
        <v/>
      </c>
      <c r="K164" s="16" t="str">
        <f aca="false">IF(OR($F164="",$H164=""),"",PI()*(($H164/2)^2)*$F164)</f>
        <v/>
      </c>
      <c r="L164" s="27"/>
      <c r="M164" s="27"/>
      <c r="N164" s="27"/>
      <c r="O164" s="27"/>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8" t="str">
        <f aca="false">IF(OR($Q164="",$R164=""),"",$Q164*$R164/100)</f>
        <v/>
      </c>
      <c r="U164" s="29"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4"/>
      <c r="D165" s="24"/>
      <c r="E165" s="14"/>
      <c r="F165" s="16" t="str">
        <f aca="false">IF(OR($C165="",$D165=""),"",$D165-$C165)</f>
        <v/>
      </c>
      <c r="G165" s="25" t="str">
        <f aca="false">IF($A165="","",IFERROR(INDEX('2. Plot &amp; Core Log'!$M$6:$M$35,MATCH($A165,'2. Plot &amp; Core Log'!$B$6:$B$35,0)),""))</f>
        <v/>
      </c>
      <c r="H165" s="26" t="str">
        <f aca="false">IF($A165="","",IFERROR(INDEX('2. Plot &amp; Core Log'!$S$6:$S$35,MATCH($A165,'2. Plot &amp; Core Log'!$B$6:$B$35,0)),""))</f>
        <v/>
      </c>
      <c r="I165" s="16" t="str">
        <f aca="false">IF(OR($C165="",$G165=""),"",$C165*$G165)</f>
        <v/>
      </c>
      <c r="J165" s="16" t="str">
        <f aca="false">IF(OR($D165="",$G165=""),"",$D165*$G165)</f>
        <v/>
      </c>
      <c r="K165" s="16" t="str">
        <f aca="false">IF(OR($F165="",$H165=""),"",PI()*(($H165/2)^2)*$F165)</f>
        <v/>
      </c>
      <c r="L165" s="27"/>
      <c r="M165" s="27"/>
      <c r="N165" s="27"/>
      <c r="O165" s="27"/>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8" t="str">
        <f aca="false">IF(OR($Q165="",$R165=""),"",$Q165*$R165/100)</f>
        <v/>
      </c>
      <c r="U165" s="29"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4"/>
      <c r="D166" s="24"/>
      <c r="E166" s="14"/>
      <c r="F166" s="16" t="str">
        <f aca="false">IF(OR($C166="",$D166=""),"",$D166-$C166)</f>
        <v/>
      </c>
      <c r="G166" s="25" t="str">
        <f aca="false">IF($A166="","",IFERROR(INDEX('2. Plot &amp; Core Log'!$M$6:$M$35,MATCH($A166,'2. Plot &amp; Core Log'!$B$6:$B$35,0)),""))</f>
        <v/>
      </c>
      <c r="H166" s="26" t="str">
        <f aca="false">IF($A166="","",IFERROR(INDEX('2. Plot &amp; Core Log'!$S$6:$S$35,MATCH($A166,'2. Plot &amp; Core Log'!$B$6:$B$35,0)),""))</f>
        <v/>
      </c>
      <c r="I166" s="16" t="str">
        <f aca="false">IF(OR($C166="",$G166=""),"",$C166*$G166)</f>
        <v/>
      </c>
      <c r="J166" s="16" t="str">
        <f aca="false">IF(OR($D166="",$G166=""),"",$D166*$G166)</f>
        <v/>
      </c>
      <c r="K166" s="16" t="str">
        <f aca="false">IF(OR($F166="",$H166=""),"",PI()*(($H166/2)^2)*$F166)</f>
        <v/>
      </c>
      <c r="L166" s="27"/>
      <c r="M166" s="27"/>
      <c r="N166" s="27"/>
      <c r="O166" s="27"/>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8" t="str">
        <f aca="false">IF(OR($Q166="",$R166=""),"",$Q166*$R166/100)</f>
        <v/>
      </c>
      <c r="U166" s="29"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4"/>
      <c r="D167" s="24"/>
      <c r="E167" s="14"/>
      <c r="F167" s="16" t="str">
        <f aca="false">IF(OR($C167="",$D167=""),"",$D167-$C167)</f>
        <v/>
      </c>
      <c r="G167" s="25" t="str">
        <f aca="false">IF($A167="","",IFERROR(INDEX('2. Plot &amp; Core Log'!$M$6:$M$35,MATCH($A167,'2. Plot &amp; Core Log'!$B$6:$B$35,0)),""))</f>
        <v/>
      </c>
      <c r="H167" s="26" t="str">
        <f aca="false">IF($A167="","",IFERROR(INDEX('2. Plot &amp; Core Log'!$S$6:$S$35,MATCH($A167,'2. Plot &amp; Core Log'!$B$6:$B$35,0)),""))</f>
        <v/>
      </c>
      <c r="I167" s="16" t="str">
        <f aca="false">IF(OR($C167="",$G167=""),"",$C167*$G167)</f>
        <v/>
      </c>
      <c r="J167" s="16" t="str">
        <f aca="false">IF(OR($D167="",$G167=""),"",$D167*$G167)</f>
        <v/>
      </c>
      <c r="K167" s="16" t="str">
        <f aca="false">IF(OR($F167="",$H167=""),"",PI()*(($H167/2)^2)*$F167)</f>
        <v/>
      </c>
      <c r="L167" s="27"/>
      <c r="M167" s="27"/>
      <c r="N167" s="27"/>
      <c r="O167" s="27"/>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8" t="str">
        <f aca="false">IF(OR($Q167="",$R167=""),"",$Q167*$R167/100)</f>
        <v/>
      </c>
      <c r="U167" s="29"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4"/>
      <c r="D168" s="24"/>
      <c r="E168" s="14"/>
      <c r="F168" s="16" t="str">
        <f aca="false">IF(OR($C168="",$D168=""),"",$D168-$C168)</f>
        <v/>
      </c>
      <c r="G168" s="25" t="str">
        <f aca="false">IF($A168="","",IFERROR(INDEX('2. Plot &amp; Core Log'!$M$6:$M$35,MATCH($A168,'2. Plot &amp; Core Log'!$B$6:$B$35,0)),""))</f>
        <v/>
      </c>
      <c r="H168" s="26" t="str">
        <f aca="false">IF($A168="","",IFERROR(INDEX('2. Plot &amp; Core Log'!$S$6:$S$35,MATCH($A168,'2. Plot &amp; Core Log'!$B$6:$B$35,0)),""))</f>
        <v/>
      </c>
      <c r="I168" s="16" t="str">
        <f aca="false">IF(OR($C168="",$G168=""),"",$C168*$G168)</f>
        <v/>
      </c>
      <c r="J168" s="16" t="str">
        <f aca="false">IF(OR($D168="",$G168=""),"",$D168*$G168)</f>
        <v/>
      </c>
      <c r="K168" s="16" t="str">
        <f aca="false">IF(OR($F168="",$H168=""),"",PI()*(($H168/2)^2)*$F168)</f>
        <v/>
      </c>
      <c r="L168" s="27"/>
      <c r="M168" s="27"/>
      <c r="N168" s="27"/>
      <c r="O168" s="27"/>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8" t="str">
        <f aca="false">IF(OR($Q168="",$R168=""),"",$Q168*$R168/100)</f>
        <v/>
      </c>
      <c r="U168" s="29"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4"/>
      <c r="D169" s="24"/>
      <c r="E169" s="14"/>
      <c r="F169" s="16" t="str">
        <f aca="false">IF(OR($C169="",$D169=""),"",$D169-$C169)</f>
        <v/>
      </c>
      <c r="G169" s="25" t="str">
        <f aca="false">IF($A169="","",IFERROR(INDEX('2. Plot &amp; Core Log'!$M$6:$M$35,MATCH($A169,'2. Plot &amp; Core Log'!$B$6:$B$35,0)),""))</f>
        <v/>
      </c>
      <c r="H169" s="26" t="str">
        <f aca="false">IF($A169="","",IFERROR(INDEX('2. Plot &amp; Core Log'!$S$6:$S$35,MATCH($A169,'2. Plot &amp; Core Log'!$B$6:$B$35,0)),""))</f>
        <v/>
      </c>
      <c r="I169" s="16" t="str">
        <f aca="false">IF(OR($C169="",$G169=""),"",$C169*$G169)</f>
        <v/>
      </c>
      <c r="J169" s="16" t="str">
        <f aca="false">IF(OR($D169="",$G169=""),"",$D169*$G169)</f>
        <v/>
      </c>
      <c r="K169" s="16" t="str">
        <f aca="false">IF(OR($F169="",$H169=""),"",PI()*(($H169/2)^2)*$F169)</f>
        <v/>
      </c>
      <c r="L169" s="27"/>
      <c r="M169" s="27"/>
      <c r="N169" s="27"/>
      <c r="O169" s="27"/>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8" t="str">
        <f aca="false">IF(OR($Q169="",$R169=""),"",$Q169*$R169/100)</f>
        <v/>
      </c>
      <c r="U169" s="29"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4"/>
      <c r="D170" s="24"/>
      <c r="E170" s="14"/>
      <c r="F170" s="16" t="str">
        <f aca="false">IF(OR($C170="",$D170=""),"",$D170-$C170)</f>
        <v/>
      </c>
      <c r="G170" s="25" t="str">
        <f aca="false">IF($A170="","",IFERROR(INDEX('2. Plot &amp; Core Log'!$M$6:$M$35,MATCH($A170,'2. Plot &amp; Core Log'!$B$6:$B$35,0)),""))</f>
        <v/>
      </c>
      <c r="H170" s="26" t="str">
        <f aca="false">IF($A170="","",IFERROR(INDEX('2. Plot &amp; Core Log'!$S$6:$S$35,MATCH($A170,'2. Plot &amp; Core Log'!$B$6:$B$35,0)),""))</f>
        <v/>
      </c>
      <c r="I170" s="16" t="str">
        <f aca="false">IF(OR($C170="",$G170=""),"",$C170*$G170)</f>
        <v/>
      </c>
      <c r="J170" s="16" t="str">
        <f aca="false">IF(OR($D170="",$G170=""),"",$D170*$G170)</f>
        <v/>
      </c>
      <c r="K170" s="16" t="str">
        <f aca="false">IF(OR($F170="",$H170=""),"",PI()*(($H170/2)^2)*$F170)</f>
        <v/>
      </c>
      <c r="L170" s="27"/>
      <c r="M170" s="27"/>
      <c r="N170" s="27"/>
      <c r="O170" s="27"/>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8" t="str">
        <f aca="false">IF(OR($Q170="",$R170=""),"",$Q170*$R170/100)</f>
        <v/>
      </c>
      <c r="U170" s="29"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4"/>
      <c r="D171" s="24"/>
      <c r="E171" s="14"/>
      <c r="F171" s="16" t="str">
        <f aca="false">IF(OR($C171="",$D171=""),"",$D171-$C171)</f>
        <v/>
      </c>
      <c r="G171" s="25" t="str">
        <f aca="false">IF($A171="","",IFERROR(INDEX('2. Plot &amp; Core Log'!$M$6:$M$35,MATCH($A171,'2. Plot &amp; Core Log'!$B$6:$B$35,0)),""))</f>
        <v/>
      </c>
      <c r="H171" s="26" t="str">
        <f aca="false">IF($A171="","",IFERROR(INDEX('2. Plot &amp; Core Log'!$S$6:$S$35,MATCH($A171,'2. Plot &amp; Core Log'!$B$6:$B$35,0)),""))</f>
        <v/>
      </c>
      <c r="I171" s="16" t="str">
        <f aca="false">IF(OR($C171="",$G171=""),"",$C171*$G171)</f>
        <v/>
      </c>
      <c r="J171" s="16" t="str">
        <f aca="false">IF(OR($D171="",$G171=""),"",$D171*$G171)</f>
        <v/>
      </c>
      <c r="K171" s="16" t="str">
        <f aca="false">IF(OR($F171="",$H171=""),"",PI()*(($H171/2)^2)*$F171)</f>
        <v/>
      </c>
      <c r="L171" s="27"/>
      <c r="M171" s="27"/>
      <c r="N171" s="27"/>
      <c r="O171" s="27"/>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8" t="str">
        <f aca="false">IF(OR($Q171="",$R171=""),"",$Q171*$R171/100)</f>
        <v/>
      </c>
      <c r="U171" s="29"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4"/>
      <c r="D172" s="24"/>
      <c r="E172" s="14"/>
      <c r="F172" s="16" t="str">
        <f aca="false">IF(OR($C172="",$D172=""),"",$D172-$C172)</f>
        <v/>
      </c>
      <c r="G172" s="25" t="str">
        <f aca="false">IF($A172="","",IFERROR(INDEX('2. Plot &amp; Core Log'!$M$6:$M$35,MATCH($A172,'2. Plot &amp; Core Log'!$B$6:$B$35,0)),""))</f>
        <v/>
      </c>
      <c r="H172" s="26" t="str">
        <f aca="false">IF($A172="","",IFERROR(INDEX('2. Plot &amp; Core Log'!$S$6:$S$35,MATCH($A172,'2. Plot &amp; Core Log'!$B$6:$B$35,0)),""))</f>
        <v/>
      </c>
      <c r="I172" s="16" t="str">
        <f aca="false">IF(OR($C172="",$G172=""),"",$C172*$G172)</f>
        <v/>
      </c>
      <c r="J172" s="16" t="str">
        <f aca="false">IF(OR($D172="",$G172=""),"",$D172*$G172)</f>
        <v/>
      </c>
      <c r="K172" s="16" t="str">
        <f aca="false">IF(OR($F172="",$H172=""),"",PI()*(($H172/2)^2)*$F172)</f>
        <v/>
      </c>
      <c r="L172" s="27"/>
      <c r="M172" s="27"/>
      <c r="N172" s="27"/>
      <c r="O172" s="27"/>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8" t="str">
        <f aca="false">IF(OR($Q172="",$R172=""),"",$Q172*$R172/100)</f>
        <v/>
      </c>
      <c r="U172" s="29"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4"/>
      <c r="D173" s="24"/>
      <c r="E173" s="14"/>
      <c r="F173" s="16" t="str">
        <f aca="false">IF(OR($C173="",$D173=""),"",$D173-$C173)</f>
        <v/>
      </c>
      <c r="G173" s="25" t="str">
        <f aca="false">IF($A173="","",IFERROR(INDEX('2. Plot &amp; Core Log'!$M$6:$M$35,MATCH($A173,'2. Plot &amp; Core Log'!$B$6:$B$35,0)),""))</f>
        <v/>
      </c>
      <c r="H173" s="26" t="str">
        <f aca="false">IF($A173="","",IFERROR(INDEX('2. Plot &amp; Core Log'!$S$6:$S$35,MATCH($A173,'2. Plot &amp; Core Log'!$B$6:$B$35,0)),""))</f>
        <v/>
      </c>
      <c r="I173" s="16" t="str">
        <f aca="false">IF(OR($C173="",$G173=""),"",$C173*$G173)</f>
        <v/>
      </c>
      <c r="J173" s="16" t="str">
        <f aca="false">IF(OR($D173="",$G173=""),"",$D173*$G173)</f>
        <v/>
      </c>
      <c r="K173" s="16" t="str">
        <f aca="false">IF(OR($F173="",$H173=""),"",PI()*(($H173/2)^2)*$F173)</f>
        <v/>
      </c>
      <c r="L173" s="27"/>
      <c r="M173" s="27"/>
      <c r="N173" s="27"/>
      <c r="O173" s="27"/>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8" t="str">
        <f aca="false">IF(OR($Q173="",$R173=""),"",$Q173*$R173/100)</f>
        <v/>
      </c>
      <c r="U173" s="29"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4"/>
      <c r="D174" s="24"/>
      <c r="E174" s="14"/>
      <c r="F174" s="16" t="str">
        <f aca="false">IF(OR($C174="",$D174=""),"",$D174-$C174)</f>
        <v/>
      </c>
      <c r="G174" s="25" t="str">
        <f aca="false">IF($A174="","",IFERROR(INDEX('2. Plot &amp; Core Log'!$M$6:$M$35,MATCH($A174,'2. Plot &amp; Core Log'!$B$6:$B$35,0)),""))</f>
        <v/>
      </c>
      <c r="H174" s="26" t="str">
        <f aca="false">IF($A174="","",IFERROR(INDEX('2. Plot &amp; Core Log'!$S$6:$S$35,MATCH($A174,'2. Plot &amp; Core Log'!$B$6:$B$35,0)),""))</f>
        <v/>
      </c>
      <c r="I174" s="16" t="str">
        <f aca="false">IF(OR($C174="",$G174=""),"",$C174*$G174)</f>
        <v/>
      </c>
      <c r="J174" s="16" t="str">
        <f aca="false">IF(OR($D174="",$G174=""),"",$D174*$G174)</f>
        <v/>
      </c>
      <c r="K174" s="16" t="str">
        <f aca="false">IF(OR($F174="",$H174=""),"",PI()*(($H174/2)^2)*$F174)</f>
        <v/>
      </c>
      <c r="L174" s="27"/>
      <c r="M174" s="27"/>
      <c r="N174" s="27"/>
      <c r="O174" s="27"/>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8" t="str">
        <f aca="false">IF(OR($Q174="",$R174=""),"",$Q174*$R174/100)</f>
        <v/>
      </c>
      <c r="U174" s="29"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4"/>
      <c r="D175" s="24"/>
      <c r="E175" s="14"/>
      <c r="F175" s="16" t="str">
        <f aca="false">IF(OR($C175="",$D175=""),"",$D175-$C175)</f>
        <v/>
      </c>
      <c r="G175" s="25" t="str">
        <f aca="false">IF($A175="","",IFERROR(INDEX('2. Plot &amp; Core Log'!$M$6:$M$35,MATCH($A175,'2. Plot &amp; Core Log'!$B$6:$B$35,0)),""))</f>
        <v/>
      </c>
      <c r="H175" s="26" t="str">
        <f aca="false">IF($A175="","",IFERROR(INDEX('2. Plot &amp; Core Log'!$S$6:$S$35,MATCH($A175,'2. Plot &amp; Core Log'!$B$6:$B$35,0)),""))</f>
        <v/>
      </c>
      <c r="I175" s="16" t="str">
        <f aca="false">IF(OR($C175="",$G175=""),"",$C175*$G175)</f>
        <v/>
      </c>
      <c r="J175" s="16" t="str">
        <f aca="false">IF(OR($D175="",$G175=""),"",$D175*$G175)</f>
        <v/>
      </c>
      <c r="K175" s="16" t="str">
        <f aca="false">IF(OR($F175="",$H175=""),"",PI()*(($H175/2)^2)*$F175)</f>
        <v/>
      </c>
      <c r="L175" s="27"/>
      <c r="M175" s="27"/>
      <c r="N175" s="27"/>
      <c r="O175" s="27"/>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8" t="str">
        <f aca="false">IF(OR($Q175="",$R175=""),"",$Q175*$R175/100)</f>
        <v/>
      </c>
      <c r="U175" s="29"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4"/>
      <c r="D176" s="24"/>
      <c r="E176" s="14"/>
      <c r="F176" s="16" t="str">
        <f aca="false">IF(OR($C176="",$D176=""),"",$D176-$C176)</f>
        <v/>
      </c>
      <c r="G176" s="25" t="str">
        <f aca="false">IF($A176="","",IFERROR(INDEX('2. Plot &amp; Core Log'!$M$6:$M$35,MATCH($A176,'2. Plot &amp; Core Log'!$B$6:$B$35,0)),""))</f>
        <v/>
      </c>
      <c r="H176" s="26" t="str">
        <f aca="false">IF($A176="","",IFERROR(INDEX('2. Plot &amp; Core Log'!$S$6:$S$35,MATCH($A176,'2. Plot &amp; Core Log'!$B$6:$B$35,0)),""))</f>
        <v/>
      </c>
      <c r="I176" s="16" t="str">
        <f aca="false">IF(OR($C176="",$G176=""),"",$C176*$G176)</f>
        <v/>
      </c>
      <c r="J176" s="16" t="str">
        <f aca="false">IF(OR($D176="",$G176=""),"",$D176*$G176)</f>
        <v/>
      </c>
      <c r="K176" s="16" t="str">
        <f aca="false">IF(OR($F176="",$H176=""),"",PI()*(($H176/2)^2)*$F176)</f>
        <v/>
      </c>
      <c r="L176" s="27"/>
      <c r="M176" s="27"/>
      <c r="N176" s="27"/>
      <c r="O176" s="27"/>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8" t="str">
        <f aca="false">IF(OR($Q176="",$R176=""),"",$Q176*$R176/100)</f>
        <v/>
      </c>
      <c r="U176" s="29"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4"/>
      <c r="D177" s="24"/>
      <c r="E177" s="14"/>
      <c r="F177" s="16" t="str">
        <f aca="false">IF(OR($C177="",$D177=""),"",$D177-$C177)</f>
        <v/>
      </c>
      <c r="G177" s="25" t="str">
        <f aca="false">IF($A177="","",IFERROR(INDEX('2. Plot &amp; Core Log'!$M$6:$M$35,MATCH($A177,'2. Plot &amp; Core Log'!$B$6:$B$35,0)),""))</f>
        <v/>
      </c>
      <c r="H177" s="26" t="str">
        <f aca="false">IF($A177="","",IFERROR(INDEX('2. Plot &amp; Core Log'!$S$6:$S$35,MATCH($A177,'2. Plot &amp; Core Log'!$B$6:$B$35,0)),""))</f>
        <v/>
      </c>
      <c r="I177" s="16" t="str">
        <f aca="false">IF(OR($C177="",$G177=""),"",$C177*$G177)</f>
        <v/>
      </c>
      <c r="J177" s="16" t="str">
        <f aca="false">IF(OR($D177="",$G177=""),"",$D177*$G177)</f>
        <v/>
      </c>
      <c r="K177" s="16" t="str">
        <f aca="false">IF(OR($F177="",$H177=""),"",PI()*(($H177/2)^2)*$F177)</f>
        <v/>
      </c>
      <c r="L177" s="27"/>
      <c r="M177" s="27"/>
      <c r="N177" s="27"/>
      <c r="O177" s="27"/>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8" t="str">
        <f aca="false">IF(OR($Q177="",$R177=""),"",$Q177*$R177/100)</f>
        <v/>
      </c>
      <c r="U177" s="29"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4"/>
      <c r="D178" s="24"/>
      <c r="E178" s="14"/>
      <c r="F178" s="16" t="str">
        <f aca="false">IF(OR($C178="",$D178=""),"",$D178-$C178)</f>
        <v/>
      </c>
      <c r="G178" s="25" t="str">
        <f aca="false">IF($A178="","",IFERROR(INDEX('2. Plot &amp; Core Log'!$M$6:$M$35,MATCH($A178,'2. Plot &amp; Core Log'!$B$6:$B$35,0)),""))</f>
        <v/>
      </c>
      <c r="H178" s="26" t="str">
        <f aca="false">IF($A178="","",IFERROR(INDEX('2. Plot &amp; Core Log'!$S$6:$S$35,MATCH($A178,'2. Plot &amp; Core Log'!$B$6:$B$35,0)),""))</f>
        <v/>
      </c>
      <c r="I178" s="16" t="str">
        <f aca="false">IF(OR($C178="",$G178=""),"",$C178*$G178)</f>
        <v/>
      </c>
      <c r="J178" s="16" t="str">
        <f aca="false">IF(OR($D178="",$G178=""),"",$D178*$G178)</f>
        <v/>
      </c>
      <c r="K178" s="16" t="str">
        <f aca="false">IF(OR($F178="",$H178=""),"",PI()*(($H178/2)^2)*$F178)</f>
        <v/>
      </c>
      <c r="L178" s="27"/>
      <c r="M178" s="27"/>
      <c r="N178" s="27"/>
      <c r="O178" s="27"/>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8" t="str">
        <f aca="false">IF(OR($Q178="",$R178=""),"",$Q178*$R178/100)</f>
        <v/>
      </c>
      <c r="U178" s="29"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4"/>
      <c r="D179" s="24"/>
      <c r="E179" s="14"/>
      <c r="F179" s="16" t="str">
        <f aca="false">IF(OR($C179="",$D179=""),"",$D179-$C179)</f>
        <v/>
      </c>
      <c r="G179" s="25" t="str">
        <f aca="false">IF($A179="","",IFERROR(INDEX('2. Plot &amp; Core Log'!$M$6:$M$35,MATCH($A179,'2. Plot &amp; Core Log'!$B$6:$B$35,0)),""))</f>
        <v/>
      </c>
      <c r="H179" s="26" t="str">
        <f aca="false">IF($A179="","",IFERROR(INDEX('2. Plot &amp; Core Log'!$S$6:$S$35,MATCH($A179,'2. Plot &amp; Core Log'!$B$6:$B$35,0)),""))</f>
        <v/>
      </c>
      <c r="I179" s="16" t="str">
        <f aca="false">IF(OR($C179="",$G179=""),"",$C179*$G179)</f>
        <v/>
      </c>
      <c r="J179" s="16" t="str">
        <f aca="false">IF(OR($D179="",$G179=""),"",$D179*$G179)</f>
        <v/>
      </c>
      <c r="K179" s="16" t="str">
        <f aca="false">IF(OR($F179="",$H179=""),"",PI()*(($H179/2)^2)*$F179)</f>
        <v/>
      </c>
      <c r="L179" s="27"/>
      <c r="M179" s="27"/>
      <c r="N179" s="27"/>
      <c r="O179" s="27"/>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8" t="str">
        <f aca="false">IF(OR($Q179="",$R179=""),"",$Q179*$R179/100)</f>
        <v/>
      </c>
      <c r="U179" s="29"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4"/>
      <c r="D180" s="24"/>
      <c r="E180" s="14"/>
      <c r="F180" s="16" t="str">
        <f aca="false">IF(OR($C180="",$D180=""),"",$D180-$C180)</f>
        <v/>
      </c>
      <c r="G180" s="25" t="str">
        <f aca="false">IF($A180="","",IFERROR(INDEX('2. Plot &amp; Core Log'!$M$6:$M$35,MATCH($A180,'2. Plot &amp; Core Log'!$B$6:$B$35,0)),""))</f>
        <v/>
      </c>
      <c r="H180" s="26" t="str">
        <f aca="false">IF($A180="","",IFERROR(INDEX('2. Plot &amp; Core Log'!$S$6:$S$35,MATCH($A180,'2. Plot &amp; Core Log'!$B$6:$B$35,0)),""))</f>
        <v/>
      </c>
      <c r="I180" s="16" t="str">
        <f aca="false">IF(OR($C180="",$G180=""),"",$C180*$G180)</f>
        <v/>
      </c>
      <c r="J180" s="16" t="str">
        <f aca="false">IF(OR($D180="",$G180=""),"",$D180*$G180)</f>
        <v/>
      </c>
      <c r="K180" s="16" t="str">
        <f aca="false">IF(OR($F180="",$H180=""),"",PI()*(($H180/2)^2)*$F180)</f>
        <v/>
      </c>
      <c r="L180" s="27"/>
      <c r="M180" s="27"/>
      <c r="N180" s="27"/>
      <c r="O180" s="27"/>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8" t="str">
        <f aca="false">IF(OR($Q180="",$R180=""),"",$Q180*$R180/100)</f>
        <v/>
      </c>
      <c r="U180" s="29"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4"/>
      <c r="D181" s="24"/>
      <c r="E181" s="14"/>
      <c r="F181" s="16" t="str">
        <f aca="false">IF(OR($C181="",$D181=""),"",$D181-$C181)</f>
        <v/>
      </c>
      <c r="G181" s="25" t="str">
        <f aca="false">IF($A181="","",IFERROR(INDEX('2. Plot &amp; Core Log'!$M$6:$M$35,MATCH($A181,'2. Plot &amp; Core Log'!$B$6:$B$35,0)),""))</f>
        <v/>
      </c>
      <c r="H181" s="26" t="str">
        <f aca="false">IF($A181="","",IFERROR(INDEX('2. Plot &amp; Core Log'!$S$6:$S$35,MATCH($A181,'2. Plot &amp; Core Log'!$B$6:$B$35,0)),""))</f>
        <v/>
      </c>
      <c r="I181" s="16" t="str">
        <f aca="false">IF(OR($C181="",$G181=""),"",$C181*$G181)</f>
        <v/>
      </c>
      <c r="J181" s="16" t="str">
        <f aca="false">IF(OR($D181="",$G181=""),"",$D181*$G181)</f>
        <v/>
      </c>
      <c r="K181" s="16" t="str">
        <f aca="false">IF(OR($F181="",$H181=""),"",PI()*(($H181/2)^2)*$F181)</f>
        <v/>
      </c>
      <c r="L181" s="27"/>
      <c r="M181" s="27"/>
      <c r="N181" s="27"/>
      <c r="O181" s="27"/>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8" t="str">
        <f aca="false">IF(OR($Q181="",$R181=""),"",$Q181*$R181/100)</f>
        <v/>
      </c>
      <c r="U181" s="29"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4"/>
      <c r="D182" s="24"/>
      <c r="E182" s="14"/>
      <c r="F182" s="16" t="str">
        <f aca="false">IF(OR($C182="",$D182=""),"",$D182-$C182)</f>
        <v/>
      </c>
      <c r="G182" s="25" t="str">
        <f aca="false">IF($A182="","",IFERROR(INDEX('2. Plot &amp; Core Log'!$M$6:$M$35,MATCH($A182,'2. Plot &amp; Core Log'!$B$6:$B$35,0)),""))</f>
        <v/>
      </c>
      <c r="H182" s="26" t="str">
        <f aca="false">IF($A182="","",IFERROR(INDEX('2. Plot &amp; Core Log'!$S$6:$S$35,MATCH($A182,'2. Plot &amp; Core Log'!$B$6:$B$35,0)),""))</f>
        <v/>
      </c>
      <c r="I182" s="16" t="str">
        <f aca="false">IF(OR($C182="",$G182=""),"",$C182*$G182)</f>
        <v/>
      </c>
      <c r="J182" s="16" t="str">
        <f aca="false">IF(OR($D182="",$G182=""),"",$D182*$G182)</f>
        <v/>
      </c>
      <c r="K182" s="16" t="str">
        <f aca="false">IF(OR($F182="",$H182=""),"",PI()*(($H182/2)^2)*$F182)</f>
        <v/>
      </c>
      <c r="L182" s="27"/>
      <c r="M182" s="27"/>
      <c r="N182" s="27"/>
      <c r="O182" s="27"/>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8" t="str">
        <f aca="false">IF(OR($Q182="",$R182=""),"",$Q182*$R182/100)</f>
        <v/>
      </c>
      <c r="U182" s="29"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4"/>
      <c r="D183" s="24"/>
      <c r="E183" s="14"/>
      <c r="F183" s="16" t="str">
        <f aca="false">IF(OR($C183="",$D183=""),"",$D183-$C183)</f>
        <v/>
      </c>
      <c r="G183" s="25" t="str">
        <f aca="false">IF($A183="","",IFERROR(INDEX('2. Plot &amp; Core Log'!$M$6:$M$35,MATCH($A183,'2. Plot &amp; Core Log'!$B$6:$B$35,0)),""))</f>
        <v/>
      </c>
      <c r="H183" s="26" t="str">
        <f aca="false">IF($A183="","",IFERROR(INDEX('2. Plot &amp; Core Log'!$S$6:$S$35,MATCH($A183,'2. Plot &amp; Core Log'!$B$6:$B$35,0)),""))</f>
        <v/>
      </c>
      <c r="I183" s="16" t="str">
        <f aca="false">IF(OR($C183="",$G183=""),"",$C183*$G183)</f>
        <v/>
      </c>
      <c r="J183" s="16" t="str">
        <f aca="false">IF(OR($D183="",$G183=""),"",$D183*$G183)</f>
        <v/>
      </c>
      <c r="K183" s="16" t="str">
        <f aca="false">IF(OR($F183="",$H183=""),"",PI()*(($H183/2)^2)*$F183)</f>
        <v/>
      </c>
      <c r="L183" s="27"/>
      <c r="M183" s="27"/>
      <c r="N183" s="27"/>
      <c r="O183" s="27"/>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8" t="str">
        <f aca="false">IF(OR($Q183="",$R183=""),"",$Q183*$R183/100)</f>
        <v/>
      </c>
      <c r="U183" s="29"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4"/>
      <c r="D184" s="24"/>
      <c r="E184" s="14"/>
      <c r="F184" s="16" t="str">
        <f aca="false">IF(OR($C184="",$D184=""),"",$D184-$C184)</f>
        <v/>
      </c>
      <c r="G184" s="25" t="str">
        <f aca="false">IF($A184="","",IFERROR(INDEX('2. Plot &amp; Core Log'!$M$6:$M$35,MATCH($A184,'2. Plot &amp; Core Log'!$B$6:$B$35,0)),""))</f>
        <v/>
      </c>
      <c r="H184" s="26" t="str">
        <f aca="false">IF($A184="","",IFERROR(INDEX('2. Plot &amp; Core Log'!$S$6:$S$35,MATCH($A184,'2. Plot &amp; Core Log'!$B$6:$B$35,0)),""))</f>
        <v/>
      </c>
      <c r="I184" s="16" t="str">
        <f aca="false">IF(OR($C184="",$G184=""),"",$C184*$G184)</f>
        <v/>
      </c>
      <c r="J184" s="16" t="str">
        <f aca="false">IF(OR($D184="",$G184=""),"",$D184*$G184)</f>
        <v/>
      </c>
      <c r="K184" s="16" t="str">
        <f aca="false">IF(OR($F184="",$H184=""),"",PI()*(($H184/2)^2)*$F184)</f>
        <v/>
      </c>
      <c r="L184" s="27"/>
      <c r="M184" s="27"/>
      <c r="N184" s="27"/>
      <c r="O184" s="27"/>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8" t="str">
        <f aca="false">IF(OR($Q184="",$R184=""),"",$Q184*$R184/100)</f>
        <v/>
      </c>
      <c r="U184" s="29"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4"/>
      <c r="D185" s="24"/>
      <c r="E185" s="14"/>
      <c r="F185" s="16" t="str">
        <f aca="false">IF(OR($C185="",$D185=""),"",$D185-$C185)</f>
        <v/>
      </c>
      <c r="G185" s="25" t="str">
        <f aca="false">IF($A185="","",IFERROR(INDEX('2. Plot &amp; Core Log'!$M$6:$M$35,MATCH($A185,'2. Plot &amp; Core Log'!$B$6:$B$35,0)),""))</f>
        <v/>
      </c>
      <c r="H185" s="26" t="str">
        <f aca="false">IF($A185="","",IFERROR(INDEX('2. Plot &amp; Core Log'!$S$6:$S$35,MATCH($A185,'2. Plot &amp; Core Log'!$B$6:$B$35,0)),""))</f>
        <v/>
      </c>
      <c r="I185" s="16" t="str">
        <f aca="false">IF(OR($C185="",$G185=""),"",$C185*$G185)</f>
        <v/>
      </c>
      <c r="J185" s="16" t="str">
        <f aca="false">IF(OR($D185="",$G185=""),"",$D185*$G185)</f>
        <v/>
      </c>
      <c r="K185" s="16" t="str">
        <f aca="false">IF(OR($F185="",$H185=""),"",PI()*(($H185/2)^2)*$F185)</f>
        <v/>
      </c>
      <c r="L185" s="27"/>
      <c r="M185" s="27"/>
      <c r="N185" s="27"/>
      <c r="O185" s="27"/>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8" t="str">
        <f aca="false">IF(OR($Q185="",$R185=""),"",$Q185*$R185/100)</f>
        <v/>
      </c>
      <c r="U185" s="29"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4"/>
      <c r="D186" s="24"/>
      <c r="E186" s="14"/>
      <c r="F186" s="16" t="str">
        <f aca="false">IF(OR($C186="",$D186=""),"",$D186-$C186)</f>
        <v/>
      </c>
      <c r="G186" s="25" t="str">
        <f aca="false">IF($A186="","",IFERROR(INDEX('2. Plot &amp; Core Log'!$M$6:$M$35,MATCH($A186,'2. Plot &amp; Core Log'!$B$6:$B$35,0)),""))</f>
        <v/>
      </c>
      <c r="H186" s="26" t="str">
        <f aca="false">IF($A186="","",IFERROR(INDEX('2. Plot &amp; Core Log'!$S$6:$S$35,MATCH($A186,'2. Plot &amp; Core Log'!$B$6:$B$35,0)),""))</f>
        <v/>
      </c>
      <c r="I186" s="16" t="str">
        <f aca="false">IF(OR($C186="",$G186=""),"",$C186*$G186)</f>
        <v/>
      </c>
      <c r="J186" s="16" t="str">
        <f aca="false">IF(OR($D186="",$G186=""),"",$D186*$G186)</f>
        <v/>
      </c>
      <c r="K186" s="16" t="str">
        <f aca="false">IF(OR($F186="",$H186=""),"",PI()*(($H186/2)^2)*$F186)</f>
        <v/>
      </c>
      <c r="L186" s="27"/>
      <c r="M186" s="27"/>
      <c r="N186" s="27"/>
      <c r="O186" s="27"/>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8" t="str">
        <f aca="false">IF(OR($Q186="",$R186=""),"",$Q186*$R186/100)</f>
        <v/>
      </c>
      <c r="U186" s="29"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4"/>
      <c r="D187" s="24"/>
      <c r="E187" s="14"/>
      <c r="F187" s="16" t="str">
        <f aca="false">IF(OR($C187="",$D187=""),"",$D187-$C187)</f>
        <v/>
      </c>
      <c r="G187" s="25" t="str">
        <f aca="false">IF($A187="","",IFERROR(INDEX('2. Plot &amp; Core Log'!$M$6:$M$35,MATCH($A187,'2. Plot &amp; Core Log'!$B$6:$B$35,0)),""))</f>
        <v/>
      </c>
      <c r="H187" s="26" t="str">
        <f aca="false">IF($A187="","",IFERROR(INDEX('2. Plot &amp; Core Log'!$S$6:$S$35,MATCH($A187,'2. Plot &amp; Core Log'!$B$6:$B$35,0)),""))</f>
        <v/>
      </c>
      <c r="I187" s="16" t="str">
        <f aca="false">IF(OR($C187="",$G187=""),"",$C187*$G187)</f>
        <v/>
      </c>
      <c r="J187" s="16" t="str">
        <f aca="false">IF(OR($D187="",$G187=""),"",$D187*$G187)</f>
        <v/>
      </c>
      <c r="K187" s="16" t="str">
        <f aca="false">IF(OR($F187="",$H187=""),"",PI()*(($H187/2)^2)*$F187)</f>
        <v/>
      </c>
      <c r="L187" s="27"/>
      <c r="M187" s="27"/>
      <c r="N187" s="27"/>
      <c r="O187" s="27"/>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8" t="str">
        <f aca="false">IF(OR($Q187="",$R187=""),"",$Q187*$R187/100)</f>
        <v/>
      </c>
      <c r="U187" s="29"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4"/>
      <c r="D188" s="24"/>
      <c r="E188" s="14"/>
      <c r="F188" s="16" t="str">
        <f aca="false">IF(OR($C188="",$D188=""),"",$D188-$C188)</f>
        <v/>
      </c>
      <c r="G188" s="25" t="str">
        <f aca="false">IF($A188="","",IFERROR(INDEX('2. Plot &amp; Core Log'!$M$6:$M$35,MATCH($A188,'2. Plot &amp; Core Log'!$B$6:$B$35,0)),""))</f>
        <v/>
      </c>
      <c r="H188" s="26" t="str">
        <f aca="false">IF($A188="","",IFERROR(INDEX('2. Plot &amp; Core Log'!$S$6:$S$35,MATCH($A188,'2. Plot &amp; Core Log'!$B$6:$B$35,0)),""))</f>
        <v/>
      </c>
      <c r="I188" s="16" t="str">
        <f aca="false">IF(OR($C188="",$G188=""),"",$C188*$G188)</f>
        <v/>
      </c>
      <c r="J188" s="16" t="str">
        <f aca="false">IF(OR($D188="",$G188=""),"",$D188*$G188)</f>
        <v/>
      </c>
      <c r="K188" s="16" t="str">
        <f aca="false">IF(OR($F188="",$H188=""),"",PI()*(($H188/2)^2)*$F188)</f>
        <v/>
      </c>
      <c r="L188" s="27"/>
      <c r="M188" s="27"/>
      <c r="N188" s="27"/>
      <c r="O188" s="27"/>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8" t="str">
        <f aca="false">IF(OR($Q188="",$R188=""),"",$Q188*$R188/100)</f>
        <v/>
      </c>
      <c r="U188" s="29"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4"/>
      <c r="D189" s="24"/>
      <c r="E189" s="14"/>
      <c r="F189" s="16" t="str">
        <f aca="false">IF(OR($C189="",$D189=""),"",$D189-$C189)</f>
        <v/>
      </c>
      <c r="G189" s="25" t="str">
        <f aca="false">IF($A189="","",IFERROR(INDEX('2. Plot &amp; Core Log'!$M$6:$M$35,MATCH($A189,'2. Plot &amp; Core Log'!$B$6:$B$35,0)),""))</f>
        <v/>
      </c>
      <c r="H189" s="26" t="str">
        <f aca="false">IF($A189="","",IFERROR(INDEX('2. Plot &amp; Core Log'!$S$6:$S$35,MATCH($A189,'2. Plot &amp; Core Log'!$B$6:$B$35,0)),""))</f>
        <v/>
      </c>
      <c r="I189" s="16" t="str">
        <f aca="false">IF(OR($C189="",$G189=""),"",$C189*$G189)</f>
        <v/>
      </c>
      <c r="J189" s="16" t="str">
        <f aca="false">IF(OR($D189="",$G189=""),"",$D189*$G189)</f>
        <v/>
      </c>
      <c r="K189" s="16" t="str">
        <f aca="false">IF(OR($F189="",$H189=""),"",PI()*(($H189/2)^2)*$F189)</f>
        <v/>
      </c>
      <c r="L189" s="27"/>
      <c r="M189" s="27"/>
      <c r="N189" s="27"/>
      <c r="O189" s="27"/>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8" t="str">
        <f aca="false">IF(OR($Q189="",$R189=""),"",$Q189*$R189/100)</f>
        <v/>
      </c>
      <c r="U189" s="29"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4"/>
      <c r="D190" s="24"/>
      <c r="E190" s="14"/>
      <c r="F190" s="16" t="str">
        <f aca="false">IF(OR($C190="",$D190=""),"",$D190-$C190)</f>
        <v/>
      </c>
      <c r="G190" s="25" t="str">
        <f aca="false">IF($A190="","",IFERROR(INDEX('2. Plot &amp; Core Log'!$M$6:$M$35,MATCH($A190,'2. Plot &amp; Core Log'!$B$6:$B$35,0)),""))</f>
        <v/>
      </c>
      <c r="H190" s="26" t="str">
        <f aca="false">IF($A190="","",IFERROR(INDEX('2. Plot &amp; Core Log'!$S$6:$S$35,MATCH($A190,'2. Plot &amp; Core Log'!$B$6:$B$35,0)),""))</f>
        <v/>
      </c>
      <c r="I190" s="16" t="str">
        <f aca="false">IF(OR($C190="",$G190=""),"",$C190*$G190)</f>
        <v/>
      </c>
      <c r="J190" s="16" t="str">
        <f aca="false">IF(OR($D190="",$G190=""),"",$D190*$G190)</f>
        <v/>
      </c>
      <c r="K190" s="16" t="str">
        <f aca="false">IF(OR($F190="",$H190=""),"",PI()*(($H190/2)^2)*$F190)</f>
        <v/>
      </c>
      <c r="L190" s="27"/>
      <c r="M190" s="27"/>
      <c r="N190" s="27"/>
      <c r="O190" s="27"/>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8" t="str">
        <f aca="false">IF(OR($Q190="",$R190=""),"",$Q190*$R190/100)</f>
        <v/>
      </c>
      <c r="U190" s="29"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4"/>
      <c r="D191" s="24"/>
      <c r="E191" s="14"/>
      <c r="F191" s="16" t="str">
        <f aca="false">IF(OR($C191="",$D191=""),"",$D191-$C191)</f>
        <v/>
      </c>
      <c r="G191" s="25" t="str">
        <f aca="false">IF($A191="","",IFERROR(INDEX('2. Plot &amp; Core Log'!$M$6:$M$35,MATCH($A191,'2. Plot &amp; Core Log'!$B$6:$B$35,0)),""))</f>
        <v/>
      </c>
      <c r="H191" s="26" t="str">
        <f aca="false">IF($A191="","",IFERROR(INDEX('2. Plot &amp; Core Log'!$S$6:$S$35,MATCH($A191,'2. Plot &amp; Core Log'!$B$6:$B$35,0)),""))</f>
        <v/>
      </c>
      <c r="I191" s="16" t="str">
        <f aca="false">IF(OR($C191="",$G191=""),"",$C191*$G191)</f>
        <v/>
      </c>
      <c r="J191" s="16" t="str">
        <f aca="false">IF(OR($D191="",$G191=""),"",$D191*$G191)</f>
        <v/>
      </c>
      <c r="K191" s="16" t="str">
        <f aca="false">IF(OR($F191="",$H191=""),"",PI()*(($H191/2)^2)*$F191)</f>
        <v/>
      </c>
      <c r="L191" s="27"/>
      <c r="M191" s="27"/>
      <c r="N191" s="27"/>
      <c r="O191" s="27"/>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8" t="str">
        <f aca="false">IF(OR($Q191="",$R191=""),"",$Q191*$R191/100)</f>
        <v/>
      </c>
      <c r="U191" s="29"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4"/>
      <c r="D192" s="24"/>
      <c r="E192" s="14"/>
      <c r="F192" s="16" t="str">
        <f aca="false">IF(OR($C192="",$D192=""),"",$D192-$C192)</f>
        <v/>
      </c>
      <c r="G192" s="25" t="str">
        <f aca="false">IF($A192="","",IFERROR(INDEX('2. Plot &amp; Core Log'!$M$6:$M$35,MATCH($A192,'2. Plot &amp; Core Log'!$B$6:$B$35,0)),""))</f>
        <v/>
      </c>
      <c r="H192" s="26" t="str">
        <f aca="false">IF($A192="","",IFERROR(INDEX('2. Plot &amp; Core Log'!$S$6:$S$35,MATCH($A192,'2. Plot &amp; Core Log'!$B$6:$B$35,0)),""))</f>
        <v/>
      </c>
      <c r="I192" s="16" t="str">
        <f aca="false">IF(OR($C192="",$G192=""),"",$C192*$G192)</f>
        <v/>
      </c>
      <c r="J192" s="16" t="str">
        <f aca="false">IF(OR($D192="",$G192=""),"",$D192*$G192)</f>
        <v/>
      </c>
      <c r="K192" s="16" t="str">
        <f aca="false">IF(OR($F192="",$H192=""),"",PI()*(($H192/2)^2)*$F192)</f>
        <v/>
      </c>
      <c r="L192" s="27"/>
      <c r="M192" s="27"/>
      <c r="N192" s="27"/>
      <c r="O192" s="27"/>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8" t="str">
        <f aca="false">IF(OR($Q192="",$R192=""),"",$Q192*$R192/100)</f>
        <v/>
      </c>
      <c r="U192" s="29"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4"/>
      <c r="D193" s="24"/>
      <c r="E193" s="14"/>
      <c r="F193" s="16" t="str">
        <f aca="false">IF(OR($C193="",$D193=""),"",$D193-$C193)</f>
        <v/>
      </c>
      <c r="G193" s="25" t="str">
        <f aca="false">IF($A193="","",IFERROR(INDEX('2. Plot &amp; Core Log'!$M$6:$M$35,MATCH($A193,'2. Plot &amp; Core Log'!$B$6:$B$35,0)),""))</f>
        <v/>
      </c>
      <c r="H193" s="26" t="str">
        <f aca="false">IF($A193="","",IFERROR(INDEX('2. Plot &amp; Core Log'!$S$6:$S$35,MATCH($A193,'2. Plot &amp; Core Log'!$B$6:$B$35,0)),""))</f>
        <v/>
      </c>
      <c r="I193" s="16" t="str">
        <f aca="false">IF(OR($C193="",$G193=""),"",$C193*$G193)</f>
        <v/>
      </c>
      <c r="J193" s="16" t="str">
        <f aca="false">IF(OR($D193="",$G193=""),"",$D193*$G193)</f>
        <v/>
      </c>
      <c r="K193" s="16" t="str">
        <f aca="false">IF(OR($F193="",$H193=""),"",PI()*(($H193/2)^2)*$F193)</f>
        <v/>
      </c>
      <c r="L193" s="27"/>
      <c r="M193" s="27"/>
      <c r="N193" s="27"/>
      <c r="O193" s="27"/>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8" t="str">
        <f aca="false">IF(OR($Q193="",$R193=""),"",$Q193*$R193/100)</f>
        <v/>
      </c>
      <c r="U193" s="29"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4"/>
      <c r="D194" s="24"/>
      <c r="E194" s="14"/>
      <c r="F194" s="16" t="str">
        <f aca="false">IF(OR($C194="",$D194=""),"",$D194-$C194)</f>
        <v/>
      </c>
      <c r="G194" s="25" t="str">
        <f aca="false">IF($A194="","",IFERROR(INDEX('2. Plot &amp; Core Log'!$M$6:$M$35,MATCH($A194,'2. Plot &amp; Core Log'!$B$6:$B$35,0)),""))</f>
        <v/>
      </c>
      <c r="H194" s="26" t="str">
        <f aca="false">IF($A194="","",IFERROR(INDEX('2. Plot &amp; Core Log'!$S$6:$S$35,MATCH($A194,'2. Plot &amp; Core Log'!$B$6:$B$35,0)),""))</f>
        <v/>
      </c>
      <c r="I194" s="16" t="str">
        <f aca="false">IF(OR($C194="",$G194=""),"",$C194*$G194)</f>
        <v/>
      </c>
      <c r="J194" s="16" t="str">
        <f aca="false">IF(OR($D194="",$G194=""),"",$D194*$G194)</f>
        <v/>
      </c>
      <c r="K194" s="16" t="str">
        <f aca="false">IF(OR($F194="",$H194=""),"",PI()*(($H194/2)^2)*$F194)</f>
        <v/>
      </c>
      <c r="L194" s="27"/>
      <c r="M194" s="27"/>
      <c r="N194" s="27"/>
      <c r="O194" s="27"/>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8" t="str">
        <f aca="false">IF(OR($Q194="",$R194=""),"",$Q194*$R194/100)</f>
        <v/>
      </c>
      <c r="U194" s="29"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4"/>
      <c r="D195" s="24"/>
      <c r="E195" s="14"/>
      <c r="F195" s="16" t="str">
        <f aca="false">IF(OR($C195="",$D195=""),"",$D195-$C195)</f>
        <v/>
      </c>
      <c r="G195" s="25" t="str">
        <f aca="false">IF($A195="","",IFERROR(INDEX('2. Plot &amp; Core Log'!$M$6:$M$35,MATCH($A195,'2. Plot &amp; Core Log'!$B$6:$B$35,0)),""))</f>
        <v/>
      </c>
      <c r="H195" s="26" t="str">
        <f aca="false">IF($A195="","",IFERROR(INDEX('2. Plot &amp; Core Log'!$S$6:$S$35,MATCH($A195,'2. Plot &amp; Core Log'!$B$6:$B$35,0)),""))</f>
        <v/>
      </c>
      <c r="I195" s="16" t="str">
        <f aca="false">IF(OR($C195="",$G195=""),"",$C195*$G195)</f>
        <v/>
      </c>
      <c r="J195" s="16" t="str">
        <f aca="false">IF(OR($D195="",$G195=""),"",$D195*$G195)</f>
        <v/>
      </c>
      <c r="K195" s="16" t="str">
        <f aca="false">IF(OR($F195="",$H195=""),"",PI()*(($H195/2)^2)*$F195)</f>
        <v/>
      </c>
      <c r="L195" s="27"/>
      <c r="M195" s="27"/>
      <c r="N195" s="27"/>
      <c r="O195" s="27"/>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8" t="str">
        <f aca="false">IF(OR($Q195="",$R195=""),"",$Q195*$R195/100)</f>
        <v/>
      </c>
      <c r="U195" s="29"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4"/>
      <c r="D196" s="24"/>
      <c r="E196" s="14"/>
      <c r="F196" s="16" t="str">
        <f aca="false">IF(OR($C196="",$D196=""),"",$D196-$C196)</f>
        <v/>
      </c>
      <c r="G196" s="25" t="str">
        <f aca="false">IF($A196="","",IFERROR(INDEX('2. Plot &amp; Core Log'!$M$6:$M$35,MATCH($A196,'2. Plot &amp; Core Log'!$B$6:$B$35,0)),""))</f>
        <v/>
      </c>
      <c r="H196" s="26" t="str">
        <f aca="false">IF($A196="","",IFERROR(INDEX('2. Plot &amp; Core Log'!$S$6:$S$35,MATCH($A196,'2. Plot &amp; Core Log'!$B$6:$B$35,0)),""))</f>
        <v/>
      </c>
      <c r="I196" s="16" t="str">
        <f aca="false">IF(OR($C196="",$G196=""),"",$C196*$G196)</f>
        <v/>
      </c>
      <c r="J196" s="16" t="str">
        <f aca="false">IF(OR($D196="",$G196=""),"",$D196*$G196)</f>
        <v/>
      </c>
      <c r="K196" s="16" t="str">
        <f aca="false">IF(OR($F196="",$H196=""),"",PI()*(($H196/2)^2)*$F196)</f>
        <v/>
      </c>
      <c r="L196" s="27"/>
      <c r="M196" s="27"/>
      <c r="N196" s="27"/>
      <c r="O196" s="27"/>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8" t="str">
        <f aca="false">IF(OR($Q196="",$R196=""),"",$Q196*$R196/100)</f>
        <v/>
      </c>
      <c r="U196" s="29"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4"/>
      <c r="D197" s="24"/>
      <c r="E197" s="14"/>
      <c r="F197" s="16" t="str">
        <f aca="false">IF(OR($C197="",$D197=""),"",$D197-$C197)</f>
        <v/>
      </c>
      <c r="G197" s="25" t="str">
        <f aca="false">IF($A197="","",IFERROR(INDEX('2. Plot &amp; Core Log'!$M$6:$M$35,MATCH($A197,'2. Plot &amp; Core Log'!$B$6:$B$35,0)),""))</f>
        <v/>
      </c>
      <c r="H197" s="26" t="str">
        <f aca="false">IF($A197="","",IFERROR(INDEX('2. Plot &amp; Core Log'!$S$6:$S$35,MATCH($A197,'2. Plot &amp; Core Log'!$B$6:$B$35,0)),""))</f>
        <v/>
      </c>
      <c r="I197" s="16" t="str">
        <f aca="false">IF(OR($C197="",$G197=""),"",$C197*$G197)</f>
        <v/>
      </c>
      <c r="J197" s="16" t="str">
        <f aca="false">IF(OR($D197="",$G197=""),"",$D197*$G197)</f>
        <v/>
      </c>
      <c r="K197" s="16" t="str">
        <f aca="false">IF(OR($F197="",$H197=""),"",PI()*(($H197/2)^2)*$F197)</f>
        <v/>
      </c>
      <c r="L197" s="27"/>
      <c r="M197" s="27"/>
      <c r="N197" s="27"/>
      <c r="O197" s="27"/>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8" t="str">
        <f aca="false">IF(OR($Q197="",$R197=""),"",$Q197*$R197/100)</f>
        <v/>
      </c>
      <c r="U197" s="29"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4"/>
      <c r="D198" s="24"/>
      <c r="E198" s="14"/>
      <c r="F198" s="16" t="str">
        <f aca="false">IF(OR($C198="",$D198=""),"",$D198-$C198)</f>
        <v/>
      </c>
      <c r="G198" s="25" t="str">
        <f aca="false">IF($A198="","",IFERROR(INDEX('2. Plot &amp; Core Log'!$M$6:$M$35,MATCH($A198,'2. Plot &amp; Core Log'!$B$6:$B$35,0)),""))</f>
        <v/>
      </c>
      <c r="H198" s="26" t="str">
        <f aca="false">IF($A198="","",IFERROR(INDEX('2. Plot &amp; Core Log'!$S$6:$S$35,MATCH($A198,'2. Plot &amp; Core Log'!$B$6:$B$35,0)),""))</f>
        <v/>
      </c>
      <c r="I198" s="16" t="str">
        <f aca="false">IF(OR($C198="",$G198=""),"",$C198*$G198)</f>
        <v/>
      </c>
      <c r="J198" s="16" t="str">
        <f aca="false">IF(OR($D198="",$G198=""),"",$D198*$G198)</f>
        <v/>
      </c>
      <c r="K198" s="16" t="str">
        <f aca="false">IF(OR($F198="",$H198=""),"",PI()*(($H198/2)^2)*$F198)</f>
        <v/>
      </c>
      <c r="L198" s="27"/>
      <c r="M198" s="27"/>
      <c r="N198" s="27"/>
      <c r="O198" s="27"/>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8" t="str">
        <f aca="false">IF(OR($Q198="",$R198=""),"",$Q198*$R198/100)</f>
        <v/>
      </c>
      <c r="U198" s="29"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4"/>
      <c r="D199" s="24"/>
      <c r="E199" s="14"/>
      <c r="F199" s="16" t="str">
        <f aca="false">IF(OR($C199="",$D199=""),"",$D199-$C199)</f>
        <v/>
      </c>
      <c r="G199" s="25" t="str">
        <f aca="false">IF($A199="","",IFERROR(INDEX('2. Plot &amp; Core Log'!$M$6:$M$35,MATCH($A199,'2. Plot &amp; Core Log'!$B$6:$B$35,0)),""))</f>
        <v/>
      </c>
      <c r="H199" s="26" t="str">
        <f aca="false">IF($A199="","",IFERROR(INDEX('2. Plot &amp; Core Log'!$S$6:$S$35,MATCH($A199,'2. Plot &amp; Core Log'!$B$6:$B$35,0)),""))</f>
        <v/>
      </c>
      <c r="I199" s="16" t="str">
        <f aca="false">IF(OR($C199="",$G199=""),"",$C199*$G199)</f>
        <v/>
      </c>
      <c r="J199" s="16" t="str">
        <f aca="false">IF(OR($D199="",$G199=""),"",$D199*$G199)</f>
        <v/>
      </c>
      <c r="K199" s="16" t="str">
        <f aca="false">IF(OR($F199="",$H199=""),"",PI()*(($H199/2)^2)*$F199)</f>
        <v/>
      </c>
      <c r="L199" s="27"/>
      <c r="M199" s="27"/>
      <c r="N199" s="27"/>
      <c r="O199" s="27"/>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8" t="str">
        <f aca="false">IF(OR($Q199="",$R199=""),"",$Q199*$R199/100)</f>
        <v/>
      </c>
      <c r="U199" s="29"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4"/>
      <c r="D200" s="24"/>
      <c r="E200" s="14"/>
      <c r="F200" s="16" t="str">
        <f aca="false">IF(OR($C200="",$D200=""),"",$D200-$C200)</f>
        <v/>
      </c>
      <c r="G200" s="25" t="str">
        <f aca="false">IF($A200="","",IFERROR(INDEX('2. Plot &amp; Core Log'!$M$6:$M$35,MATCH($A200,'2. Plot &amp; Core Log'!$B$6:$B$35,0)),""))</f>
        <v/>
      </c>
      <c r="H200" s="26" t="str">
        <f aca="false">IF($A200="","",IFERROR(INDEX('2. Plot &amp; Core Log'!$S$6:$S$35,MATCH($A200,'2. Plot &amp; Core Log'!$B$6:$B$35,0)),""))</f>
        <v/>
      </c>
      <c r="I200" s="16" t="str">
        <f aca="false">IF(OR($C200="",$G200=""),"",$C200*$G200)</f>
        <v/>
      </c>
      <c r="J200" s="16" t="str">
        <f aca="false">IF(OR($D200="",$G200=""),"",$D200*$G200)</f>
        <v/>
      </c>
      <c r="K200" s="16" t="str">
        <f aca="false">IF(OR($F200="",$H200=""),"",PI()*(($H200/2)^2)*$F200)</f>
        <v/>
      </c>
      <c r="L200" s="27"/>
      <c r="M200" s="27"/>
      <c r="N200" s="27"/>
      <c r="O200" s="27"/>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8" t="str">
        <f aca="false">IF(OR($Q200="",$R200=""),"",$Q200*$R200/100)</f>
        <v/>
      </c>
      <c r="U200" s="29"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4"/>
      <c r="D201" s="24"/>
      <c r="E201" s="14"/>
      <c r="F201" s="16" t="str">
        <f aca="false">IF(OR($C201="",$D201=""),"",$D201-$C201)</f>
        <v/>
      </c>
      <c r="G201" s="25" t="str">
        <f aca="false">IF($A201="","",IFERROR(INDEX('2. Plot &amp; Core Log'!$M$6:$M$35,MATCH($A201,'2. Plot &amp; Core Log'!$B$6:$B$35,0)),""))</f>
        <v/>
      </c>
      <c r="H201" s="26" t="str">
        <f aca="false">IF($A201="","",IFERROR(INDEX('2. Plot &amp; Core Log'!$S$6:$S$35,MATCH($A201,'2. Plot &amp; Core Log'!$B$6:$B$35,0)),""))</f>
        <v/>
      </c>
      <c r="I201" s="16" t="str">
        <f aca="false">IF(OR($C201="",$G201=""),"",$C201*$G201)</f>
        <v/>
      </c>
      <c r="J201" s="16" t="str">
        <f aca="false">IF(OR($D201="",$G201=""),"",$D201*$G201)</f>
        <v/>
      </c>
      <c r="K201" s="16" t="str">
        <f aca="false">IF(OR($F201="",$H201=""),"",PI()*(($H201/2)^2)*$F201)</f>
        <v/>
      </c>
      <c r="L201" s="27"/>
      <c r="M201" s="27"/>
      <c r="N201" s="27"/>
      <c r="O201" s="27"/>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8" t="str">
        <f aca="false">IF(OR($Q201="",$R201=""),"",$Q201*$R201/100)</f>
        <v/>
      </c>
      <c r="U201" s="29"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4"/>
      <c r="D202" s="24"/>
      <c r="E202" s="14"/>
      <c r="F202" s="16" t="str">
        <f aca="false">IF(OR($C202="",$D202=""),"",$D202-$C202)</f>
        <v/>
      </c>
      <c r="G202" s="25" t="str">
        <f aca="false">IF($A202="","",IFERROR(INDEX('2. Plot &amp; Core Log'!$M$6:$M$35,MATCH($A202,'2. Plot &amp; Core Log'!$B$6:$B$35,0)),""))</f>
        <v/>
      </c>
      <c r="H202" s="26" t="str">
        <f aca="false">IF($A202="","",IFERROR(INDEX('2. Plot &amp; Core Log'!$S$6:$S$35,MATCH($A202,'2. Plot &amp; Core Log'!$B$6:$B$35,0)),""))</f>
        <v/>
      </c>
      <c r="I202" s="16" t="str">
        <f aca="false">IF(OR($C202="",$G202=""),"",$C202*$G202)</f>
        <v/>
      </c>
      <c r="J202" s="16" t="str">
        <f aca="false">IF(OR($D202="",$G202=""),"",$D202*$G202)</f>
        <v/>
      </c>
      <c r="K202" s="16" t="str">
        <f aca="false">IF(OR($F202="",$H202=""),"",PI()*(($H202/2)^2)*$F202)</f>
        <v/>
      </c>
      <c r="L202" s="27"/>
      <c r="M202" s="27"/>
      <c r="N202" s="27"/>
      <c r="O202" s="27"/>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8" t="str">
        <f aca="false">IF(OR($Q202="",$R202=""),"",$Q202*$R202/100)</f>
        <v/>
      </c>
      <c r="U202" s="29"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4"/>
      <c r="D203" s="24"/>
      <c r="E203" s="14"/>
      <c r="F203" s="16" t="str">
        <f aca="false">IF(OR($C203="",$D203=""),"",$D203-$C203)</f>
        <v/>
      </c>
      <c r="G203" s="25" t="str">
        <f aca="false">IF($A203="","",IFERROR(INDEX('2. Plot &amp; Core Log'!$M$6:$M$35,MATCH($A203,'2. Plot &amp; Core Log'!$B$6:$B$35,0)),""))</f>
        <v/>
      </c>
      <c r="H203" s="26" t="str">
        <f aca="false">IF($A203="","",IFERROR(INDEX('2. Plot &amp; Core Log'!$S$6:$S$35,MATCH($A203,'2. Plot &amp; Core Log'!$B$6:$B$35,0)),""))</f>
        <v/>
      </c>
      <c r="I203" s="16" t="str">
        <f aca="false">IF(OR($C203="",$G203=""),"",$C203*$G203)</f>
        <v/>
      </c>
      <c r="J203" s="16" t="str">
        <f aca="false">IF(OR($D203="",$G203=""),"",$D203*$G203)</f>
        <v/>
      </c>
      <c r="K203" s="16" t="str">
        <f aca="false">IF(OR($F203="",$H203=""),"",PI()*(($H203/2)^2)*$F203)</f>
        <v/>
      </c>
      <c r="L203" s="27"/>
      <c r="M203" s="27"/>
      <c r="N203" s="27"/>
      <c r="O203" s="27"/>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8" t="str">
        <f aca="false">IF(OR($Q203="",$R203=""),"",$Q203*$R203/100)</f>
        <v/>
      </c>
      <c r="U203" s="29"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4"/>
      <c r="D204" s="24"/>
      <c r="E204" s="14"/>
      <c r="F204" s="16" t="str">
        <f aca="false">IF(OR($C204="",$D204=""),"",$D204-$C204)</f>
        <v/>
      </c>
      <c r="G204" s="25" t="str">
        <f aca="false">IF($A204="","",IFERROR(INDEX('2. Plot &amp; Core Log'!$M$6:$M$35,MATCH($A204,'2. Plot &amp; Core Log'!$B$6:$B$35,0)),""))</f>
        <v/>
      </c>
      <c r="H204" s="26" t="str">
        <f aca="false">IF($A204="","",IFERROR(INDEX('2. Plot &amp; Core Log'!$S$6:$S$35,MATCH($A204,'2. Plot &amp; Core Log'!$B$6:$B$35,0)),""))</f>
        <v/>
      </c>
      <c r="I204" s="16" t="str">
        <f aca="false">IF(OR($C204="",$G204=""),"",$C204*$G204)</f>
        <v/>
      </c>
      <c r="J204" s="16" t="str">
        <f aca="false">IF(OR($D204="",$G204=""),"",$D204*$G204)</f>
        <v/>
      </c>
      <c r="K204" s="16" t="str">
        <f aca="false">IF(OR($F204="",$H204=""),"",PI()*(($H204/2)^2)*$F204)</f>
        <v/>
      </c>
      <c r="L204" s="27"/>
      <c r="M204" s="27"/>
      <c r="N204" s="27"/>
      <c r="O204" s="27"/>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8" t="str">
        <f aca="false">IF(OR($Q204="",$R204=""),"",$Q204*$R204/100)</f>
        <v/>
      </c>
      <c r="U204" s="29"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4"/>
      <c r="D205" s="24"/>
      <c r="E205" s="14"/>
      <c r="F205" s="16" t="str">
        <f aca="false">IF(OR($C205="",$D205=""),"",$D205-$C205)</f>
        <v/>
      </c>
      <c r="G205" s="25" t="str">
        <f aca="false">IF($A205="","",IFERROR(INDEX('2. Plot &amp; Core Log'!$M$6:$M$35,MATCH($A205,'2. Plot &amp; Core Log'!$B$6:$B$35,0)),""))</f>
        <v/>
      </c>
      <c r="H205" s="26" t="str">
        <f aca="false">IF($A205="","",IFERROR(INDEX('2. Plot &amp; Core Log'!$S$6:$S$35,MATCH($A205,'2. Plot &amp; Core Log'!$B$6:$B$35,0)),""))</f>
        <v/>
      </c>
      <c r="I205" s="16" t="str">
        <f aca="false">IF(OR($C205="",$G205=""),"",$C205*$G205)</f>
        <v/>
      </c>
      <c r="J205" s="16" t="str">
        <f aca="false">IF(OR($D205="",$G205=""),"",$D205*$G205)</f>
        <v/>
      </c>
      <c r="K205" s="16" t="str">
        <f aca="false">IF(OR($F205="",$H205=""),"",PI()*(($H205/2)^2)*$F205)</f>
        <v/>
      </c>
      <c r="L205" s="27"/>
      <c r="M205" s="27"/>
      <c r="N205" s="27"/>
      <c r="O205" s="27"/>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8" t="str">
        <f aca="false">IF(OR($Q205="",$R205=""),"",$Q205*$R205/100)</f>
        <v/>
      </c>
      <c r="U205" s="29"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0" t="s">
        <v>127</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128</v>
      </c>
    </row>
    <row r="2" customFormat="false" ht="15" hidden="false" customHeight="false" outlineLevel="0" collapsed="false">
      <c r="A2" s="9" t="s">
        <v>129</v>
      </c>
      <c r="B2" s="9"/>
      <c r="C2" s="9"/>
      <c r="D2" s="9"/>
      <c r="E2" s="9"/>
      <c r="F2" s="9"/>
      <c r="G2" s="9"/>
      <c r="H2" s="9"/>
      <c r="I2" s="9"/>
      <c r="J2" s="9"/>
      <c r="K2" s="9"/>
      <c r="L2" s="9"/>
      <c r="M2" s="9"/>
      <c r="N2" s="9"/>
      <c r="O2" s="9"/>
      <c r="P2" s="9"/>
    </row>
    <row r="4" customFormat="false" ht="39.75" hidden="false" customHeight="true" outlineLevel="0" collapsed="false">
      <c r="A4" s="23" t="s">
        <v>78</v>
      </c>
      <c r="B4" s="23" t="s">
        <v>77</v>
      </c>
      <c r="C4" s="23" t="s">
        <v>130</v>
      </c>
      <c r="D4" s="23" t="s">
        <v>131</v>
      </c>
      <c r="E4" s="23" t="s">
        <v>132</v>
      </c>
      <c r="F4" s="23" t="s">
        <v>133</v>
      </c>
      <c r="G4" s="23" t="s">
        <v>134</v>
      </c>
      <c r="H4" s="23" t="s">
        <v>135</v>
      </c>
      <c r="I4" s="23" t="s">
        <v>136</v>
      </c>
      <c r="J4" s="23" t="s">
        <v>137</v>
      </c>
      <c r="K4" s="23" t="s">
        <v>138</v>
      </c>
      <c r="L4" s="23" t="s">
        <v>139</v>
      </c>
      <c r="M4" s="23" t="s">
        <v>140</v>
      </c>
      <c r="N4" s="23" t="s">
        <v>141</v>
      </c>
      <c r="O4" s="23" t="s">
        <v>142</v>
      </c>
      <c r="P4" s="23" t="s">
        <v>143</v>
      </c>
    </row>
    <row r="5" customFormat="false" ht="15" hidden="false" customHeight="false" outlineLevel="0" collapsed="false">
      <c r="A5" s="31" t="str">
        <f aca="false">IF('2. Plot &amp; Core Log'!$B$6="","",'2. Plot &amp; Core Log'!$B$6)</f>
        <v/>
      </c>
      <c r="B5" s="31" t="str">
        <f aca="false">IF($A5="","",IF('2. Plot &amp; Core Log'!$A$6="","",'2. Plot &amp; Core Log'!$A$6))</f>
        <v/>
      </c>
      <c r="C5" s="31" t="str">
        <f aca="false">IF($A5="","",IF('2. Plot &amp; Core Log'!$P$6="","",'2. Plot &amp; Core Log'!$P$6))</f>
        <v/>
      </c>
      <c r="D5" s="17" t="str">
        <f aca="false">IF($A5="","",COUNTIFS('3. Sample Data'!$A$6:$A$205,$A5))</f>
        <v/>
      </c>
      <c r="E5" s="17" t="str">
        <f aca="false">IF($A5="","",COUNTIFS('3. Sample Data'!$A$6:$A$205,$A5,'3. Sample Data'!$AA$6:$AA$205,"OK"))</f>
        <v/>
      </c>
      <c r="F5" s="16" t="str">
        <f aca="false">IF(OR($A5="",$D5=0),"",_xlfn.MAXIFS('3. Sample Data'!$D$6:$D$205,'3. Sample Data'!$A$6:$A$205,$A5))</f>
        <v/>
      </c>
      <c r="G5" s="16" t="str">
        <f aca="false">IF(OR($A5="",$D5=0),"",IFERROR(_xlfn.MAXIFS('3. Sample Data'!$J$6:$J$205,'3. Sample Data'!$A$6:$A$205,$A5),""))</f>
        <v/>
      </c>
      <c r="H5" s="17" t="str">
        <f aca="false">IF($A5="","",IF($D5=0,"No slices entered",IF(AND('2. Plot &amp; Core Log'!$O$6&lt;&gt;"OK",LEFT('2. Plot &amp; Core Log'!$O$6,7)&lt;&gt;"ASSUMED"),'2. Plot &amp; Core Log'!$O$6&amp;" (Sheet 2)",IF($E5&lt;$D5,"Not complete — see Slice check on Sheet 3","Complete"))))</f>
        <v/>
      </c>
      <c r="I5" s="15" t="str">
        <f aca="false">IF(OR($A5="",$H5&lt;&gt;"Complete"),"",SUMIFS('3. Sample Data'!$M$6:$M$205,'3. Sample Data'!$A$6:$A$205,$A5)/(PI()*(INDEX('2. Plot &amp; Core Log'!$S$6:$S$35,MATCH($A5,'2. Plot &amp; Core Log'!$B$6:$B$35,0))/2)^2*SUMIFS('3. Sample Data'!$F$6:$F$205,'3. Sample Data'!$A$6:$A$205,$A5)))</f>
        <v/>
      </c>
      <c r="J5" s="15" t="str">
        <f aca="false">IF(OR($A5="",$H5&lt;&gt;"Complete"),"",100*SUMIFS('3. Sample Data'!$U$6:$U$205,'3. Sample Data'!$A$6:$A$205,$A5)/(SUMIFS('3. Sample Data'!$M$6:$M$205,'3. Sample Data'!$A$6:$A$205,$A5)/(PI()*(INDEX('2. Plot &amp; Core Log'!$S$6:$S$35,MATCH($A5,'2. Plot &amp; Core Log'!$B$6:$B$35,0))/2)^2)))</f>
        <v/>
      </c>
      <c r="K5" s="15" t="str">
        <f aca="false">IF(OR($A5="",$H5&lt;&gt;"Complete"),"",SUMIFS('3. Sample Data'!$V$6:$V$205,'3. Sample Data'!$A$6:$A$205,$A5))</f>
        <v/>
      </c>
      <c r="L5" s="16" t="str">
        <f aca="false">IF($K5="","",$K5*10)</f>
        <v/>
      </c>
      <c r="M5" s="15" t="str">
        <f aca="false">IF(OR($A5="",$H5&lt;&gt;"Complete"),"",IF($G5&gt;=15-0.0001,SUMIFS('3. Sample Data'!$W$6:$W$205,'3. Sample Data'!$A$6:$A$205,$A5),IF($G5&gt;0,"partial — to "&amp;TEXT($G5,"0.0")&amp;" cm","not reached")))</f>
        <v/>
      </c>
      <c r="N5" s="15" t="str">
        <f aca="false">IF(OR($A5="",$H5&lt;&gt;"Complete"),"",IF($G5&gt;=30-0.0001,SUMIFS('3. Sample Data'!$X$6:$X$205,'3. Sample Data'!$A$6:$A$205,$A5),IF($G5&gt;15,"partial — to "&amp;TEXT($G5,"0.0")&amp;" cm","not reached")))</f>
        <v/>
      </c>
      <c r="O5" s="15" t="str">
        <f aca="false">IF(OR($A5="",$H5&lt;&gt;"Complete"),"",IF($G5&gt;=50-0.0001,SUMIFS('3. Sample Data'!$Y$6:$Y$205,'3. Sample Data'!$A$6:$A$205,$A5),IF($G5&gt;30,"partial — to "&amp;TEXT($G5,"0.0")&amp;" cm","not reached")))</f>
        <v/>
      </c>
      <c r="P5" s="15" t="str">
        <f aca="false">IF(OR($A5="",$H5&lt;&gt;"Complete"),"",IF($G5&gt;=100-0.0001,SUMIFS('3. Sample Data'!$Z$6:$Z$205,'3. Sample Data'!$A$6:$A$205,$A5),IF($G5&gt;50,"partial — to "&amp;TEXT($G5,"0.0")&amp;" cm","not reached")))</f>
        <v/>
      </c>
    </row>
    <row r="6" customFormat="false" ht="15" hidden="false" customHeight="false" outlineLevel="0" collapsed="false">
      <c r="A6" s="31" t="str">
        <f aca="false">IF('2. Plot &amp; Core Log'!$B$7="","",'2. Plot &amp; Core Log'!$B$7)</f>
        <v/>
      </c>
      <c r="B6" s="31" t="str">
        <f aca="false">IF($A6="","",IF('2. Plot &amp; Core Log'!$A$7="","",'2. Plot &amp; Core Log'!$A$7))</f>
        <v/>
      </c>
      <c r="C6" s="31" t="str">
        <f aca="false">IF($A6="","",IF('2. Plot &amp; Core Log'!$P$7="","",'2. Plot &amp; Core Log'!$P$7))</f>
        <v/>
      </c>
      <c r="D6" s="17" t="str">
        <f aca="false">IF($A6="","",COUNTIFS('3. Sample Data'!$A$6:$A$205,$A6))</f>
        <v/>
      </c>
      <c r="E6" s="17" t="str">
        <f aca="false">IF($A6="","",COUNTIFS('3. Sample Data'!$A$6:$A$205,$A6,'3. Sample Data'!$AA$6:$AA$205,"OK"))</f>
        <v/>
      </c>
      <c r="F6" s="16" t="str">
        <f aca="false">IF(OR($A6="",$D6=0),"",_xlfn.MAXIFS('3. Sample Data'!$D$6:$D$205,'3. Sample Data'!$A$6:$A$205,$A6))</f>
        <v/>
      </c>
      <c r="G6" s="16" t="str">
        <f aca="false">IF(OR($A6="",$D6=0),"",IFERROR(_xlfn.MAXIFS('3. Sample Data'!$J$6:$J$205,'3. Sample Data'!$A$6:$A$205,$A6),""))</f>
        <v/>
      </c>
      <c r="H6" s="17" t="str">
        <f aca="false">IF($A6="","",IF($D6=0,"No slices entered",IF(AND('2. Plot &amp; Core Log'!$O$7&lt;&gt;"OK",LEFT('2. Plot &amp; Core Log'!$O$7,7)&lt;&gt;"ASSUMED"),'2. Plot &amp; Core Log'!$O$7&amp;" (Sheet 2)",IF($E6&lt;$D6,"Not complete — see Slice check on Sheet 3","Complete"))))</f>
        <v/>
      </c>
      <c r="I6" s="15" t="str">
        <f aca="false">IF(OR($A6="",$H6&lt;&gt;"Complete"),"",SUMIFS('3. Sample Data'!$M$6:$M$205,'3. Sample Data'!$A$6:$A$205,$A6)/(PI()*(INDEX('2. Plot &amp; Core Log'!$S$6:$S$35,MATCH($A6,'2. Plot &amp; Core Log'!$B$6:$B$35,0))/2)^2*SUMIFS('3. Sample Data'!$F$6:$F$205,'3. Sample Data'!$A$6:$A$205,$A6)))</f>
        <v/>
      </c>
      <c r="J6" s="15" t="str">
        <f aca="false">IF(OR($A6="",$H6&lt;&gt;"Complete"),"",100*SUMIFS('3. Sample Data'!$U$6:$U$205,'3. Sample Data'!$A$6:$A$205,$A6)/(SUMIFS('3. Sample Data'!$M$6:$M$205,'3. Sample Data'!$A$6:$A$205,$A6)/(PI()*(INDEX('2. Plot &amp; Core Log'!$S$6:$S$35,MATCH($A6,'2. Plot &amp; Core Log'!$B$6:$B$35,0))/2)^2)))</f>
        <v/>
      </c>
      <c r="K6" s="15" t="str">
        <f aca="false">IF(OR($A6="",$H6&lt;&gt;"Complete"),"",SUMIFS('3. Sample Data'!$V$6:$V$205,'3. Sample Data'!$A$6:$A$205,$A6))</f>
        <v/>
      </c>
      <c r="L6" s="16" t="str">
        <f aca="false">IF($K6="","",$K6*10)</f>
        <v/>
      </c>
      <c r="M6" s="15" t="str">
        <f aca="false">IF(OR($A6="",$H6&lt;&gt;"Complete"),"",IF($G6&gt;=15-0.0001,SUMIFS('3. Sample Data'!$W$6:$W$205,'3. Sample Data'!$A$6:$A$205,$A6),IF($G6&gt;0,"partial — to "&amp;TEXT($G6,"0.0")&amp;" cm","not reached")))</f>
        <v/>
      </c>
      <c r="N6" s="15" t="str">
        <f aca="false">IF(OR($A6="",$H6&lt;&gt;"Complete"),"",IF($G6&gt;=30-0.0001,SUMIFS('3. Sample Data'!$X$6:$X$205,'3. Sample Data'!$A$6:$A$205,$A6),IF($G6&gt;15,"partial — to "&amp;TEXT($G6,"0.0")&amp;" cm","not reached")))</f>
        <v/>
      </c>
      <c r="O6" s="15" t="str">
        <f aca="false">IF(OR($A6="",$H6&lt;&gt;"Complete"),"",IF($G6&gt;=50-0.0001,SUMIFS('3. Sample Data'!$Y$6:$Y$205,'3. Sample Data'!$A$6:$A$205,$A6),IF($G6&gt;30,"partial — to "&amp;TEXT($G6,"0.0")&amp;" cm","not reached")))</f>
        <v/>
      </c>
      <c r="P6" s="15" t="str">
        <f aca="false">IF(OR($A6="",$H6&lt;&gt;"Complete"),"",IF($G6&gt;=100-0.0001,SUMIFS('3. Sample Data'!$Z$6:$Z$205,'3. Sample Data'!$A$6:$A$205,$A6),IF($G6&gt;50,"partial — to "&amp;TEXT($G6,"0.0")&amp;" cm","not reached")))</f>
        <v/>
      </c>
    </row>
    <row r="7" customFormat="false" ht="15" hidden="false" customHeight="false" outlineLevel="0" collapsed="false">
      <c r="A7" s="31" t="str">
        <f aca="false">IF('2. Plot &amp; Core Log'!$B$8="","",'2. Plot &amp; Core Log'!$B$8)</f>
        <v/>
      </c>
      <c r="B7" s="31" t="str">
        <f aca="false">IF($A7="","",IF('2. Plot &amp; Core Log'!$A$8="","",'2. Plot &amp; Core Log'!$A$8))</f>
        <v/>
      </c>
      <c r="C7" s="31" t="str">
        <f aca="false">IF($A7="","",IF('2. Plot &amp; Core Log'!$P$8="","",'2. Plot &amp; Core Log'!$P$8))</f>
        <v/>
      </c>
      <c r="D7" s="17" t="str">
        <f aca="false">IF($A7="","",COUNTIFS('3. Sample Data'!$A$6:$A$205,$A7))</f>
        <v/>
      </c>
      <c r="E7" s="17" t="str">
        <f aca="false">IF($A7="","",COUNTIFS('3. Sample Data'!$A$6:$A$205,$A7,'3. Sample Data'!$AA$6:$AA$205,"OK"))</f>
        <v/>
      </c>
      <c r="F7" s="16" t="str">
        <f aca="false">IF(OR($A7="",$D7=0),"",_xlfn.MAXIFS('3. Sample Data'!$D$6:$D$205,'3. Sample Data'!$A$6:$A$205,$A7))</f>
        <v/>
      </c>
      <c r="G7" s="16" t="str">
        <f aca="false">IF(OR($A7="",$D7=0),"",IFERROR(_xlfn.MAXIFS('3. Sample Data'!$J$6:$J$205,'3. Sample Data'!$A$6:$A$205,$A7),""))</f>
        <v/>
      </c>
      <c r="H7" s="17" t="str">
        <f aca="false">IF($A7="","",IF($D7=0,"No slices entered",IF(AND('2. Plot &amp; Core Log'!$O$8&lt;&gt;"OK",LEFT('2. Plot &amp; Core Log'!$O$8,7)&lt;&gt;"ASSUMED"),'2. Plot &amp; Core Log'!$O$8&amp;" (Sheet 2)",IF($E7&lt;$D7,"Not complete — see Slice check on Sheet 3","Complete"))))</f>
        <v/>
      </c>
      <c r="I7" s="15" t="str">
        <f aca="false">IF(OR($A7="",$H7&lt;&gt;"Complete"),"",SUMIFS('3. Sample Data'!$M$6:$M$205,'3. Sample Data'!$A$6:$A$205,$A7)/(PI()*(INDEX('2. Plot &amp; Core Log'!$S$6:$S$35,MATCH($A7,'2. Plot &amp; Core Log'!$B$6:$B$35,0))/2)^2*SUMIFS('3. Sample Data'!$F$6:$F$205,'3. Sample Data'!$A$6:$A$205,$A7)))</f>
        <v/>
      </c>
      <c r="J7" s="15" t="str">
        <f aca="false">IF(OR($A7="",$H7&lt;&gt;"Complete"),"",100*SUMIFS('3. Sample Data'!$U$6:$U$205,'3. Sample Data'!$A$6:$A$205,$A7)/(SUMIFS('3. Sample Data'!$M$6:$M$205,'3. Sample Data'!$A$6:$A$205,$A7)/(PI()*(INDEX('2. Plot &amp; Core Log'!$S$6:$S$35,MATCH($A7,'2. Plot &amp; Core Log'!$B$6:$B$35,0))/2)^2)))</f>
        <v/>
      </c>
      <c r="K7" s="15" t="str">
        <f aca="false">IF(OR($A7="",$H7&lt;&gt;"Complete"),"",SUMIFS('3. Sample Data'!$V$6:$V$205,'3. Sample Data'!$A$6:$A$205,$A7))</f>
        <v/>
      </c>
      <c r="L7" s="16" t="str">
        <f aca="false">IF($K7="","",$K7*10)</f>
        <v/>
      </c>
      <c r="M7" s="15" t="str">
        <f aca="false">IF(OR($A7="",$H7&lt;&gt;"Complete"),"",IF($G7&gt;=15-0.0001,SUMIFS('3. Sample Data'!$W$6:$W$205,'3. Sample Data'!$A$6:$A$205,$A7),IF($G7&gt;0,"partial — to "&amp;TEXT($G7,"0.0")&amp;" cm","not reached")))</f>
        <v/>
      </c>
      <c r="N7" s="15" t="str">
        <f aca="false">IF(OR($A7="",$H7&lt;&gt;"Complete"),"",IF($G7&gt;=30-0.0001,SUMIFS('3. Sample Data'!$X$6:$X$205,'3. Sample Data'!$A$6:$A$205,$A7),IF($G7&gt;15,"partial — to "&amp;TEXT($G7,"0.0")&amp;" cm","not reached")))</f>
        <v/>
      </c>
      <c r="O7" s="15" t="str">
        <f aca="false">IF(OR($A7="",$H7&lt;&gt;"Complete"),"",IF($G7&gt;=50-0.0001,SUMIFS('3. Sample Data'!$Y$6:$Y$205,'3. Sample Data'!$A$6:$A$205,$A7),IF($G7&gt;30,"partial — to "&amp;TEXT($G7,"0.0")&amp;" cm","not reached")))</f>
        <v/>
      </c>
      <c r="P7" s="15" t="str">
        <f aca="false">IF(OR($A7="",$H7&lt;&gt;"Complete"),"",IF($G7&gt;=100-0.0001,SUMIFS('3. Sample Data'!$Z$6:$Z$205,'3. Sample Data'!$A$6:$A$205,$A7),IF($G7&gt;50,"partial — to "&amp;TEXT($G7,"0.0")&amp;" cm","not reached")))</f>
        <v/>
      </c>
    </row>
    <row r="8" customFormat="false" ht="15" hidden="false" customHeight="false" outlineLevel="0" collapsed="false">
      <c r="A8" s="31" t="str">
        <f aca="false">IF('2. Plot &amp; Core Log'!$B$9="","",'2. Plot &amp; Core Log'!$B$9)</f>
        <v/>
      </c>
      <c r="B8" s="31" t="str">
        <f aca="false">IF($A8="","",IF('2. Plot &amp; Core Log'!$A$9="","",'2. Plot &amp; Core Log'!$A$9))</f>
        <v/>
      </c>
      <c r="C8" s="31" t="str">
        <f aca="false">IF($A8="","",IF('2. Plot &amp; Core Log'!$P$9="","",'2. Plot &amp; Core Log'!$P$9))</f>
        <v/>
      </c>
      <c r="D8" s="17" t="str">
        <f aca="false">IF($A8="","",COUNTIFS('3. Sample Data'!$A$6:$A$205,$A8))</f>
        <v/>
      </c>
      <c r="E8" s="17" t="str">
        <f aca="false">IF($A8="","",COUNTIFS('3. Sample Data'!$A$6:$A$205,$A8,'3. Sample Data'!$AA$6:$AA$205,"OK"))</f>
        <v/>
      </c>
      <c r="F8" s="16" t="str">
        <f aca="false">IF(OR($A8="",$D8=0),"",_xlfn.MAXIFS('3. Sample Data'!$D$6:$D$205,'3. Sample Data'!$A$6:$A$205,$A8))</f>
        <v/>
      </c>
      <c r="G8" s="16" t="str">
        <f aca="false">IF(OR($A8="",$D8=0),"",IFERROR(_xlfn.MAXIFS('3. Sample Data'!$J$6:$J$205,'3. Sample Data'!$A$6:$A$205,$A8),""))</f>
        <v/>
      </c>
      <c r="H8" s="17" t="str">
        <f aca="false">IF($A8="","",IF($D8=0,"No slices entered",IF(AND('2. Plot &amp; Core Log'!$O$9&lt;&gt;"OK",LEFT('2. Plot &amp; Core Log'!$O$9,7)&lt;&gt;"ASSUMED"),'2. Plot &amp; Core Log'!$O$9&amp;" (Sheet 2)",IF($E8&lt;$D8,"Not complete — see Slice check on Sheet 3","Complete"))))</f>
        <v/>
      </c>
      <c r="I8" s="15" t="str">
        <f aca="false">IF(OR($A8="",$H8&lt;&gt;"Complete"),"",SUMIFS('3. Sample Data'!$M$6:$M$205,'3. Sample Data'!$A$6:$A$205,$A8)/(PI()*(INDEX('2. Plot &amp; Core Log'!$S$6:$S$35,MATCH($A8,'2. Plot &amp; Core Log'!$B$6:$B$35,0))/2)^2*SUMIFS('3. Sample Data'!$F$6:$F$205,'3. Sample Data'!$A$6:$A$205,$A8)))</f>
        <v/>
      </c>
      <c r="J8" s="15" t="str">
        <f aca="false">IF(OR($A8="",$H8&lt;&gt;"Complete"),"",100*SUMIFS('3. Sample Data'!$U$6:$U$205,'3. Sample Data'!$A$6:$A$205,$A8)/(SUMIFS('3. Sample Data'!$M$6:$M$205,'3. Sample Data'!$A$6:$A$205,$A8)/(PI()*(INDEX('2. Plot &amp; Core Log'!$S$6:$S$35,MATCH($A8,'2. Plot &amp; Core Log'!$B$6:$B$35,0))/2)^2)))</f>
        <v/>
      </c>
      <c r="K8" s="15" t="str">
        <f aca="false">IF(OR($A8="",$H8&lt;&gt;"Complete"),"",SUMIFS('3. Sample Data'!$V$6:$V$205,'3. Sample Data'!$A$6:$A$205,$A8))</f>
        <v/>
      </c>
      <c r="L8" s="16" t="str">
        <f aca="false">IF($K8="","",$K8*10)</f>
        <v/>
      </c>
      <c r="M8" s="15" t="str">
        <f aca="false">IF(OR($A8="",$H8&lt;&gt;"Complete"),"",IF($G8&gt;=15-0.0001,SUMIFS('3. Sample Data'!$W$6:$W$205,'3. Sample Data'!$A$6:$A$205,$A8),IF($G8&gt;0,"partial — to "&amp;TEXT($G8,"0.0")&amp;" cm","not reached")))</f>
        <v/>
      </c>
      <c r="N8" s="15" t="str">
        <f aca="false">IF(OR($A8="",$H8&lt;&gt;"Complete"),"",IF($G8&gt;=30-0.0001,SUMIFS('3. Sample Data'!$X$6:$X$205,'3. Sample Data'!$A$6:$A$205,$A8),IF($G8&gt;15,"partial — to "&amp;TEXT($G8,"0.0")&amp;" cm","not reached")))</f>
        <v/>
      </c>
      <c r="O8" s="15" t="str">
        <f aca="false">IF(OR($A8="",$H8&lt;&gt;"Complete"),"",IF($G8&gt;=50-0.0001,SUMIFS('3. Sample Data'!$Y$6:$Y$205,'3. Sample Data'!$A$6:$A$205,$A8),IF($G8&gt;30,"partial — to "&amp;TEXT($G8,"0.0")&amp;" cm","not reached")))</f>
        <v/>
      </c>
      <c r="P8" s="15" t="str">
        <f aca="false">IF(OR($A8="",$H8&lt;&gt;"Complete"),"",IF($G8&gt;=100-0.0001,SUMIFS('3. Sample Data'!$Z$6:$Z$205,'3. Sample Data'!$A$6:$A$205,$A8),IF($G8&gt;50,"partial — to "&amp;TEXT($G8,"0.0")&amp;" cm","not reached")))</f>
        <v/>
      </c>
    </row>
    <row r="9" customFormat="false" ht="15" hidden="false" customHeight="false" outlineLevel="0" collapsed="false">
      <c r="A9" s="31" t="str">
        <f aca="false">IF('2. Plot &amp; Core Log'!$B$10="","",'2. Plot &amp; Core Log'!$B$10)</f>
        <v/>
      </c>
      <c r="B9" s="31" t="str">
        <f aca="false">IF($A9="","",IF('2. Plot &amp; Core Log'!$A$10="","",'2. Plot &amp; Core Log'!$A$10))</f>
        <v/>
      </c>
      <c r="C9" s="31" t="str">
        <f aca="false">IF($A9="","",IF('2. Plot &amp; Core Log'!$P$10="","",'2. Plot &amp; Core Log'!$P$10))</f>
        <v/>
      </c>
      <c r="D9" s="17" t="str">
        <f aca="false">IF($A9="","",COUNTIFS('3. Sample Data'!$A$6:$A$205,$A9))</f>
        <v/>
      </c>
      <c r="E9" s="17" t="str">
        <f aca="false">IF($A9="","",COUNTIFS('3. Sample Data'!$A$6:$A$205,$A9,'3. Sample Data'!$AA$6:$AA$205,"OK"))</f>
        <v/>
      </c>
      <c r="F9" s="16" t="str">
        <f aca="false">IF(OR($A9="",$D9=0),"",_xlfn.MAXIFS('3. Sample Data'!$D$6:$D$205,'3. Sample Data'!$A$6:$A$205,$A9))</f>
        <v/>
      </c>
      <c r="G9" s="16" t="str">
        <f aca="false">IF(OR($A9="",$D9=0),"",IFERROR(_xlfn.MAXIFS('3. Sample Data'!$J$6:$J$205,'3. Sample Data'!$A$6:$A$205,$A9),""))</f>
        <v/>
      </c>
      <c r="H9" s="17" t="str">
        <f aca="false">IF($A9="","",IF($D9=0,"No slices entered",IF(AND('2. Plot &amp; Core Log'!$O$10&lt;&gt;"OK",LEFT('2. Plot &amp; Core Log'!$O$10,7)&lt;&gt;"ASSUMED"),'2. Plot &amp; Core Log'!$O$10&amp;" (Sheet 2)",IF($E9&lt;$D9,"Not complete — see Slice check on Sheet 3","Complete"))))</f>
        <v/>
      </c>
      <c r="I9" s="15" t="str">
        <f aca="false">IF(OR($A9="",$H9&lt;&gt;"Complete"),"",SUMIFS('3. Sample Data'!$M$6:$M$205,'3. Sample Data'!$A$6:$A$205,$A9)/(PI()*(INDEX('2. Plot &amp; Core Log'!$S$6:$S$35,MATCH($A9,'2. Plot &amp; Core Log'!$B$6:$B$35,0))/2)^2*SUMIFS('3. Sample Data'!$F$6:$F$205,'3. Sample Data'!$A$6:$A$205,$A9)))</f>
        <v/>
      </c>
      <c r="J9" s="15" t="str">
        <f aca="false">IF(OR($A9="",$H9&lt;&gt;"Complete"),"",100*SUMIFS('3. Sample Data'!$U$6:$U$205,'3. Sample Data'!$A$6:$A$205,$A9)/(SUMIFS('3. Sample Data'!$M$6:$M$205,'3. Sample Data'!$A$6:$A$205,$A9)/(PI()*(INDEX('2. Plot &amp; Core Log'!$S$6:$S$35,MATCH($A9,'2. Plot &amp; Core Log'!$B$6:$B$35,0))/2)^2)))</f>
        <v/>
      </c>
      <c r="K9" s="15" t="str">
        <f aca="false">IF(OR($A9="",$H9&lt;&gt;"Complete"),"",SUMIFS('3. Sample Data'!$V$6:$V$205,'3. Sample Data'!$A$6:$A$205,$A9))</f>
        <v/>
      </c>
      <c r="L9" s="16" t="str">
        <f aca="false">IF($K9="","",$K9*10)</f>
        <v/>
      </c>
      <c r="M9" s="15" t="str">
        <f aca="false">IF(OR($A9="",$H9&lt;&gt;"Complete"),"",IF($G9&gt;=15-0.0001,SUMIFS('3. Sample Data'!$W$6:$W$205,'3. Sample Data'!$A$6:$A$205,$A9),IF($G9&gt;0,"partial — to "&amp;TEXT($G9,"0.0")&amp;" cm","not reached")))</f>
        <v/>
      </c>
      <c r="N9" s="15" t="str">
        <f aca="false">IF(OR($A9="",$H9&lt;&gt;"Complete"),"",IF($G9&gt;=30-0.0001,SUMIFS('3. Sample Data'!$X$6:$X$205,'3. Sample Data'!$A$6:$A$205,$A9),IF($G9&gt;15,"partial — to "&amp;TEXT($G9,"0.0")&amp;" cm","not reached")))</f>
        <v/>
      </c>
      <c r="O9" s="15" t="str">
        <f aca="false">IF(OR($A9="",$H9&lt;&gt;"Complete"),"",IF($G9&gt;=50-0.0001,SUMIFS('3. Sample Data'!$Y$6:$Y$205,'3. Sample Data'!$A$6:$A$205,$A9),IF($G9&gt;30,"partial — to "&amp;TEXT($G9,"0.0")&amp;" cm","not reached")))</f>
        <v/>
      </c>
      <c r="P9" s="15" t="str">
        <f aca="false">IF(OR($A9="",$H9&lt;&gt;"Complete"),"",IF($G9&gt;=100-0.0001,SUMIFS('3. Sample Data'!$Z$6:$Z$205,'3. Sample Data'!$A$6:$A$205,$A9),IF($G9&gt;50,"partial — to "&amp;TEXT($G9,"0.0")&amp;" cm","not reached")))</f>
        <v/>
      </c>
    </row>
    <row r="10" customFormat="false" ht="15" hidden="false" customHeight="false" outlineLevel="0" collapsed="false">
      <c r="A10" s="31" t="str">
        <f aca="false">IF('2. Plot &amp; Core Log'!$B$11="","",'2. Plot &amp; Core Log'!$B$11)</f>
        <v/>
      </c>
      <c r="B10" s="31" t="str">
        <f aca="false">IF($A10="","",IF('2. Plot &amp; Core Log'!$A$11="","",'2. Plot &amp; Core Log'!$A$11))</f>
        <v/>
      </c>
      <c r="C10" s="31" t="str">
        <f aca="false">IF($A10="","",IF('2. Plot &amp; Core Log'!$P$11="","",'2. Plot &amp; Core Log'!$P$11))</f>
        <v/>
      </c>
      <c r="D10" s="17" t="str">
        <f aca="false">IF($A10="","",COUNTIFS('3. Sample Data'!$A$6:$A$205,$A10))</f>
        <v/>
      </c>
      <c r="E10" s="17" t="str">
        <f aca="false">IF($A10="","",COUNTIFS('3. Sample Data'!$A$6:$A$205,$A10,'3. Sample Data'!$AA$6:$AA$205,"OK"))</f>
        <v/>
      </c>
      <c r="F10" s="16" t="str">
        <f aca="false">IF(OR($A10="",$D10=0),"",_xlfn.MAXIFS('3. Sample Data'!$D$6:$D$205,'3. Sample Data'!$A$6:$A$205,$A10))</f>
        <v/>
      </c>
      <c r="G10" s="16" t="str">
        <f aca="false">IF(OR($A10="",$D10=0),"",IFERROR(_xlfn.MAXIFS('3. Sample Data'!$J$6:$J$205,'3. Sample Data'!$A$6:$A$205,$A10),""))</f>
        <v/>
      </c>
      <c r="H10" s="17" t="str">
        <f aca="false">IF($A10="","",IF($D10=0,"No slices entered",IF(AND('2. Plot &amp; Core Log'!$O$11&lt;&gt;"OK",LEFT('2. Plot &amp; Core Log'!$O$11,7)&lt;&gt;"ASSUMED"),'2. Plot &amp; Core Log'!$O$11&amp;" (Sheet 2)",IF($E10&lt;$D10,"Not complete — see Slice check on Sheet 3","Complete"))))</f>
        <v/>
      </c>
      <c r="I10" s="15" t="str">
        <f aca="false">IF(OR($A10="",$H10&lt;&gt;"Complete"),"",SUMIFS('3. Sample Data'!$M$6:$M$205,'3. Sample Data'!$A$6:$A$205,$A10)/(PI()*(INDEX('2. Plot &amp; Core Log'!$S$6:$S$35,MATCH($A10,'2. Plot &amp; Core Log'!$B$6:$B$35,0))/2)^2*SUMIFS('3. Sample Data'!$F$6:$F$205,'3. Sample Data'!$A$6:$A$205,$A10)))</f>
        <v/>
      </c>
      <c r="J10" s="15" t="str">
        <f aca="false">IF(OR($A10="",$H10&lt;&gt;"Complete"),"",100*SUMIFS('3. Sample Data'!$U$6:$U$205,'3. Sample Data'!$A$6:$A$205,$A10)/(SUMIFS('3. Sample Data'!$M$6:$M$205,'3. Sample Data'!$A$6:$A$205,$A10)/(PI()*(INDEX('2. Plot &amp; Core Log'!$S$6:$S$35,MATCH($A10,'2. Plot &amp; Core Log'!$B$6:$B$35,0))/2)^2)))</f>
        <v/>
      </c>
      <c r="K10" s="15" t="str">
        <f aca="false">IF(OR($A10="",$H10&lt;&gt;"Complete"),"",SUMIFS('3. Sample Data'!$V$6:$V$205,'3. Sample Data'!$A$6:$A$205,$A10))</f>
        <v/>
      </c>
      <c r="L10" s="16" t="str">
        <f aca="false">IF($K10="","",$K10*10)</f>
        <v/>
      </c>
      <c r="M10" s="15" t="str">
        <f aca="false">IF(OR($A10="",$H10&lt;&gt;"Complete"),"",IF($G10&gt;=15-0.0001,SUMIFS('3. Sample Data'!$W$6:$W$205,'3. Sample Data'!$A$6:$A$205,$A10),IF($G10&gt;0,"partial — to "&amp;TEXT($G10,"0.0")&amp;" cm","not reached")))</f>
        <v/>
      </c>
      <c r="N10" s="15" t="str">
        <f aca="false">IF(OR($A10="",$H10&lt;&gt;"Complete"),"",IF($G10&gt;=30-0.0001,SUMIFS('3. Sample Data'!$X$6:$X$205,'3. Sample Data'!$A$6:$A$205,$A10),IF($G10&gt;15,"partial — to "&amp;TEXT($G10,"0.0")&amp;" cm","not reached")))</f>
        <v/>
      </c>
      <c r="O10" s="15" t="str">
        <f aca="false">IF(OR($A10="",$H10&lt;&gt;"Complete"),"",IF($G10&gt;=50-0.0001,SUMIFS('3. Sample Data'!$Y$6:$Y$205,'3. Sample Data'!$A$6:$A$205,$A10),IF($G10&gt;30,"partial — to "&amp;TEXT($G10,"0.0")&amp;" cm","not reached")))</f>
        <v/>
      </c>
      <c r="P10" s="15" t="str">
        <f aca="false">IF(OR($A10="",$H10&lt;&gt;"Complete"),"",IF($G10&gt;=100-0.0001,SUMIFS('3. Sample Data'!$Z$6:$Z$205,'3. Sample Data'!$A$6:$A$205,$A10),IF($G10&gt;50,"partial — to "&amp;TEXT($G10,"0.0")&amp;" cm","not reached")))</f>
        <v/>
      </c>
    </row>
    <row r="11" customFormat="false" ht="15" hidden="false" customHeight="false" outlineLevel="0" collapsed="false">
      <c r="A11" s="31" t="str">
        <f aca="false">IF('2. Plot &amp; Core Log'!$B$12="","",'2. Plot &amp; Core Log'!$B$12)</f>
        <v/>
      </c>
      <c r="B11" s="31" t="str">
        <f aca="false">IF($A11="","",IF('2. Plot &amp; Core Log'!$A$12="","",'2. Plot &amp; Core Log'!$A$12))</f>
        <v/>
      </c>
      <c r="C11" s="31" t="str">
        <f aca="false">IF($A11="","",IF('2. Plot &amp; Core Log'!$P$12="","",'2. Plot &amp; Core Log'!$P$12))</f>
        <v/>
      </c>
      <c r="D11" s="17" t="str">
        <f aca="false">IF($A11="","",COUNTIFS('3. Sample Data'!$A$6:$A$205,$A11))</f>
        <v/>
      </c>
      <c r="E11" s="17" t="str">
        <f aca="false">IF($A11="","",COUNTIFS('3. Sample Data'!$A$6:$A$205,$A11,'3. Sample Data'!$AA$6:$AA$205,"OK"))</f>
        <v/>
      </c>
      <c r="F11" s="16" t="str">
        <f aca="false">IF(OR($A11="",$D11=0),"",_xlfn.MAXIFS('3. Sample Data'!$D$6:$D$205,'3. Sample Data'!$A$6:$A$205,$A11))</f>
        <v/>
      </c>
      <c r="G11" s="16" t="str">
        <f aca="false">IF(OR($A11="",$D11=0),"",IFERROR(_xlfn.MAXIFS('3. Sample Data'!$J$6:$J$205,'3. Sample Data'!$A$6:$A$205,$A11),""))</f>
        <v/>
      </c>
      <c r="H11" s="17" t="str">
        <f aca="false">IF($A11="","",IF($D11=0,"No slices entered",IF(AND('2. Plot &amp; Core Log'!$O$12&lt;&gt;"OK",LEFT('2. Plot &amp; Core Log'!$O$12,7)&lt;&gt;"ASSUMED"),'2. Plot &amp; Core Log'!$O$12&amp;" (Sheet 2)",IF($E11&lt;$D11,"Not complete — see Slice check on Sheet 3","Complete"))))</f>
        <v/>
      </c>
      <c r="I11" s="15" t="str">
        <f aca="false">IF(OR($A11="",$H11&lt;&gt;"Complete"),"",SUMIFS('3. Sample Data'!$M$6:$M$205,'3. Sample Data'!$A$6:$A$205,$A11)/(PI()*(INDEX('2. Plot &amp; Core Log'!$S$6:$S$35,MATCH($A11,'2. Plot &amp; Core Log'!$B$6:$B$35,0))/2)^2*SUMIFS('3. Sample Data'!$F$6:$F$205,'3. Sample Data'!$A$6:$A$205,$A11)))</f>
        <v/>
      </c>
      <c r="J11" s="15" t="str">
        <f aca="false">IF(OR($A11="",$H11&lt;&gt;"Complete"),"",100*SUMIFS('3. Sample Data'!$U$6:$U$205,'3. Sample Data'!$A$6:$A$205,$A11)/(SUMIFS('3. Sample Data'!$M$6:$M$205,'3. Sample Data'!$A$6:$A$205,$A11)/(PI()*(INDEX('2. Plot &amp; Core Log'!$S$6:$S$35,MATCH($A11,'2. Plot &amp; Core Log'!$B$6:$B$35,0))/2)^2)))</f>
        <v/>
      </c>
      <c r="K11" s="15" t="str">
        <f aca="false">IF(OR($A11="",$H11&lt;&gt;"Complete"),"",SUMIFS('3. Sample Data'!$V$6:$V$205,'3. Sample Data'!$A$6:$A$205,$A11))</f>
        <v/>
      </c>
      <c r="L11" s="16" t="str">
        <f aca="false">IF($K11="","",$K11*10)</f>
        <v/>
      </c>
      <c r="M11" s="15" t="str">
        <f aca="false">IF(OR($A11="",$H11&lt;&gt;"Complete"),"",IF($G11&gt;=15-0.0001,SUMIFS('3. Sample Data'!$W$6:$W$205,'3. Sample Data'!$A$6:$A$205,$A11),IF($G11&gt;0,"partial — to "&amp;TEXT($G11,"0.0")&amp;" cm","not reached")))</f>
        <v/>
      </c>
      <c r="N11" s="15" t="str">
        <f aca="false">IF(OR($A11="",$H11&lt;&gt;"Complete"),"",IF($G11&gt;=30-0.0001,SUMIFS('3. Sample Data'!$X$6:$X$205,'3. Sample Data'!$A$6:$A$205,$A11),IF($G11&gt;15,"partial — to "&amp;TEXT($G11,"0.0")&amp;" cm","not reached")))</f>
        <v/>
      </c>
      <c r="O11" s="15" t="str">
        <f aca="false">IF(OR($A11="",$H11&lt;&gt;"Complete"),"",IF($G11&gt;=50-0.0001,SUMIFS('3. Sample Data'!$Y$6:$Y$205,'3. Sample Data'!$A$6:$A$205,$A11),IF($G11&gt;30,"partial — to "&amp;TEXT($G11,"0.0")&amp;" cm","not reached")))</f>
        <v/>
      </c>
      <c r="P11" s="15" t="str">
        <f aca="false">IF(OR($A11="",$H11&lt;&gt;"Complete"),"",IF($G11&gt;=100-0.0001,SUMIFS('3. Sample Data'!$Z$6:$Z$205,'3. Sample Data'!$A$6:$A$205,$A11),IF($G11&gt;50,"partial — to "&amp;TEXT($G11,"0.0")&amp;" cm","not reached")))</f>
        <v/>
      </c>
    </row>
    <row r="12" customFormat="false" ht="15" hidden="false" customHeight="false" outlineLevel="0" collapsed="false">
      <c r="A12" s="31" t="str">
        <f aca="false">IF('2. Plot &amp; Core Log'!$B$13="","",'2. Plot &amp; Core Log'!$B$13)</f>
        <v/>
      </c>
      <c r="B12" s="31" t="str">
        <f aca="false">IF($A12="","",IF('2. Plot &amp; Core Log'!$A$13="","",'2. Plot &amp; Core Log'!$A$13))</f>
        <v/>
      </c>
      <c r="C12" s="31" t="str">
        <f aca="false">IF($A12="","",IF('2. Plot &amp; Core Log'!$P$13="","",'2. Plot &amp; Core Log'!$P$13))</f>
        <v/>
      </c>
      <c r="D12" s="17" t="str">
        <f aca="false">IF($A12="","",COUNTIFS('3. Sample Data'!$A$6:$A$205,$A12))</f>
        <v/>
      </c>
      <c r="E12" s="17" t="str">
        <f aca="false">IF($A12="","",COUNTIFS('3. Sample Data'!$A$6:$A$205,$A12,'3. Sample Data'!$AA$6:$AA$205,"OK"))</f>
        <v/>
      </c>
      <c r="F12" s="16" t="str">
        <f aca="false">IF(OR($A12="",$D12=0),"",_xlfn.MAXIFS('3. Sample Data'!$D$6:$D$205,'3. Sample Data'!$A$6:$A$205,$A12))</f>
        <v/>
      </c>
      <c r="G12" s="16" t="str">
        <f aca="false">IF(OR($A12="",$D12=0),"",IFERROR(_xlfn.MAXIFS('3. Sample Data'!$J$6:$J$205,'3. Sample Data'!$A$6:$A$205,$A12),""))</f>
        <v/>
      </c>
      <c r="H12" s="17" t="str">
        <f aca="false">IF($A12="","",IF($D12=0,"No slices entered",IF(AND('2. Plot &amp; Core Log'!$O$13&lt;&gt;"OK",LEFT('2. Plot &amp; Core Log'!$O$13,7)&lt;&gt;"ASSUMED"),'2. Plot &amp; Core Log'!$O$13&amp;" (Sheet 2)",IF($E12&lt;$D12,"Not complete — see Slice check on Sheet 3","Complete"))))</f>
        <v/>
      </c>
      <c r="I12" s="15" t="str">
        <f aca="false">IF(OR($A12="",$H12&lt;&gt;"Complete"),"",SUMIFS('3. Sample Data'!$M$6:$M$205,'3. Sample Data'!$A$6:$A$205,$A12)/(PI()*(INDEX('2. Plot &amp; Core Log'!$S$6:$S$35,MATCH($A12,'2. Plot &amp; Core Log'!$B$6:$B$35,0))/2)^2*SUMIFS('3. Sample Data'!$F$6:$F$205,'3. Sample Data'!$A$6:$A$205,$A12)))</f>
        <v/>
      </c>
      <c r="J12" s="15" t="str">
        <f aca="false">IF(OR($A12="",$H12&lt;&gt;"Complete"),"",100*SUMIFS('3. Sample Data'!$U$6:$U$205,'3. Sample Data'!$A$6:$A$205,$A12)/(SUMIFS('3. Sample Data'!$M$6:$M$205,'3. Sample Data'!$A$6:$A$205,$A12)/(PI()*(INDEX('2. Plot &amp; Core Log'!$S$6:$S$35,MATCH($A12,'2. Plot &amp; Core Log'!$B$6:$B$35,0))/2)^2)))</f>
        <v/>
      </c>
      <c r="K12" s="15" t="str">
        <f aca="false">IF(OR($A12="",$H12&lt;&gt;"Complete"),"",SUMIFS('3. Sample Data'!$V$6:$V$205,'3. Sample Data'!$A$6:$A$205,$A12))</f>
        <v/>
      </c>
      <c r="L12" s="16" t="str">
        <f aca="false">IF($K12="","",$K12*10)</f>
        <v/>
      </c>
      <c r="M12" s="15" t="str">
        <f aca="false">IF(OR($A12="",$H12&lt;&gt;"Complete"),"",IF($G12&gt;=15-0.0001,SUMIFS('3. Sample Data'!$W$6:$W$205,'3. Sample Data'!$A$6:$A$205,$A12),IF($G12&gt;0,"partial — to "&amp;TEXT($G12,"0.0")&amp;" cm","not reached")))</f>
        <v/>
      </c>
      <c r="N12" s="15" t="str">
        <f aca="false">IF(OR($A12="",$H12&lt;&gt;"Complete"),"",IF($G12&gt;=30-0.0001,SUMIFS('3. Sample Data'!$X$6:$X$205,'3. Sample Data'!$A$6:$A$205,$A12),IF($G12&gt;15,"partial — to "&amp;TEXT($G12,"0.0")&amp;" cm","not reached")))</f>
        <v/>
      </c>
      <c r="O12" s="15" t="str">
        <f aca="false">IF(OR($A12="",$H12&lt;&gt;"Complete"),"",IF($G12&gt;=50-0.0001,SUMIFS('3. Sample Data'!$Y$6:$Y$205,'3. Sample Data'!$A$6:$A$205,$A12),IF($G12&gt;30,"partial — to "&amp;TEXT($G12,"0.0")&amp;" cm","not reached")))</f>
        <v/>
      </c>
      <c r="P12" s="15" t="str">
        <f aca="false">IF(OR($A12="",$H12&lt;&gt;"Complete"),"",IF($G12&gt;=100-0.0001,SUMIFS('3. Sample Data'!$Z$6:$Z$205,'3. Sample Data'!$A$6:$A$205,$A12),IF($G12&gt;50,"partial — to "&amp;TEXT($G12,"0.0")&amp;" cm","not reached")))</f>
        <v/>
      </c>
    </row>
    <row r="13" customFormat="false" ht="15" hidden="false" customHeight="false" outlineLevel="0" collapsed="false">
      <c r="A13" s="31" t="str">
        <f aca="false">IF('2. Plot &amp; Core Log'!$B$14="","",'2. Plot &amp; Core Log'!$B$14)</f>
        <v/>
      </c>
      <c r="B13" s="31" t="str">
        <f aca="false">IF($A13="","",IF('2. Plot &amp; Core Log'!$A$14="","",'2. Plot &amp; Core Log'!$A$14))</f>
        <v/>
      </c>
      <c r="C13" s="31" t="str">
        <f aca="false">IF($A13="","",IF('2. Plot &amp; Core Log'!$P$14="","",'2. Plot &amp; Core Log'!$P$14))</f>
        <v/>
      </c>
      <c r="D13" s="17" t="str">
        <f aca="false">IF($A13="","",COUNTIFS('3. Sample Data'!$A$6:$A$205,$A13))</f>
        <v/>
      </c>
      <c r="E13" s="17" t="str">
        <f aca="false">IF($A13="","",COUNTIFS('3. Sample Data'!$A$6:$A$205,$A13,'3. Sample Data'!$AA$6:$AA$205,"OK"))</f>
        <v/>
      </c>
      <c r="F13" s="16" t="str">
        <f aca="false">IF(OR($A13="",$D13=0),"",_xlfn.MAXIFS('3. Sample Data'!$D$6:$D$205,'3. Sample Data'!$A$6:$A$205,$A13))</f>
        <v/>
      </c>
      <c r="G13" s="16" t="str">
        <f aca="false">IF(OR($A13="",$D13=0),"",IFERROR(_xlfn.MAXIFS('3. Sample Data'!$J$6:$J$205,'3. Sample Data'!$A$6:$A$205,$A13),""))</f>
        <v/>
      </c>
      <c r="H13" s="17" t="str">
        <f aca="false">IF($A13="","",IF($D13=0,"No slices entered",IF(AND('2. Plot &amp; Core Log'!$O$14&lt;&gt;"OK",LEFT('2. Plot &amp; Core Log'!$O$14,7)&lt;&gt;"ASSUMED"),'2. Plot &amp; Core Log'!$O$14&amp;" (Sheet 2)",IF($E13&lt;$D13,"Not complete — see Slice check on Sheet 3","Complete"))))</f>
        <v/>
      </c>
      <c r="I13" s="15" t="str">
        <f aca="false">IF(OR($A13="",$H13&lt;&gt;"Complete"),"",SUMIFS('3. Sample Data'!$M$6:$M$205,'3. Sample Data'!$A$6:$A$205,$A13)/(PI()*(INDEX('2. Plot &amp; Core Log'!$S$6:$S$35,MATCH($A13,'2. Plot &amp; Core Log'!$B$6:$B$35,0))/2)^2*SUMIFS('3. Sample Data'!$F$6:$F$205,'3. Sample Data'!$A$6:$A$205,$A13)))</f>
        <v/>
      </c>
      <c r="J13" s="15" t="str">
        <f aca="false">IF(OR($A13="",$H13&lt;&gt;"Complete"),"",100*SUMIFS('3. Sample Data'!$U$6:$U$205,'3. Sample Data'!$A$6:$A$205,$A13)/(SUMIFS('3. Sample Data'!$M$6:$M$205,'3. Sample Data'!$A$6:$A$205,$A13)/(PI()*(INDEX('2. Plot &amp; Core Log'!$S$6:$S$35,MATCH($A13,'2. Plot &amp; Core Log'!$B$6:$B$35,0))/2)^2)))</f>
        <v/>
      </c>
      <c r="K13" s="15" t="str">
        <f aca="false">IF(OR($A13="",$H13&lt;&gt;"Complete"),"",SUMIFS('3. Sample Data'!$V$6:$V$205,'3. Sample Data'!$A$6:$A$205,$A13))</f>
        <v/>
      </c>
      <c r="L13" s="16" t="str">
        <f aca="false">IF($K13="","",$K13*10)</f>
        <v/>
      </c>
      <c r="M13" s="15" t="str">
        <f aca="false">IF(OR($A13="",$H13&lt;&gt;"Complete"),"",IF($G13&gt;=15-0.0001,SUMIFS('3. Sample Data'!$W$6:$W$205,'3. Sample Data'!$A$6:$A$205,$A13),IF($G13&gt;0,"partial — to "&amp;TEXT($G13,"0.0")&amp;" cm","not reached")))</f>
        <v/>
      </c>
      <c r="N13" s="15" t="str">
        <f aca="false">IF(OR($A13="",$H13&lt;&gt;"Complete"),"",IF($G13&gt;=30-0.0001,SUMIFS('3. Sample Data'!$X$6:$X$205,'3. Sample Data'!$A$6:$A$205,$A13),IF($G13&gt;15,"partial — to "&amp;TEXT($G13,"0.0")&amp;" cm","not reached")))</f>
        <v/>
      </c>
      <c r="O13" s="15" t="str">
        <f aca="false">IF(OR($A13="",$H13&lt;&gt;"Complete"),"",IF($G13&gt;=50-0.0001,SUMIFS('3. Sample Data'!$Y$6:$Y$205,'3. Sample Data'!$A$6:$A$205,$A13),IF($G13&gt;30,"partial — to "&amp;TEXT($G13,"0.0")&amp;" cm","not reached")))</f>
        <v/>
      </c>
      <c r="P13" s="15" t="str">
        <f aca="false">IF(OR($A13="",$H13&lt;&gt;"Complete"),"",IF($G13&gt;=100-0.0001,SUMIFS('3. Sample Data'!$Z$6:$Z$205,'3. Sample Data'!$A$6:$A$205,$A13),IF($G13&gt;50,"partial — to "&amp;TEXT($G13,"0.0")&amp;" cm","not reached")))</f>
        <v/>
      </c>
    </row>
    <row r="14" customFormat="false" ht="15" hidden="false" customHeight="false" outlineLevel="0" collapsed="false">
      <c r="A14" s="31" t="str">
        <f aca="false">IF('2. Plot &amp; Core Log'!$B$15="","",'2. Plot &amp; Core Log'!$B$15)</f>
        <v/>
      </c>
      <c r="B14" s="31" t="str">
        <f aca="false">IF($A14="","",IF('2. Plot &amp; Core Log'!$A$15="","",'2. Plot &amp; Core Log'!$A$15))</f>
        <v/>
      </c>
      <c r="C14" s="31" t="str">
        <f aca="false">IF($A14="","",IF('2. Plot &amp; Core Log'!$P$15="","",'2. Plot &amp; Core Log'!$P$15))</f>
        <v/>
      </c>
      <c r="D14" s="17" t="str">
        <f aca="false">IF($A14="","",COUNTIFS('3. Sample Data'!$A$6:$A$205,$A14))</f>
        <v/>
      </c>
      <c r="E14" s="17" t="str">
        <f aca="false">IF($A14="","",COUNTIFS('3. Sample Data'!$A$6:$A$205,$A14,'3. Sample Data'!$AA$6:$AA$205,"OK"))</f>
        <v/>
      </c>
      <c r="F14" s="16" t="str">
        <f aca="false">IF(OR($A14="",$D14=0),"",_xlfn.MAXIFS('3. Sample Data'!$D$6:$D$205,'3. Sample Data'!$A$6:$A$205,$A14))</f>
        <v/>
      </c>
      <c r="G14" s="16" t="str">
        <f aca="false">IF(OR($A14="",$D14=0),"",IFERROR(_xlfn.MAXIFS('3. Sample Data'!$J$6:$J$205,'3. Sample Data'!$A$6:$A$205,$A14),""))</f>
        <v/>
      </c>
      <c r="H14" s="17" t="str">
        <f aca="false">IF($A14="","",IF($D14=0,"No slices entered",IF(AND('2. Plot &amp; Core Log'!$O$15&lt;&gt;"OK",LEFT('2. Plot &amp; Core Log'!$O$15,7)&lt;&gt;"ASSUMED"),'2. Plot &amp; Core Log'!$O$15&amp;" (Sheet 2)",IF($E14&lt;$D14,"Not complete — see Slice check on Sheet 3","Complete"))))</f>
        <v/>
      </c>
      <c r="I14" s="15" t="str">
        <f aca="false">IF(OR($A14="",$H14&lt;&gt;"Complete"),"",SUMIFS('3. Sample Data'!$M$6:$M$205,'3. Sample Data'!$A$6:$A$205,$A14)/(PI()*(INDEX('2. Plot &amp; Core Log'!$S$6:$S$35,MATCH($A14,'2. Plot &amp; Core Log'!$B$6:$B$35,0))/2)^2*SUMIFS('3. Sample Data'!$F$6:$F$205,'3. Sample Data'!$A$6:$A$205,$A14)))</f>
        <v/>
      </c>
      <c r="J14" s="15" t="str">
        <f aca="false">IF(OR($A14="",$H14&lt;&gt;"Complete"),"",100*SUMIFS('3. Sample Data'!$U$6:$U$205,'3. Sample Data'!$A$6:$A$205,$A14)/(SUMIFS('3. Sample Data'!$M$6:$M$205,'3. Sample Data'!$A$6:$A$205,$A14)/(PI()*(INDEX('2. Plot &amp; Core Log'!$S$6:$S$35,MATCH($A14,'2. Plot &amp; Core Log'!$B$6:$B$35,0))/2)^2)))</f>
        <v/>
      </c>
      <c r="K14" s="15" t="str">
        <f aca="false">IF(OR($A14="",$H14&lt;&gt;"Complete"),"",SUMIFS('3. Sample Data'!$V$6:$V$205,'3. Sample Data'!$A$6:$A$205,$A14))</f>
        <v/>
      </c>
      <c r="L14" s="16" t="str">
        <f aca="false">IF($K14="","",$K14*10)</f>
        <v/>
      </c>
      <c r="M14" s="15" t="str">
        <f aca="false">IF(OR($A14="",$H14&lt;&gt;"Complete"),"",IF($G14&gt;=15-0.0001,SUMIFS('3. Sample Data'!$W$6:$W$205,'3. Sample Data'!$A$6:$A$205,$A14),IF($G14&gt;0,"partial — to "&amp;TEXT($G14,"0.0")&amp;" cm","not reached")))</f>
        <v/>
      </c>
      <c r="N14" s="15" t="str">
        <f aca="false">IF(OR($A14="",$H14&lt;&gt;"Complete"),"",IF($G14&gt;=30-0.0001,SUMIFS('3. Sample Data'!$X$6:$X$205,'3. Sample Data'!$A$6:$A$205,$A14),IF($G14&gt;15,"partial — to "&amp;TEXT($G14,"0.0")&amp;" cm","not reached")))</f>
        <v/>
      </c>
      <c r="O14" s="15" t="str">
        <f aca="false">IF(OR($A14="",$H14&lt;&gt;"Complete"),"",IF($G14&gt;=50-0.0001,SUMIFS('3. Sample Data'!$Y$6:$Y$205,'3. Sample Data'!$A$6:$A$205,$A14),IF($G14&gt;30,"partial — to "&amp;TEXT($G14,"0.0")&amp;" cm","not reached")))</f>
        <v/>
      </c>
      <c r="P14" s="15" t="str">
        <f aca="false">IF(OR($A14="",$H14&lt;&gt;"Complete"),"",IF($G14&gt;=100-0.0001,SUMIFS('3. Sample Data'!$Z$6:$Z$205,'3. Sample Data'!$A$6:$A$205,$A14),IF($G14&gt;50,"partial — to "&amp;TEXT($G14,"0.0")&amp;" cm","not reached")))</f>
        <v/>
      </c>
    </row>
    <row r="15" customFormat="false" ht="15" hidden="false" customHeight="false" outlineLevel="0" collapsed="false">
      <c r="A15" s="31" t="str">
        <f aca="false">IF('2. Plot &amp; Core Log'!$B$16="","",'2. Plot &amp; Core Log'!$B$16)</f>
        <v/>
      </c>
      <c r="B15" s="31" t="str">
        <f aca="false">IF($A15="","",IF('2. Plot &amp; Core Log'!$A$16="","",'2. Plot &amp; Core Log'!$A$16))</f>
        <v/>
      </c>
      <c r="C15" s="31" t="str">
        <f aca="false">IF($A15="","",IF('2. Plot &amp; Core Log'!$P$16="","",'2. Plot &amp; Core Log'!$P$16))</f>
        <v/>
      </c>
      <c r="D15" s="17" t="str">
        <f aca="false">IF($A15="","",COUNTIFS('3. Sample Data'!$A$6:$A$205,$A15))</f>
        <v/>
      </c>
      <c r="E15" s="17" t="str">
        <f aca="false">IF($A15="","",COUNTIFS('3. Sample Data'!$A$6:$A$205,$A15,'3. Sample Data'!$AA$6:$AA$205,"OK"))</f>
        <v/>
      </c>
      <c r="F15" s="16" t="str">
        <f aca="false">IF(OR($A15="",$D15=0),"",_xlfn.MAXIFS('3. Sample Data'!$D$6:$D$205,'3. Sample Data'!$A$6:$A$205,$A15))</f>
        <v/>
      </c>
      <c r="G15" s="16" t="str">
        <f aca="false">IF(OR($A15="",$D15=0),"",IFERROR(_xlfn.MAXIFS('3. Sample Data'!$J$6:$J$205,'3. Sample Data'!$A$6:$A$205,$A15),""))</f>
        <v/>
      </c>
      <c r="H15" s="17" t="str">
        <f aca="false">IF($A15="","",IF($D15=0,"No slices entered",IF(AND('2. Plot &amp; Core Log'!$O$16&lt;&gt;"OK",LEFT('2. Plot &amp; Core Log'!$O$16,7)&lt;&gt;"ASSUMED"),'2. Plot &amp; Core Log'!$O$16&amp;" (Sheet 2)",IF($E15&lt;$D15,"Not complete — see Slice check on Sheet 3","Complete"))))</f>
        <v/>
      </c>
      <c r="I15" s="15" t="str">
        <f aca="false">IF(OR($A15="",$H15&lt;&gt;"Complete"),"",SUMIFS('3. Sample Data'!$M$6:$M$205,'3. Sample Data'!$A$6:$A$205,$A15)/(PI()*(INDEX('2. Plot &amp; Core Log'!$S$6:$S$35,MATCH($A15,'2. Plot &amp; Core Log'!$B$6:$B$35,0))/2)^2*SUMIFS('3. Sample Data'!$F$6:$F$205,'3. Sample Data'!$A$6:$A$205,$A15)))</f>
        <v/>
      </c>
      <c r="J15" s="15" t="str">
        <f aca="false">IF(OR($A15="",$H15&lt;&gt;"Complete"),"",100*SUMIFS('3. Sample Data'!$U$6:$U$205,'3. Sample Data'!$A$6:$A$205,$A15)/(SUMIFS('3. Sample Data'!$M$6:$M$205,'3. Sample Data'!$A$6:$A$205,$A15)/(PI()*(INDEX('2. Plot &amp; Core Log'!$S$6:$S$35,MATCH($A15,'2. Plot &amp; Core Log'!$B$6:$B$35,0))/2)^2)))</f>
        <v/>
      </c>
      <c r="K15" s="15" t="str">
        <f aca="false">IF(OR($A15="",$H15&lt;&gt;"Complete"),"",SUMIFS('3. Sample Data'!$V$6:$V$205,'3. Sample Data'!$A$6:$A$205,$A15))</f>
        <v/>
      </c>
      <c r="L15" s="16" t="str">
        <f aca="false">IF($K15="","",$K15*10)</f>
        <v/>
      </c>
      <c r="M15" s="15" t="str">
        <f aca="false">IF(OR($A15="",$H15&lt;&gt;"Complete"),"",IF($G15&gt;=15-0.0001,SUMIFS('3. Sample Data'!$W$6:$W$205,'3. Sample Data'!$A$6:$A$205,$A15),IF($G15&gt;0,"partial — to "&amp;TEXT($G15,"0.0")&amp;" cm","not reached")))</f>
        <v/>
      </c>
      <c r="N15" s="15" t="str">
        <f aca="false">IF(OR($A15="",$H15&lt;&gt;"Complete"),"",IF($G15&gt;=30-0.0001,SUMIFS('3. Sample Data'!$X$6:$X$205,'3. Sample Data'!$A$6:$A$205,$A15),IF($G15&gt;15,"partial — to "&amp;TEXT($G15,"0.0")&amp;" cm","not reached")))</f>
        <v/>
      </c>
      <c r="O15" s="15" t="str">
        <f aca="false">IF(OR($A15="",$H15&lt;&gt;"Complete"),"",IF($G15&gt;=50-0.0001,SUMIFS('3. Sample Data'!$Y$6:$Y$205,'3. Sample Data'!$A$6:$A$205,$A15),IF($G15&gt;30,"partial — to "&amp;TEXT($G15,"0.0")&amp;" cm","not reached")))</f>
        <v/>
      </c>
      <c r="P15" s="15" t="str">
        <f aca="false">IF(OR($A15="",$H15&lt;&gt;"Complete"),"",IF($G15&gt;=100-0.0001,SUMIFS('3. Sample Data'!$Z$6:$Z$205,'3. Sample Data'!$A$6:$A$205,$A15),IF($G15&gt;50,"partial — to "&amp;TEXT($G15,"0.0")&amp;" cm","not reached")))</f>
        <v/>
      </c>
    </row>
    <row r="16" customFormat="false" ht="15" hidden="false" customHeight="false" outlineLevel="0" collapsed="false">
      <c r="A16" s="31" t="str">
        <f aca="false">IF('2. Plot &amp; Core Log'!$B$17="","",'2. Plot &amp; Core Log'!$B$17)</f>
        <v/>
      </c>
      <c r="B16" s="31" t="str">
        <f aca="false">IF($A16="","",IF('2. Plot &amp; Core Log'!$A$17="","",'2. Plot &amp; Core Log'!$A$17))</f>
        <v/>
      </c>
      <c r="C16" s="31" t="str">
        <f aca="false">IF($A16="","",IF('2. Plot &amp; Core Log'!$P$17="","",'2. Plot &amp; Core Log'!$P$17))</f>
        <v/>
      </c>
      <c r="D16" s="17" t="str">
        <f aca="false">IF($A16="","",COUNTIFS('3. Sample Data'!$A$6:$A$205,$A16))</f>
        <v/>
      </c>
      <c r="E16" s="17" t="str">
        <f aca="false">IF($A16="","",COUNTIFS('3. Sample Data'!$A$6:$A$205,$A16,'3. Sample Data'!$AA$6:$AA$205,"OK"))</f>
        <v/>
      </c>
      <c r="F16" s="16" t="str">
        <f aca="false">IF(OR($A16="",$D16=0),"",_xlfn.MAXIFS('3. Sample Data'!$D$6:$D$205,'3. Sample Data'!$A$6:$A$205,$A16))</f>
        <v/>
      </c>
      <c r="G16" s="16" t="str">
        <f aca="false">IF(OR($A16="",$D16=0),"",IFERROR(_xlfn.MAXIFS('3. Sample Data'!$J$6:$J$205,'3. Sample Data'!$A$6:$A$205,$A16),""))</f>
        <v/>
      </c>
      <c r="H16" s="17" t="str">
        <f aca="false">IF($A16="","",IF($D16=0,"No slices entered",IF(AND('2. Plot &amp; Core Log'!$O$17&lt;&gt;"OK",LEFT('2. Plot &amp; Core Log'!$O$17,7)&lt;&gt;"ASSUMED"),'2. Plot &amp; Core Log'!$O$17&amp;" (Sheet 2)",IF($E16&lt;$D16,"Not complete — see Slice check on Sheet 3","Complete"))))</f>
        <v/>
      </c>
      <c r="I16" s="15" t="str">
        <f aca="false">IF(OR($A16="",$H16&lt;&gt;"Complete"),"",SUMIFS('3. Sample Data'!$M$6:$M$205,'3. Sample Data'!$A$6:$A$205,$A16)/(PI()*(INDEX('2. Plot &amp; Core Log'!$S$6:$S$35,MATCH($A16,'2. Plot &amp; Core Log'!$B$6:$B$35,0))/2)^2*SUMIFS('3. Sample Data'!$F$6:$F$205,'3. Sample Data'!$A$6:$A$205,$A16)))</f>
        <v/>
      </c>
      <c r="J16" s="15" t="str">
        <f aca="false">IF(OR($A16="",$H16&lt;&gt;"Complete"),"",100*SUMIFS('3. Sample Data'!$U$6:$U$205,'3. Sample Data'!$A$6:$A$205,$A16)/(SUMIFS('3. Sample Data'!$M$6:$M$205,'3. Sample Data'!$A$6:$A$205,$A16)/(PI()*(INDEX('2. Plot &amp; Core Log'!$S$6:$S$35,MATCH($A16,'2. Plot &amp; Core Log'!$B$6:$B$35,0))/2)^2)))</f>
        <v/>
      </c>
      <c r="K16" s="15" t="str">
        <f aca="false">IF(OR($A16="",$H16&lt;&gt;"Complete"),"",SUMIFS('3. Sample Data'!$V$6:$V$205,'3. Sample Data'!$A$6:$A$205,$A16))</f>
        <v/>
      </c>
      <c r="L16" s="16" t="str">
        <f aca="false">IF($K16="","",$K16*10)</f>
        <v/>
      </c>
      <c r="M16" s="15" t="str">
        <f aca="false">IF(OR($A16="",$H16&lt;&gt;"Complete"),"",IF($G16&gt;=15-0.0001,SUMIFS('3. Sample Data'!$W$6:$W$205,'3. Sample Data'!$A$6:$A$205,$A16),IF($G16&gt;0,"partial — to "&amp;TEXT($G16,"0.0")&amp;" cm","not reached")))</f>
        <v/>
      </c>
      <c r="N16" s="15" t="str">
        <f aca="false">IF(OR($A16="",$H16&lt;&gt;"Complete"),"",IF($G16&gt;=30-0.0001,SUMIFS('3. Sample Data'!$X$6:$X$205,'3. Sample Data'!$A$6:$A$205,$A16),IF($G16&gt;15,"partial — to "&amp;TEXT($G16,"0.0")&amp;" cm","not reached")))</f>
        <v/>
      </c>
      <c r="O16" s="15" t="str">
        <f aca="false">IF(OR($A16="",$H16&lt;&gt;"Complete"),"",IF($G16&gt;=50-0.0001,SUMIFS('3. Sample Data'!$Y$6:$Y$205,'3. Sample Data'!$A$6:$A$205,$A16),IF($G16&gt;30,"partial — to "&amp;TEXT($G16,"0.0")&amp;" cm","not reached")))</f>
        <v/>
      </c>
      <c r="P16" s="15" t="str">
        <f aca="false">IF(OR($A16="",$H16&lt;&gt;"Complete"),"",IF($G16&gt;=100-0.0001,SUMIFS('3. Sample Data'!$Z$6:$Z$205,'3. Sample Data'!$A$6:$A$205,$A16),IF($G16&gt;50,"partial — to "&amp;TEXT($G16,"0.0")&amp;" cm","not reached")))</f>
        <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2" t="s">
        <v>144</v>
      </c>
      <c r="B36" s="15"/>
      <c r="C36" s="15"/>
      <c r="D36" s="15"/>
      <c r="E36" s="15"/>
      <c r="F36" s="15"/>
      <c r="G36" s="15"/>
      <c r="H36" s="15"/>
      <c r="I36" s="15"/>
      <c r="J36" s="15"/>
      <c r="K36" s="15"/>
      <c r="L36" s="15"/>
      <c r="M36" s="15" t="str">
        <f aca="false">IF(COUNT(M5:M34)=0,"",AVERAGE(M5:M34))</f>
        <v/>
      </c>
      <c r="N36" s="15" t="str">
        <f aca="false">IF(COUNT(N5:N34)=0,"",AVERAGE(N5:N34))</f>
        <v/>
      </c>
      <c r="O36" s="15" t="str">
        <f aca="false">IF(COUNT(O5:O34)=0,"",AVERAGE(O5:O34))</f>
        <v/>
      </c>
      <c r="P36" s="15" t="str">
        <f aca="false">IF(COUNT(P5:P34)=0,"",AVERAGE(P5:P34))</f>
        <v/>
      </c>
    </row>
    <row r="37" customFormat="false" ht="15.75" hidden="false" customHeight="true" outlineLevel="0" collapsed="false">
      <c r="A37" s="33" t="s">
        <v>145</v>
      </c>
      <c r="B37" s="34"/>
      <c r="C37" s="34"/>
      <c r="D37" s="34"/>
      <c r="E37" s="34"/>
      <c r="F37" s="34"/>
      <c r="G37" s="34"/>
      <c r="H37" s="34"/>
      <c r="I37" s="34"/>
      <c r="J37" s="34"/>
      <c r="K37" s="34"/>
      <c r="L37" s="34"/>
      <c r="M37" s="34" t="n">
        <f aca="false">COUNT(M5:M34)</f>
        <v>0</v>
      </c>
      <c r="N37" s="34" t="n">
        <f aca="false">COUNT(N5:N34)</f>
        <v>0</v>
      </c>
      <c r="O37" s="34" t="n">
        <f aca="false">COUNT(O5:O34)</f>
        <v>0</v>
      </c>
      <c r="P37" s="34" t="n">
        <f aca="false">COUNT(P5:P34)</f>
        <v>0</v>
      </c>
    </row>
    <row r="38" customFormat="false" ht="15.75" hidden="false" customHeight="true" outlineLevel="0" collapsed="false">
      <c r="A38" s="35" t="s">
        <v>146</v>
      </c>
      <c r="B38" s="35"/>
      <c r="C38" s="35"/>
      <c r="D38" s="35"/>
      <c r="E38" s="35"/>
      <c r="F38" s="35"/>
      <c r="G38" s="35"/>
      <c r="H38" s="35"/>
      <c r="I38" s="35"/>
      <c r="J38" s="35"/>
      <c r="K38" s="35"/>
      <c r="L38" s="35"/>
      <c r="M38" s="35"/>
      <c r="N38" s="35"/>
      <c r="O38" s="35"/>
      <c r="P38" s="35"/>
    </row>
    <row r="39" customFormat="false" ht="15.75" hidden="false" customHeight="true" outlineLevel="0" collapsed="false">
      <c r="A39" s="35"/>
      <c r="B39" s="35"/>
      <c r="C39" s="35"/>
      <c r="D39" s="35"/>
      <c r="E39" s="35"/>
      <c r="F39" s="35"/>
      <c r="G39" s="35"/>
      <c r="H39" s="35"/>
      <c r="I39" s="35"/>
      <c r="J39" s="35"/>
      <c r="K39" s="35"/>
      <c r="L39" s="35"/>
      <c r="M39" s="35"/>
      <c r="N39" s="35"/>
      <c r="O39" s="35"/>
      <c r="P39" s="35"/>
    </row>
    <row r="40" customFormat="false" ht="15.75" hidden="false" customHeight="true" outlineLevel="0" collapsed="false">
      <c r="A40" s="35"/>
      <c r="B40" s="35"/>
      <c r="C40" s="35"/>
      <c r="D40" s="35"/>
      <c r="E40" s="35"/>
      <c r="F40" s="35"/>
      <c r="G40" s="35"/>
      <c r="H40" s="35"/>
      <c r="I40" s="35"/>
      <c r="J40" s="35"/>
      <c r="K40" s="35"/>
      <c r="L40" s="35"/>
      <c r="M40" s="35"/>
      <c r="N40" s="35"/>
      <c r="O40" s="35"/>
      <c r="P40" s="35"/>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2026-10-06T17:05:08Z</dcterms:created>
  <dc:creator>openpyxl</dc:creator>
  <dc:description/>
  <dc:language>en-CA</dc:language>
  <cp:lastModifiedBy/>
  <dcterms:modified xsi:type="dcterms:W3CDTF">2026-10-06T17:05:09Z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