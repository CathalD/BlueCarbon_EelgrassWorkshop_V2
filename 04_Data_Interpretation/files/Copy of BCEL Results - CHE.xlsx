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/>
  <mc:AlternateContent xmlns:mc="http://schemas.openxmlformats.org/markup-compatibility/2006">
    <mc:Choice Requires="x15">
      <x15ac:absPath xmlns:x15ac="http://schemas.microsoft.com/office/spreadsheetml/2010/11/ac" url="https://worldwildlife365-my.sharepoint.com/personal/cdoherty_wwfcanada_org/Documents/Desktop/"/>
    </mc:Choice>
  </mc:AlternateContent>
  <xr:revisionPtr revIDLastSave="8" documentId="8_{FB640AF5-0CF0-4DFF-A5B4-C2487DCD2377}" xr6:coauthVersionLast="47" xr6:coauthVersionMax="47" xr10:uidLastSave="{283103AB-27C8-4EEF-A74C-85B3B36F10DF}"/>
  <bookViews>
    <workbookView xWindow="-110" yWindow="-110" windowWidth="19420" windowHeight="10300" firstSheet="2" activeTab="3" xr2:uid="{00000000-000D-0000-FFFF-FFFF00000000}"/>
  </bookViews>
  <sheets>
    <sheet name="Cores_metadata" sheetId="5" r:id="rId1"/>
    <sheet name="CHE_Mar18-19_BCEL_results" sheetId="3" r:id="rId2"/>
    <sheet name="CHE_May28_BCEL_results" sheetId="1" r:id="rId3"/>
    <sheet name="CHE_BCEL_results-combined" sheetId="4" r:id="rId4"/>
  </sheets>
  <definedNames>
    <definedName name="_xlnm._FilterDatabase" localSheetId="0" hidden="1">Cores_metadata!$A$1:$AA$18</definedName>
    <definedName name="_xlnm.Print_Area" localSheetId="1">'CHE_Mar18-19_BCEL_results'!$A$1:$AF$17</definedName>
    <definedName name="_xlnm.Print_Area" localSheetId="2">CHE_May28_BCEL_results!$A$1:$I$17</definedName>
    <definedName name="_xlnm.Print_Titles" localSheetId="1">'CHE_Mar18-19_BCEL_results'!$1:$17</definedName>
    <definedName name="_xlnm.Print_Titles" localSheetId="2">CHE_May28_BCEL_results!$1:$17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165" i="3" l="1"/>
  <c r="L164" i="3"/>
  <c r="L163" i="3"/>
  <c r="L162" i="3"/>
  <c r="L161" i="3"/>
  <c r="L160" i="3"/>
  <c r="L159" i="3"/>
  <c r="L158" i="3"/>
  <c r="L157" i="3"/>
  <c r="L156" i="3"/>
  <c r="L155" i="3"/>
  <c r="L154" i="3"/>
  <c r="L153" i="3"/>
  <c r="L152" i="3"/>
  <c r="L151" i="3"/>
  <c r="L150" i="3"/>
  <c r="L149" i="3"/>
  <c r="L148" i="3"/>
  <c r="L147" i="3"/>
  <c r="L146" i="3"/>
  <c r="L145" i="3"/>
  <c r="L144" i="3"/>
  <c r="L143" i="3"/>
  <c r="L142" i="3"/>
  <c r="L141" i="3"/>
  <c r="L140" i="3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3" i="3"/>
  <c r="L112" i="3"/>
  <c r="L111" i="3"/>
  <c r="L110" i="3"/>
  <c r="L109" i="3"/>
  <c r="L108" i="3"/>
  <c r="L107" i="3"/>
  <c r="L106" i="3"/>
  <c r="L105" i="3"/>
  <c r="L104" i="3"/>
  <c r="L103" i="3"/>
  <c r="L102" i="3"/>
  <c r="L101" i="3"/>
  <c r="L100" i="3"/>
  <c r="L99" i="3"/>
  <c r="L98" i="3"/>
  <c r="L97" i="3"/>
  <c r="L96" i="3"/>
  <c r="L95" i="3"/>
  <c r="L94" i="3"/>
  <c r="L93" i="3"/>
  <c r="L92" i="3"/>
  <c r="L91" i="3"/>
  <c r="L90" i="3"/>
  <c r="L89" i="3"/>
  <c r="L88" i="3"/>
  <c r="L87" i="3"/>
  <c r="L86" i="3"/>
  <c r="L85" i="3"/>
  <c r="L84" i="3"/>
  <c r="L83" i="3"/>
  <c r="L82" i="3"/>
  <c r="L81" i="3"/>
  <c r="L80" i="3"/>
  <c r="L79" i="3"/>
  <c r="L78" i="3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</calcChain>
</file>

<file path=xl/sharedStrings.xml><?xml version="1.0" encoding="utf-8"?>
<sst xmlns="http://schemas.openxmlformats.org/spreadsheetml/2006/main" count="1521" uniqueCount="427">
  <si>
    <t>Analysis Report</t>
  </si>
  <si>
    <t>Project</t>
  </si>
  <si>
    <t>Method</t>
  </si>
  <si>
    <t>Units</t>
  </si>
  <si>
    <t>Sample</t>
  </si>
  <si>
    <t>Sampling Date</t>
  </si>
  <si>
    <t>Sampling Comments</t>
  </si>
  <si>
    <t>Identity</t>
  </si>
  <si>
    <t>%</t>
  </si>
  <si>
    <t>N</t>
  </si>
  <si>
    <t>C</t>
  </si>
  <si>
    <t>Cing</t>
  </si>
  <si>
    <t>Elemental Analysis via Combustion</t>
  </si>
  <si>
    <t>Bulk Density</t>
  </si>
  <si>
    <t>LOI</t>
  </si>
  <si>
    <t>Requisition #:</t>
  </si>
  <si>
    <t>Submitter:</t>
  </si>
  <si>
    <t>Client Email:</t>
  </si>
  <si>
    <t>Office:</t>
  </si>
  <si>
    <t>Date Received:</t>
  </si>
  <si>
    <t>Report Date:</t>
  </si>
  <si>
    <t>Parameter</t>
  </si>
  <si>
    <t>Thermo Fisher Flash 2000</t>
  </si>
  <si>
    <t>Analysis</t>
  </si>
  <si>
    <t>Estimated Detection Limit</t>
  </si>
  <si>
    <t>&lt;DL = less than estimated detection limit</t>
  </si>
  <si>
    <t>at 375 °C</t>
  </si>
  <si>
    <t>Inorganic Carbon</t>
  </si>
  <si>
    <t>Skalar</t>
  </si>
  <si>
    <t>Loss of Ignition</t>
  </si>
  <si>
    <t/>
  </si>
  <si>
    <t>CHE_NM_4_0-1</t>
  </si>
  <si>
    <t>CHE_NM_4_1-2</t>
  </si>
  <si>
    <t>CHE_NM_4_2-3</t>
  </si>
  <si>
    <t>CHE_NM_4_3-4</t>
  </si>
  <si>
    <t>CHE_NM_4_4-5</t>
  </si>
  <si>
    <t>CHE_NM_4_5-6</t>
  </si>
  <si>
    <t>CHE_NM_4_6-7</t>
  </si>
  <si>
    <t>CHE_NM_4_7-8</t>
  </si>
  <si>
    <t>CHE_NM_4_8-9</t>
  </si>
  <si>
    <t>CHE_NM_4_9-10</t>
  </si>
  <si>
    <t>CHE_NM_4_10-12</t>
  </si>
  <si>
    <t>CHE_NM_4_12-14</t>
  </si>
  <si>
    <t>CHE_NM_4_14-16</t>
  </si>
  <si>
    <t>CHE_NM_4_16-18</t>
  </si>
  <si>
    <t>CHE_NM_4_18-20</t>
  </si>
  <si>
    <t>CHE_NM_4_20-22</t>
  </si>
  <si>
    <t>CHE_NM_4_22-24</t>
  </si>
  <si>
    <t>CHE_NM_4_24-26</t>
  </si>
  <si>
    <t>CHE_NM_4_26-28</t>
  </si>
  <si>
    <t>CHE_NM_4_28-30</t>
  </si>
  <si>
    <t>CHE_NM_4_30-32</t>
  </si>
  <si>
    <t>CHE_NM_4_32-34</t>
  </si>
  <si>
    <t>CHE_NM_4_34-36</t>
  </si>
  <si>
    <t>CHE_NM_4_36-38</t>
  </si>
  <si>
    <t>CHE_NM_4_38-40</t>
  </si>
  <si>
    <t>CHE_NM_4_40-42</t>
  </si>
  <si>
    <t>CHE_NM_4_42-44</t>
  </si>
  <si>
    <t>CHE_NM_4_44-46</t>
  </si>
  <si>
    <t>CHE_MF_2_0-1</t>
  </si>
  <si>
    <t>CHE_MF_2_1-2</t>
  </si>
  <si>
    <t>CHE_MF_2_2-3</t>
  </si>
  <si>
    <t>CHE_MF_2_3-4</t>
  </si>
  <si>
    <t>CHE_MF_2_4-5</t>
  </si>
  <si>
    <t>CHE_MF_2_5-6</t>
  </si>
  <si>
    <t>CHE_MF_2_6-7</t>
  </si>
  <si>
    <t>CHE_MF_2_7-8</t>
  </si>
  <si>
    <t>CHE_MF_2_8-9</t>
  </si>
  <si>
    <t>CHE_MF_2_9-10</t>
  </si>
  <si>
    <t>CHE_MF_2_10-12</t>
  </si>
  <si>
    <t>CHE_MF_2_12-14</t>
  </si>
  <si>
    <t>CHE_MF_2_14-16</t>
  </si>
  <si>
    <t>CHE_MF_2_16-18</t>
  </si>
  <si>
    <t>CHE_MF_2_18-20</t>
  </si>
  <si>
    <t>CHE_MF_2_20-22</t>
  </si>
  <si>
    <t>CHE_MF_2_22-24</t>
  </si>
  <si>
    <t>CHE_MF_2_24-26</t>
  </si>
  <si>
    <t>CHE_MF_2_26-28</t>
  </si>
  <si>
    <t>CHE_MF_2_28-30</t>
  </si>
  <si>
    <t>CHE_MF_2_30-32</t>
  </si>
  <si>
    <t>CHE_MF_2_32-34</t>
  </si>
  <si>
    <t>CHE_MF_3_0-1</t>
  </si>
  <si>
    <t>CHE_MF_3_1-2</t>
  </si>
  <si>
    <t>CHE_MF_3_2-3</t>
  </si>
  <si>
    <t>CHE_MF_3_3-4</t>
  </si>
  <si>
    <t>CHE_MF_3_4-5</t>
  </si>
  <si>
    <t>CHE_MF_3_5-6</t>
  </si>
  <si>
    <t>CHE_MF_3_6-7</t>
  </si>
  <si>
    <t>CHE_MF_3_7-8</t>
  </si>
  <si>
    <t>CHE_MF_3_8-9</t>
  </si>
  <si>
    <t>CHE_MF_3_9-10</t>
  </si>
  <si>
    <t>CHE_MF_3_10-12</t>
  </si>
  <si>
    <t>CHE_MF_3_12-14</t>
  </si>
  <si>
    <t>CHE_MF_3_14-16</t>
  </si>
  <si>
    <t>CHE_MF_3_16-18</t>
  </si>
  <si>
    <t>CHE_MF_3_18-20</t>
  </si>
  <si>
    <t>CHE_MF_3_20-22</t>
  </si>
  <si>
    <t>CHE_MF_3_22-24</t>
  </si>
  <si>
    <t>CHE_MF_3_24-26</t>
  </si>
  <si>
    <t>CHE_MF_3_26-28</t>
  </si>
  <si>
    <t>CHE_MF_3_28-30</t>
  </si>
  <si>
    <t>CHE_MF_3_30-32</t>
  </si>
  <si>
    <t>CHE_MF_3_32-34</t>
  </si>
  <si>
    <t>CHE_MF_3_34-36</t>
  </si>
  <si>
    <t>CHE_MF_3_36-38</t>
  </si>
  <si>
    <t>CHE_MF_3_38-40</t>
  </si>
  <si>
    <t>CHE_MF_3_40-42</t>
  </si>
  <si>
    <t>CHE_MF_3_42-44</t>
  </si>
  <si>
    <t>CHE_MF_3_44-46</t>
  </si>
  <si>
    <t>CHE_MF_3_46-48</t>
  </si>
  <si>
    <t>CHE_MF_3_48-50</t>
  </si>
  <si>
    <t>CHE_MF_3_50-52</t>
  </si>
  <si>
    <t>CHE_MF_3_52-54</t>
  </si>
  <si>
    <t>CHE_MF_3_54-57 3 cm END</t>
  </si>
  <si>
    <t>CHE_RM_1_0-1</t>
  </si>
  <si>
    <t>CHE_RM_1_1-2</t>
  </si>
  <si>
    <t>CHE_RM_1_2-3</t>
  </si>
  <si>
    <t>CHE_RM_1_3-4</t>
  </si>
  <si>
    <t>CHE_RM_1_4-5</t>
  </si>
  <si>
    <t>CHE_RM_1_5-6</t>
  </si>
  <si>
    <t>CHE_RM_1_6-7</t>
  </si>
  <si>
    <t>CHE_RM_1_7-8</t>
  </si>
  <si>
    <t>CHE_RM_1_8-9</t>
  </si>
  <si>
    <t>CHE_RM_1_9-10</t>
  </si>
  <si>
    <t>CHE_RM_1_10-12</t>
  </si>
  <si>
    <t>CHE_RM_1_12-14</t>
  </si>
  <si>
    <t>CHE_RM_1_14-16</t>
  </si>
  <si>
    <t>CHE_RM_1_16-18</t>
  </si>
  <si>
    <t>CHE_RM_1_18-20</t>
  </si>
  <si>
    <t>CHE_RM_1_20-22</t>
  </si>
  <si>
    <t>CHE_RM_1_22-24</t>
  </si>
  <si>
    <t>CHE_RM_1_24-26</t>
  </si>
  <si>
    <t>CHE_RM_1_26-28</t>
  </si>
  <si>
    <t>CHE_RM_1_28-30</t>
  </si>
  <si>
    <t>CHE_RM_1_30-32</t>
  </si>
  <si>
    <t>CHE_RM_1_32-34</t>
  </si>
  <si>
    <t>CHE_RM_1_34-36</t>
  </si>
  <si>
    <t>CHE_RM_2_0-1</t>
  </si>
  <si>
    <t>CHE_RM_2_1-2</t>
  </si>
  <si>
    <t>CHE_RM_2_2-3</t>
  </si>
  <si>
    <t>CHE_RM_2_3-4</t>
  </si>
  <si>
    <t>CHE_RM_2_4-5</t>
  </si>
  <si>
    <t>CHE_RM_2_5-6</t>
  </si>
  <si>
    <t>CHE_RM_2_6-7</t>
  </si>
  <si>
    <t>CHE_RM_2_7-8</t>
  </si>
  <si>
    <t>CHE_RM_2_8-9</t>
  </si>
  <si>
    <t>CHE_RM_2_9-10</t>
  </si>
  <si>
    <t>CHE_RM_2_10-12</t>
  </si>
  <si>
    <t>CHE_RM_2_12-14</t>
  </si>
  <si>
    <t>CHE_RM_2_14-16</t>
  </si>
  <si>
    <t>CHE_RM_2_16-18</t>
  </si>
  <si>
    <t>CHE_RM_2_18-20</t>
  </si>
  <si>
    <t>CHE_RM_2_20-22</t>
  </si>
  <si>
    <t>CHE_RM_2_22-24</t>
  </si>
  <si>
    <t>CHE_RM_2_24-26</t>
  </si>
  <si>
    <t>CHE_RM_2_26-28</t>
  </si>
  <si>
    <t>CHE_RM_2_28-30</t>
  </si>
  <si>
    <t>CHE_RM_2_30-32</t>
  </si>
  <si>
    <t>CHE_RM_2_32-34</t>
  </si>
  <si>
    <t>CHE_RM_2_34-36</t>
  </si>
  <si>
    <t>CHE_RM_2_36-38</t>
  </si>
  <si>
    <t>CHE_RM_2_38-40</t>
  </si>
  <si>
    <t>CHE_RM_3_0-1</t>
  </si>
  <si>
    <t>CHE_RM_3_1-2</t>
  </si>
  <si>
    <t>CHE_RM_3_2-3</t>
  </si>
  <si>
    <t>CHE_RM_3_3-4</t>
  </si>
  <si>
    <t>CHE_RM_3_4-5</t>
  </si>
  <si>
    <t>CHE_RM_3_5-6</t>
  </si>
  <si>
    <t>CHE_RM_3_6-7</t>
  </si>
  <si>
    <t>CHE_RM_3_7-8</t>
  </si>
  <si>
    <t>CHE_RM_3_8-9</t>
  </si>
  <si>
    <t>CHE_RM_3_9-10</t>
  </si>
  <si>
    <t>CHE_RM_3_10-12</t>
  </si>
  <si>
    <t>CHE_RM_3_12-14</t>
  </si>
  <si>
    <t>CHE_RM_3_14-16</t>
  </si>
  <si>
    <t>CHE_RM_3_16-18</t>
  </si>
  <si>
    <t>CHE_RM_3_18-20</t>
  </si>
  <si>
    <t>CHE_RM_3_20-22</t>
  </si>
  <si>
    <t>CHE_RM_3_22-24</t>
  </si>
  <si>
    <t>CHE_RM_3_24-26</t>
  </si>
  <si>
    <t>CHE_RM_3_26-28</t>
  </si>
  <si>
    <t>CHE_RM_3_28-30</t>
  </si>
  <si>
    <t>CHE_RM_3_30-32</t>
  </si>
  <si>
    <t>CHE_RM_3_32-34</t>
  </si>
  <si>
    <t>Jay Baker-French</t>
  </si>
  <si>
    <t>jaybakerfrench@gmail.com</t>
  </si>
  <si>
    <t>Guardians of Our Salish Estuaries Society</t>
  </si>
  <si>
    <t>CHE and LQRE (May - July 2025)</t>
  </si>
  <si>
    <t>S2381</t>
  </si>
  <si>
    <t>Weight</t>
  </si>
  <si>
    <t>kg</t>
  </si>
  <si>
    <t>Final Report</t>
  </si>
  <si>
    <t>Bulk density (g/cm3)</t>
  </si>
  <si>
    <t>S2360</t>
  </si>
  <si>
    <t>&lt;DL - Less than estimated detection limit</t>
  </si>
  <si>
    <t>Results are reported on 105°C oven dried samples, no moisture correction was applied.</t>
  </si>
  <si>
    <t>WWF-Canada</t>
  </si>
  <si>
    <t>(*) Organic Carbon = Total Carbon - Inorganic Carbon</t>
  </si>
  <si>
    <t xml:space="preserve">(**) Client has volume for bulk density calculation. </t>
  </si>
  <si>
    <t>Organic Carbon</t>
  </si>
  <si>
    <t>Mass</t>
  </si>
  <si>
    <t>Lab Comments</t>
  </si>
  <si>
    <t>bulk density (g/cm3)</t>
  </si>
  <si>
    <t>Calculation (*)</t>
  </si>
  <si>
    <t>for Bulk Density**</t>
  </si>
  <si>
    <t>g</t>
  </si>
  <si>
    <t>CHE_IM_1_0-1</t>
  </si>
  <si>
    <t>CHE_IM_1_1-2</t>
  </si>
  <si>
    <t>CHE_IM_1_2-3</t>
  </si>
  <si>
    <t>CHE_IM_1_3-4</t>
  </si>
  <si>
    <t>CHE_IM_1_4-5</t>
  </si>
  <si>
    <t>contains wood</t>
  </si>
  <si>
    <t>CHE_IM_1_5-6</t>
  </si>
  <si>
    <t>CHE_IM_1_6-7</t>
  </si>
  <si>
    <t>CHE_IM_1_7-8</t>
  </si>
  <si>
    <t>CHE_IM_1_8-9</t>
  </si>
  <si>
    <t>CHE_IM_1_9-10</t>
  </si>
  <si>
    <t>CHE_IM_1_10-12</t>
  </si>
  <si>
    <t>CHE_IM_1_12-14</t>
  </si>
  <si>
    <t>contains roots</t>
  </si>
  <si>
    <t>CHE_IM_1_14-16</t>
  </si>
  <si>
    <t>CHE_IM_1_16-18</t>
  </si>
  <si>
    <t>CHE_IM_1_18-20</t>
  </si>
  <si>
    <t>CHE_IM_1_20-22</t>
  </si>
  <si>
    <t>CHE_IM_1_22-24</t>
  </si>
  <si>
    <t>CHE_IM_1_24-26</t>
  </si>
  <si>
    <t>CHE_IM_1_26-28</t>
  </si>
  <si>
    <t>CHE_IM_1_28-30</t>
  </si>
  <si>
    <t>CHE_IM_1_30-32</t>
  </si>
  <si>
    <t>end. 1 cm depth</t>
  </si>
  <si>
    <t>CHE_IM_2_0-1</t>
  </si>
  <si>
    <t>CHE_IM_2_1-2</t>
  </si>
  <si>
    <t>CHE_IM_2_2-3</t>
  </si>
  <si>
    <t>CHE_IM_2_3-5</t>
  </si>
  <si>
    <t>CHE_IM_2_5-7</t>
  </si>
  <si>
    <t>CHE_IM_2_7-9</t>
  </si>
  <si>
    <t>CHE_IM_2_9-11</t>
  </si>
  <si>
    <t>CHE_IM_2_11-13</t>
  </si>
  <si>
    <t>CHE_IM_2_13-15</t>
  </si>
  <si>
    <t>CHE_IM_2_15-17</t>
  </si>
  <si>
    <t>CHE_IM_2_17-19</t>
  </si>
  <si>
    <t>CHE_IM_2_19-21</t>
  </si>
  <si>
    <t>CHE_IM_2_21-23</t>
  </si>
  <si>
    <t>CHE_IM_2_23-25</t>
  </si>
  <si>
    <t>CHE_IM_2_25-27</t>
  </si>
  <si>
    <t>CHE_IM_2_27-29</t>
  </si>
  <si>
    <t>CHE_IM_3_0-1</t>
  </si>
  <si>
    <t>grass on top</t>
  </si>
  <si>
    <t>CHE_IM_3_1-2</t>
  </si>
  <si>
    <t>CHE_IM_3_2-3</t>
  </si>
  <si>
    <t>CHE_IM_3_3-4</t>
  </si>
  <si>
    <t>CHE_IM_3_4-5</t>
  </si>
  <si>
    <t>hole in middle</t>
  </si>
  <si>
    <t>CHE_IM_3_5-6</t>
  </si>
  <si>
    <t>CHE_IM_3_6-7</t>
  </si>
  <si>
    <t>CHE_IM_3_7-8</t>
  </si>
  <si>
    <t>roots/wood crossing samples</t>
  </si>
  <si>
    <t>CHE_IM_3_8-9</t>
  </si>
  <si>
    <t>CHE_IM_3_9-10</t>
  </si>
  <si>
    <t>CHE_IM_3_10-12</t>
  </si>
  <si>
    <t>CHE_IM_3_12-14</t>
  </si>
  <si>
    <t>CHE_IM_3_14-16</t>
  </si>
  <si>
    <t>CHE_IM_3_16-18</t>
  </si>
  <si>
    <t>CHE_IM_3_18-20</t>
  </si>
  <si>
    <t>CHE_IM_3_20-22</t>
  </si>
  <si>
    <t>CHE_IM_3_22-24</t>
  </si>
  <si>
    <t>CHE_IM_3_24-26</t>
  </si>
  <si>
    <t>CHE_IM_3_26-28</t>
  </si>
  <si>
    <t>CHE_IM_3_28-30</t>
  </si>
  <si>
    <t>CHE_IM_3_30-32</t>
  </si>
  <si>
    <t>CHE_IM_3_32-34</t>
  </si>
  <si>
    <t>CHE_IM_3_34-36</t>
  </si>
  <si>
    <t>CHE_IM_3_36-38</t>
  </si>
  <si>
    <t>CHE_IM_3_38-40</t>
  </si>
  <si>
    <t>CHE_IM_3_40-42</t>
  </si>
  <si>
    <t>CHE_IM_3_42-44</t>
  </si>
  <si>
    <t>CHE_IM_3_44-46</t>
  </si>
  <si>
    <t>CHE_IM_3_46-48</t>
  </si>
  <si>
    <t>CHE_IM_3_48-50</t>
  </si>
  <si>
    <t>CHE_IM_3_50-52</t>
  </si>
  <si>
    <t>CHE_IM_3_52-54</t>
  </si>
  <si>
    <t>CHE_IM_3_54-56</t>
  </si>
  <si>
    <t>CHE_IM_3_56-58</t>
  </si>
  <si>
    <t>CHE_IM_3_58-60</t>
  </si>
  <si>
    <t>CHE_IM_3_60-62</t>
  </si>
  <si>
    <t>CHE-NM_1_0-1</t>
  </si>
  <si>
    <t>CHE-NM_1_1-2</t>
  </si>
  <si>
    <t>CHE-NM_1_2-3</t>
  </si>
  <si>
    <t>CHE-NM_1_3-4</t>
  </si>
  <si>
    <t>CHE-NM_1_4-5</t>
  </si>
  <si>
    <t>CHE-NM_1_5-6</t>
  </si>
  <si>
    <t>CHE-NM_1_6-7</t>
  </si>
  <si>
    <t>CHE-NM_1_7-8</t>
  </si>
  <si>
    <t>CHE-NM_1_8-9</t>
  </si>
  <si>
    <t>CHE-NM_1_9-10</t>
  </si>
  <si>
    <t>CHE-NM_1_10-12</t>
  </si>
  <si>
    <t>CHE-NM_1_12-14</t>
  </si>
  <si>
    <t>CHE-NM_1_14-16</t>
  </si>
  <si>
    <t>CHE-NM_1_16-18</t>
  </si>
  <si>
    <t>CHE-NM_1_18-20</t>
  </si>
  <si>
    <t>CHE-NM_1_20-22</t>
  </si>
  <si>
    <t>CHE-NM_1_22-24</t>
  </si>
  <si>
    <t>CHE-NM_1_24-26</t>
  </si>
  <si>
    <t>CHE-NM_1_26-28</t>
  </si>
  <si>
    <t>CHE-NM_1_28-30</t>
  </si>
  <si>
    <t>CHE-NM_1_30-32</t>
  </si>
  <si>
    <t>CHE-NM_1_32-34</t>
  </si>
  <si>
    <t>CHE-NM_1_34-36</t>
  </si>
  <si>
    <t>CHE-NM_1_36-38</t>
  </si>
  <si>
    <t>CHE-NM_1_38-40</t>
  </si>
  <si>
    <t>CHE-NM_1_40-42</t>
  </si>
  <si>
    <t>CHE-NM_1_42-44</t>
  </si>
  <si>
    <t>end 1.1 cm depth</t>
  </si>
  <si>
    <t>CHE-NM_3_0-1</t>
  </si>
  <si>
    <t>uneven sample</t>
  </si>
  <si>
    <t>CHE-NM_3_1-2</t>
  </si>
  <si>
    <t>CHE-NM_3_2-3</t>
  </si>
  <si>
    <t>CHE-NM_3_3-4</t>
  </si>
  <si>
    <t>CHE-NM_3_4-5</t>
  </si>
  <si>
    <t>CHE-NM_3_5-6</t>
  </si>
  <si>
    <t>CHE-NM_3_6-7</t>
  </si>
  <si>
    <t>CHE-NM_3_7-8</t>
  </si>
  <si>
    <t>CHE-NM_3_8-9</t>
  </si>
  <si>
    <t>CHE-NM_3_9-10</t>
  </si>
  <si>
    <t>CHE-NM_3_10-12</t>
  </si>
  <si>
    <t>CHE-NM_3_12-14</t>
  </si>
  <si>
    <t>CHE-NM_3_14-16</t>
  </si>
  <si>
    <t>CHE-NM_3_16-18</t>
  </si>
  <si>
    <t>CHE-NM_3_18-20</t>
  </si>
  <si>
    <t>CHE-NM_3_20-22</t>
  </si>
  <si>
    <t>CHE-NM_3_22-24</t>
  </si>
  <si>
    <t>CHE-NM_3_24-26</t>
  </si>
  <si>
    <t>liquid</t>
  </si>
  <si>
    <t>CHE-NM_3_26-28</t>
  </si>
  <si>
    <t>CHE-NM_3_28-30</t>
  </si>
  <si>
    <t>CHE-NM_3_30-32</t>
  </si>
  <si>
    <t>CHE-NM_3_32-34</t>
  </si>
  <si>
    <t>CHE-NM_3_34-36</t>
  </si>
  <si>
    <t>1.5 cm depth</t>
  </si>
  <si>
    <t>CHE-NM_3_36-38</t>
  </si>
  <si>
    <t>CHE-NM_3_38-40</t>
  </si>
  <si>
    <t>end samples depth 3.9 cm, width 8.6 cm</t>
  </si>
  <si>
    <t>CHE-MF_1_0-1</t>
  </si>
  <si>
    <t>CHE-MF_1_1-2</t>
  </si>
  <si>
    <t>CHE-MF_1_2-3</t>
  </si>
  <si>
    <t>CHE-MF_1_3-4</t>
  </si>
  <si>
    <t>CHE-MF_1_4-5</t>
  </si>
  <si>
    <t>CHE-MF_1_5-6</t>
  </si>
  <si>
    <t>CHE-MF_1_6-7</t>
  </si>
  <si>
    <t>CHE-MF_1_7-8</t>
  </si>
  <si>
    <t>core fragment due to rock</t>
  </si>
  <si>
    <t>CHE-MF_1_8-9</t>
  </si>
  <si>
    <t>CHE-MF_1_9-10</t>
  </si>
  <si>
    <t>CHE-MF_1_10-12</t>
  </si>
  <si>
    <t>CHE-MF_1_12-14</t>
  </si>
  <si>
    <t>CHE-MF_1_14-16</t>
  </si>
  <si>
    <t>CHE-MF_1_16-18</t>
  </si>
  <si>
    <t>CHE-MF_1_18-20</t>
  </si>
  <si>
    <t>CHE-MF_1_20-22</t>
  </si>
  <si>
    <t>mush residual</t>
  </si>
  <si>
    <t>CHE-IM_2_29-31</t>
  </si>
  <si>
    <t>Chemainus Estuary — Combined Carbon Analysis Results</t>
  </si>
  <si>
    <t>Sources: S2360 (BC Environmental Lab, received 2025-03-20, report 2025-07-28) and S2381 (BC Environmental Lab, received 2025-09-15, report 2026-02-19). All samples begin with CHE.</t>
  </si>
  <si>
    <t>Sample ID</t>
  </si>
  <si>
    <t>Sampling Time</t>
  </si>
  <si>
    <t>OC</t>
  </si>
  <si>
    <t>Source
Requisition</t>
  </si>
  <si>
    <t>% (†)</t>
  </si>
  <si>
    <t>g (‡)</t>
  </si>
  <si>
    <t>g/cm³</t>
  </si>
  <si>
    <t>† OC (Organic Carbon) = C − Cing. Values present only where Cing was measured.</t>
  </si>
  <si>
    <t>‡ Mass for bulk density calculation. S2360 reported in grams (original); S2381 reported in kg (original) — converted to g here.</t>
  </si>
  <si>
    <t xml:space="preserve">  Bulk density (g/cm³) formula: mass_g × 1000 / (π × (d/2)²) where d = 7.62 cm (3-inch core).</t>
  </si>
  <si>
    <t>Budget_Name</t>
  </si>
  <si>
    <t>WWF_Agreement_Number</t>
  </si>
  <si>
    <t>Study site</t>
  </si>
  <si>
    <t>CoreID</t>
  </si>
  <si>
    <t>CoreID description</t>
  </si>
  <si>
    <t>SampleID</t>
  </si>
  <si>
    <t>Lat</t>
  </si>
  <si>
    <t>Long</t>
  </si>
  <si>
    <t>Date</t>
  </si>
  <si>
    <t>Time</t>
  </si>
  <si>
    <t>Weather</t>
  </si>
  <si>
    <t>Tide</t>
  </si>
  <si>
    <t>Ou_depth</t>
  </si>
  <si>
    <t>In_depth</t>
  </si>
  <si>
    <t>Comp</t>
  </si>
  <si>
    <t>Section</t>
  </si>
  <si>
    <t>N Sections</t>
  </si>
  <si>
    <t>Notes</t>
  </si>
  <si>
    <t>Core notes</t>
  </si>
  <si>
    <t>CAR Priority Order</t>
  </si>
  <si>
    <t>lidar-elevation</t>
  </si>
  <si>
    <t>lidar-year</t>
  </si>
  <si>
    <t>Chemainus</t>
  </si>
  <si>
    <t>NQD-0625-939-03-D</t>
  </si>
  <si>
    <t>CHE_IM_1</t>
  </si>
  <si>
    <t>IM = inner marsh</t>
  </si>
  <si>
    <t>Mix sun/cloud</t>
  </si>
  <si>
    <t>Low</t>
  </si>
  <si>
    <t>0-1</t>
  </si>
  <si>
    <t>CHE_IM_2</t>
  </si>
  <si>
    <t>Rain</t>
  </si>
  <si>
    <t>roots</t>
  </si>
  <si>
    <t>CHE_IM_3</t>
  </si>
  <si>
    <t>Cloudy</t>
  </si>
  <si>
    <t>CHE_MF_1</t>
  </si>
  <si>
    <t>MF = mud flat</t>
  </si>
  <si>
    <t>CHE_MF_2</t>
  </si>
  <si>
    <t>Sunny / clear</t>
  </si>
  <si>
    <t>1m</t>
  </si>
  <si>
    <t>22?</t>
  </si>
  <si>
    <t>Unsure how many sections from datasheet</t>
  </si>
  <si>
    <t>CHE_MF_3</t>
  </si>
  <si>
    <t>CHE_NM_1</t>
  </si>
  <si>
    <t>NM = new marsh</t>
  </si>
  <si>
    <t>CHE_NM_3</t>
  </si>
  <si>
    <t>CHE_NM_4</t>
  </si>
  <si>
    <t>Redo of new marsh that couldn't extrude in March</t>
  </si>
  <si>
    <t>CHE_RM_1</t>
  </si>
  <si>
    <t>RM = recessed marsh</t>
  </si>
  <si>
    <t>Sunny</t>
  </si>
  <si>
    <t>Extraction simple - no need to dig</t>
  </si>
  <si>
    <t>CHE_RM_2</t>
  </si>
  <si>
    <t>??</t>
  </si>
  <si>
    <t>CHE_RM_3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</si>
</sst>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* #,##0.00_-;\-&quot;$&quot;* #,##0.00_-;_-&quot;$&quot;* &quot;-&quot;??_-;_-@_-"/>
    <numFmt numFmtId="164" formatCode="0.000"/>
    <numFmt numFmtId="165" formatCode="[$-F400]h:mm:ss\ AM/PM"/>
    <numFmt numFmtId="166" formatCode="0.0000"/>
    <numFmt numFmtId="167" formatCode="0.0"/>
    <numFmt numFmtId="168" formatCode="yyyy\-mm\-dd"/>
    <numFmt numFmtId="169" formatCode="hh:mm"/>
    <numFmt numFmtId="170" formatCode="yy\-mmm\-d"/>
    <numFmt numFmtId="171" formatCode="hh:mm:ss"/>
    <numFmt numFmtId="172" formatCode="yy\-mmmm\-d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Times New Roman"/>
      <family val="1"/>
    </font>
    <font>
      <sz val="10"/>
      <color rgb="FF0F4761"/>
      <name val="Times New Roman"/>
      <family val="1"/>
    </font>
    <font>
      <sz val="12"/>
      <name val="Times New Roman"/>
      <family val="1"/>
    </font>
    <font>
      <b/>
      <sz val="20"/>
      <name val="Times New Roman"/>
      <family val="1"/>
    </font>
    <font>
      <sz val="14"/>
      <name val="Times New Roman"/>
      <family val="1"/>
    </font>
    <font>
      <sz val="11"/>
      <color rgb="FF0F4761"/>
      <name val="Times New Roman"/>
      <family val="1"/>
    </font>
    <font>
      <b/>
      <sz val="11"/>
      <name val="Times New Roman"/>
      <family val="1"/>
    </font>
    <font>
      <b/>
      <sz val="10"/>
      <color rgb="FFFF0000"/>
      <name val="Times New Roman"/>
      <family val="1"/>
    </font>
    <font>
      <b/>
      <sz val="13"/>
      <name val="Arial"/>
      <family val="2"/>
    </font>
    <font>
      <i/>
      <sz val="8"/>
      <color rgb="FF595959"/>
      <name val="Arial"/>
      <family val="2"/>
    </font>
    <font>
      <b/>
      <sz val="11"/>
      <color rgb="FFFFFFFF"/>
      <name val="Arial"/>
      <family val="2"/>
    </font>
    <font>
      <i/>
      <sz val="9"/>
      <color rgb="FFFFFFFF"/>
      <name val="Arial"/>
      <family val="2"/>
    </font>
    <font>
      <sz val="9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&quot;Aptos Narrow&quot;"/>
    </font>
    <font>
      <b/>
      <sz val="11"/>
      <color rgb="FF00000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&quot;Aptos Narrow&quot;"/>
    </font>
    <font>
      <b/>
      <sz val="10"/>
      <color rgb="FF000000"/>
      <name val="Calibri"/>
      <family val="2"/>
    </font>
    <font>
      <sz val="11"/>
      <color rgb="FF000000"/>
      <name val="Arial"/>
      <family val="2"/>
    </font>
    <font>
      <i/>
      <sz val="11"/>
      <color rgb="FF000000"/>
      <name val="&quot;Aptos Narrow&quot;"/>
    </font>
  </fonts>
  <fills count="10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darkUp">
        <bgColor theme="8" tint="0.79998168889431442"/>
      </patternFill>
    </fill>
    <fill>
      <patternFill patternType="darkUp">
        <bgColor theme="3" tint="0.79998168889431442"/>
      </patternFill>
    </fill>
    <fill>
      <patternFill patternType="lightUp">
        <bgColor theme="8" tint="0.79995117038483843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BF3FA"/>
      </patternFill>
    </fill>
  </fills>
  <borders count="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medium">
        <color rgb="FF2E75B6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34">
    <xf numFmtId="0" fontId="0" fillId="0" borderId="0"/>
    <xf numFmtId="0" fontId="8" fillId="0" borderId="0"/>
    <xf numFmtId="44" fontId="12" fillId="0" borderId="0" applyFont="0" applyFill="0" applyBorder="0" applyAlignment="0" applyProtection="0"/>
    <xf numFmtId="0" fontId="7" fillId="0" borderId="0"/>
    <xf numFmtId="0" fontId="6" fillId="0" borderId="0"/>
    <xf numFmtId="0" fontId="5" fillId="0" borderId="0"/>
    <xf numFmtId="0" fontId="12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4" fontId="1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0" borderId="0" applyNumberFormat="0" applyFill="0" applyBorder="0" applyAlignment="0" applyProtection="0"/>
    <xf numFmtId="0" fontId="1" fillId="0" borderId="0"/>
    <xf numFmtId="0" fontId="27" fillId="0" borderId="0"/>
  </cellStyleXfs>
  <cellXfs count="115">
    <xf numFmtId="0" fontId="0" fillId="0" borderId="0" xfId="0"/>
    <xf numFmtId="0" fontId="9" fillId="0" borderId="1" xfId="0" applyFont="1" applyBorder="1"/>
    <xf numFmtId="164" fontId="9" fillId="0" borderId="0" xfId="0" applyNumberFormat="1" applyFont="1"/>
    <xf numFmtId="2" fontId="9" fillId="0" borderId="0" xfId="0" applyNumberFormat="1" applyFont="1"/>
    <xf numFmtId="2" fontId="11" fillId="0" borderId="0" xfId="0" applyNumberFormat="1" applyFont="1"/>
    <xf numFmtId="164" fontId="9" fillId="0" borderId="1" xfId="0" applyNumberFormat="1" applyFont="1" applyBorder="1"/>
    <xf numFmtId="2" fontId="9" fillId="0" borderId="1" xfId="0" applyNumberFormat="1" applyFont="1" applyBorder="1"/>
    <xf numFmtId="0" fontId="9" fillId="0" borderId="0" xfId="0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9" fillId="0" borderId="0" xfId="0" applyNumberFormat="1" applyFont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10" fillId="2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10" fillId="0" borderId="0" xfId="0" applyFont="1"/>
    <xf numFmtId="0" fontId="10" fillId="0" borderId="1" xfId="0" applyFont="1" applyBorder="1" applyAlignment="1">
      <alignment horizontal="center"/>
    </xf>
    <xf numFmtId="0" fontId="10" fillId="3" borderId="0" xfId="0" applyFont="1" applyFill="1" applyAlignment="1">
      <alignment horizontal="center"/>
    </xf>
    <xf numFmtId="2" fontId="10" fillId="3" borderId="0" xfId="0" applyNumberFormat="1" applyFont="1" applyFill="1" applyAlignment="1">
      <alignment horizontal="center"/>
    </xf>
    <xf numFmtId="0" fontId="10" fillId="0" borderId="2" xfId="0" applyFont="1" applyBorder="1" applyAlignment="1">
      <alignment horizontal="center"/>
    </xf>
    <xf numFmtId="2" fontId="9" fillId="2" borderId="0" xfId="0" applyNumberFormat="1" applyFont="1" applyFill="1" applyAlignment="1">
      <alignment horizontal="center"/>
    </xf>
    <xf numFmtId="0" fontId="10" fillId="3" borderId="0" xfId="0" applyFont="1" applyFill="1"/>
    <xf numFmtId="2" fontId="9" fillId="0" borderId="0" xfId="0" applyNumberFormat="1" applyFont="1" applyAlignment="1">
      <alignment horizontal="left"/>
    </xf>
    <xf numFmtId="0" fontId="14" fillId="0" borderId="0" xfId="31" applyFont="1" applyAlignment="1">
      <alignment vertical="center"/>
    </xf>
    <xf numFmtId="0" fontId="10" fillId="3" borderId="3" xfId="0" applyFont="1" applyFill="1" applyBorder="1"/>
    <xf numFmtId="14" fontId="9" fillId="0" borderId="0" xfId="0" applyNumberFormat="1" applyFont="1" applyAlignment="1">
      <alignment horizontal="center"/>
    </xf>
    <xf numFmtId="165" fontId="9" fillId="0" borderId="0" xfId="0" applyNumberFormat="1" applyFont="1" applyAlignment="1">
      <alignment horizontal="center"/>
    </xf>
    <xf numFmtId="14" fontId="9" fillId="0" borderId="0" xfId="0" applyNumberFormat="1" applyFont="1" applyAlignment="1">
      <alignment horizontal="left"/>
    </xf>
    <xf numFmtId="166" fontId="9" fillId="3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167" fontId="9" fillId="3" borderId="0" xfId="0" applyNumberFormat="1" applyFont="1" applyFill="1" applyAlignment="1">
      <alignment horizontal="center" vertical="center"/>
    </xf>
    <xf numFmtId="167" fontId="9" fillId="4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2" fontId="10" fillId="0" borderId="0" xfId="0" applyNumberFormat="1" applyFont="1"/>
    <xf numFmtId="0" fontId="15" fillId="0" borderId="0" xfId="0" applyFont="1" applyAlignment="1">
      <alignment vertical="center"/>
    </xf>
    <xf numFmtId="2" fontId="10" fillId="0" borderId="0" xfId="0" applyNumberFormat="1" applyFont="1" applyAlignment="1">
      <alignment horizontal="center"/>
    </xf>
    <xf numFmtId="164" fontId="10" fillId="0" borderId="1" xfId="0" applyNumberFormat="1" applyFont="1" applyBorder="1"/>
    <xf numFmtId="164" fontId="16" fillId="0" borderId="0" xfId="0" applyNumberFormat="1" applyFont="1"/>
    <xf numFmtId="0" fontId="10" fillId="0" borderId="0" xfId="21" applyFont="1" applyAlignment="1">
      <alignment horizontal="center"/>
    </xf>
    <xf numFmtId="164" fontId="9" fillId="0" borderId="0" xfId="21" applyNumberFormat="1" applyFont="1"/>
    <xf numFmtId="2" fontId="9" fillId="0" borderId="0" xfId="21" applyNumberFormat="1" applyFont="1"/>
    <xf numFmtId="0" fontId="9" fillId="0" borderId="0" xfId="21" applyFont="1"/>
    <xf numFmtId="2" fontId="17" fillId="0" borderId="0" xfId="21" applyNumberFormat="1" applyFont="1"/>
    <xf numFmtId="2" fontId="9" fillId="0" borderId="0" xfId="21" applyNumberFormat="1" applyFont="1" applyAlignment="1">
      <alignment horizontal="center"/>
    </xf>
    <xf numFmtId="2" fontId="11" fillId="0" borderId="0" xfId="21" applyNumberFormat="1" applyFont="1"/>
    <xf numFmtId="2" fontId="18" fillId="0" borderId="0" xfId="21" applyNumberFormat="1" applyFont="1"/>
    <xf numFmtId="0" fontId="19" fillId="0" borderId="0" xfId="21" applyFont="1" applyAlignment="1">
      <alignment vertical="center"/>
    </xf>
    <xf numFmtId="2" fontId="11" fillId="0" borderId="0" xfId="21" applyNumberFormat="1" applyFont="1" applyAlignment="1">
      <alignment horizontal="center"/>
    </xf>
    <xf numFmtId="2" fontId="20" fillId="0" borderId="0" xfId="21" applyNumberFormat="1" applyFont="1" applyAlignment="1">
      <alignment horizontal="center"/>
    </xf>
    <xf numFmtId="0" fontId="10" fillId="0" borderId="1" xfId="21" applyFont="1" applyBorder="1" applyAlignment="1">
      <alignment horizontal="center"/>
    </xf>
    <xf numFmtId="164" fontId="11" fillId="0" borderId="1" xfId="21" applyNumberFormat="1" applyFont="1" applyBorder="1"/>
    <xf numFmtId="164" fontId="9" fillId="0" borderId="1" xfId="21" applyNumberFormat="1" applyFont="1" applyBorder="1"/>
    <xf numFmtId="2" fontId="9" fillId="0" borderId="1" xfId="21" applyNumberFormat="1" applyFont="1" applyBorder="1"/>
    <xf numFmtId="0" fontId="9" fillId="0" borderId="0" xfId="21" applyFont="1" applyAlignment="1">
      <alignment horizontal="left"/>
    </xf>
    <xf numFmtId="0" fontId="10" fillId="0" borderId="0" xfId="21" applyFont="1" applyAlignment="1">
      <alignment horizontal="left"/>
    </xf>
    <xf numFmtId="0" fontId="9" fillId="0" borderId="0" xfId="21" applyFont="1" applyAlignment="1">
      <alignment horizontal="center"/>
    </xf>
    <xf numFmtId="0" fontId="21" fillId="0" borderId="0" xfId="21" applyFont="1"/>
    <xf numFmtId="2" fontId="9" fillId="0" borderId="0" xfId="21" applyNumberFormat="1" applyFont="1" applyAlignment="1">
      <alignment horizontal="left"/>
    </xf>
    <xf numFmtId="14" fontId="9" fillId="0" borderId="0" xfId="21" applyNumberFormat="1" applyFont="1" applyAlignment="1">
      <alignment horizontal="left"/>
    </xf>
    <xf numFmtId="0" fontId="9" fillId="0" borderId="1" xfId="21" applyFont="1" applyBorder="1"/>
    <xf numFmtId="0" fontId="10" fillId="3" borderId="0" xfId="21" applyFont="1" applyFill="1" applyAlignment="1">
      <alignment horizontal="center"/>
    </xf>
    <xf numFmtId="0" fontId="10" fillId="2" borderId="0" xfId="21" applyFont="1" applyFill="1" applyAlignment="1">
      <alignment horizontal="center"/>
    </xf>
    <xf numFmtId="0" fontId="10" fillId="2" borderId="2" xfId="21" applyFont="1" applyFill="1" applyBorder="1" applyAlignment="1">
      <alignment horizontal="center" vertical="center"/>
    </xf>
    <xf numFmtId="0" fontId="10" fillId="0" borderId="2" xfId="21" applyFont="1" applyBorder="1" applyAlignment="1">
      <alignment horizontal="center"/>
    </xf>
    <xf numFmtId="0" fontId="10" fillId="0" borderId="0" xfId="21" applyFont="1"/>
    <xf numFmtId="2" fontId="10" fillId="2" borderId="0" xfId="21" applyNumberFormat="1" applyFont="1" applyFill="1" applyAlignment="1">
      <alignment horizontal="center"/>
    </xf>
    <xf numFmtId="2" fontId="10" fillId="3" borderId="0" xfId="21" applyNumberFormat="1" applyFont="1" applyFill="1" applyAlignment="1">
      <alignment horizontal="center"/>
    </xf>
    <xf numFmtId="0" fontId="10" fillId="2" borderId="0" xfId="21" applyFont="1" applyFill="1" applyAlignment="1">
      <alignment horizontal="center" vertical="center"/>
    </xf>
    <xf numFmtId="2" fontId="9" fillId="2" borderId="0" xfId="21" applyNumberFormat="1" applyFont="1" applyFill="1" applyAlignment="1">
      <alignment horizontal="center"/>
    </xf>
    <xf numFmtId="164" fontId="9" fillId="3" borderId="0" xfId="21" applyNumberFormat="1" applyFont="1" applyFill="1" applyAlignment="1">
      <alignment horizontal="center"/>
    </xf>
    <xf numFmtId="164" fontId="9" fillId="2" borderId="0" xfId="21" applyNumberFormat="1" applyFont="1" applyFill="1" applyAlignment="1">
      <alignment horizontal="center"/>
    </xf>
    <xf numFmtId="167" fontId="9" fillId="6" borderId="0" xfId="21" applyNumberFormat="1" applyFont="1" applyFill="1" applyAlignment="1">
      <alignment horizontal="center"/>
    </xf>
    <xf numFmtId="167" fontId="9" fillId="2" borderId="0" xfId="21" applyNumberFormat="1" applyFont="1" applyFill="1" applyAlignment="1">
      <alignment horizontal="center"/>
    </xf>
    <xf numFmtId="14" fontId="9" fillId="0" borderId="0" xfId="21" applyNumberFormat="1" applyFont="1" applyAlignment="1">
      <alignment horizontal="center"/>
    </xf>
    <xf numFmtId="20" fontId="9" fillId="0" borderId="0" xfId="21" applyNumberFormat="1" applyFont="1" applyAlignment="1">
      <alignment horizontal="center"/>
    </xf>
    <xf numFmtId="167" fontId="9" fillId="3" borderId="0" xfId="21" applyNumberFormat="1" applyFont="1" applyFill="1" applyAlignment="1">
      <alignment horizontal="center"/>
    </xf>
    <xf numFmtId="164" fontId="10" fillId="0" borderId="0" xfId="21" applyNumberFormat="1" applyFont="1" applyAlignment="1">
      <alignment horizontal="center"/>
    </xf>
    <xf numFmtId="0" fontId="22" fillId="0" borderId="0" xfId="32" applyFont="1" applyAlignment="1">
      <alignment horizontal="left" vertical="center"/>
    </xf>
    <xf numFmtId="0" fontId="1" fillId="0" borderId="0" xfId="32"/>
    <xf numFmtId="0" fontId="23" fillId="0" borderId="0" xfId="32" applyFont="1" applyAlignment="1">
      <alignment horizontal="left" vertical="center"/>
    </xf>
    <xf numFmtId="0" fontId="24" fillId="7" borderId="4" xfId="32" applyFont="1" applyFill="1" applyBorder="1" applyAlignment="1">
      <alignment horizontal="center" vertical="center" wrapText="1"/>
    </xf>
    <xf numFmtId="0" fontId="25" fillId="8" borderId="4" xfId="32" applyFont="1" applyFill="1" applyBorder="1" applyAlignment="1">
      <alignment horizontal="center" vertical="center"/>
    </xf>
    <xf numFmtId="0" fontId="26" fillId="0" borderId="5" xfId="32" applyFont="1" applyBorder="1" applyAlignment="1">
      <alignment horizontal="left" vertical="center"/>
    </xf>
    <xf numFmtId="168" fontId="26" fillId="0" borderId="5" xfId="32" applyNumberFormat="1" applyFont="1" applyBorder="1" applyAlignment="1">
      <alignment horizontal="left" vertical="center"/>
    </xf>
    <xf numFmtId="169" fontId="26" fillId="0" borderId="5" xfId="32" applyNumberFormat="1" applyFont="1" applyBorder="1" applyAlignment="1">
      <alignment horizontal="left" vertical="center"/>
    </xf>
    <xf numFmtId="164" fontId="26" fillId="0" borderId="5" xfId="32" applyNumberFormat="1" applyFont="1" applyBorder="1" applyAlignment="1">
      <alignment horizontal="left" vertical="center"/>
    </xf>
    <xf numFmtId="166" fontId="26" fillId="0" borderId="5" xfId="32" applyNumberFormat="1" applyFont="1" applyBorder="1" applyAlignment="1">
      <alignment horizontal="left" vertical="center"/>
    </xf>
    <xf numFmtId="0" fontId="26" fillId="9" borderId="5" xfId="32" applyFont="1" applyFill="1" applyBorder="1" applyAlignment="1">
      <alignment horizontal="left" vertical="center"/>
    </xf>
    <xf numFmtId="168" fontId="26" fillId="9" borderId="5" xfId="32" applyNumberFormat="1" applyFont="1" applyFill="1" applyBorder="1" applyAlignment="1">
      <alignment horizontal="left" vertical="center"/>
    </xf>
    <xf numFmtId="169" fontId="26" fillId="9" borderId="5" xfId="32" applyNumberFormat="1" applyFont="1" applyFill="1" applyBorder="1" applyAlignment="1">
      <alignment horizontal="left" vertical="center"/>
    </xf>
    <xf numFmtId="164" fontId="26" fillId="9" borderId="5" xfId="32" applyNumberFormat="1" applyFont="1" applyFill="1" applyBorder="1" applyAlignment="1">
      <alignment horizontal="left" vertical="center"/>
    </xf>
    <xf numFmtId="166" fontId="26" fillId="9" borderId="5" xfId="32" applyNumberFormat="1" applyFont="1" applyFill="1" applyBorder="1" applyAlignment="1">
      <alignment horizontal="left" vertical="center"/>
    </xf>
    <xf numFmtId="167" fontId="26" fillId="9" borderId="5" xfId="32" applyNumberFormat="1" applyFont="1" applyFill="1" applyBorder="1" applyAlignment="1">
      <alignment horizontal="left" vertical="center"/>
    </xf>
    <xf numFmtId="167" fontId="26" fillId="0" borderId="5" xfId="32" applyNumberFormat="1" applyFont="1" applyBorder="1" applyAlignment="1">
      <alignment horizontal="left" vertical="center"/>
    </xf>
    <xf numFmtId="0" fontId="23" fillId="0" borderId="0" xfId="32" applyFont="1"/>
    <xf numFmtId="0" fontId="28" fillId="0" borderId="0" xfId="33" applyFont="1"/>
    <xf numFmtId="0" fontId="29" fillId="0" borderId="0" xfId="33" applyFont="1"/>
    <xf numFmtId="0" fontId="30" fillId="0" borderId="0" xfId="33" applyFont="1"/>
    <xf numFmtId="0" fontId="31" fillId="0" borderId="0" xfId="33" applyFont="1"/>
    <xf numFmtId="0" fontId="27" fillId="0" borderId="0" xfId="33"/>
    <xf numFmtId="0" fontId="32" fillId="0" borderId="0" xfId="33" applyFont="1"/>
    <xf numFmtId="0" fontId="33" fillId="0" borderId="0" xfId="33" applyFont="1"/>
    <xf numFmtId="0" fontId="34" fillId="0" borderId="0" xfId="33" applyFont="1"/>
    <xf numFmtId="0" fontId="32" fillId="0" borderId="0" xfId="33" applyFont="1" applyAlignment="1">
      <alignment horizontal="right"/>
    </xf>
    <xf numFmtId="170" fontId="32" fillId="0" borderId="0" xfId="33" applyNumberFormat="1" applyFont="1" applyAlignment="1">
      <alignment horizontal="right"/>
    </xf>
    <xf numFmtId="171" fontId="32" fillId="0" borderId="0" xfId="33" applyNumberFormat="1" applyFont="1" applyAlignment="1">
      <alignment horizontal="right"/>
    </xf>
    <xf numFmtId="172" fontId="32" fillId="0" borderId="0" xfId="33" applyNumberFormat="1" applyFont="1" applyAlignment="1">
      <alignment horizontal="right"/>
    </xf>
    <xf numFmtId="171" fontId="35" fillId="0" borderId="0" xfId="33" applyNumberFormat="1" applyFont="1" applyAlignment="1">
      <alignment horizontal="right"/>
    </xf>
    <xf numFmtId="0" fontId="10" fillId="2" borderId="2" xfId="21" applyFont="1" applyFill="1" applyBorder="1" applyAlignment="1">
      <alignment horizontal="center"/>
    </xf>
    <xf numFmtId="0" fontId="10" fillId="2" borderId="0" xfId="21" applyFont="1" applyFill="1" applyAlignment="1">
      <alignment horizontal="center"/>
    </xf>
    <xf numFmtId="0" fontId="32" fillId="0" borderId="0" xfId="33" applyFont="1"/>
    <xf numFmtId="0" fontId="27" fillId="0" borderId="0" xfId="33"/>
    <xf numFmtId="0" fontId="10" fillId="2" borderId="2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</cellXfs>
  <cellStyles count="34">
    <cellStyle name="Currency 2" xfId="2" xr:uid="{00000000-0005-0000-0000-000000000000}"/>
    <cellStyle name="Currency 2 2" xfId="15" xr:uid="{673171D6-0656-413A-9F8F-01BB68FB84AF}"/>
    <cellStyle name="Hyperlink" xfId="31" builtinId="8"/>
    <cellStyle name="Normal" xfId="0" builtinId="0"/>
    <cellStyle name="Normal 2" xfId="1" xr:uid="{00000000-0005-0000-0000-000002000000}"/>
    <cellStyle name="Normal 2 2" xfId="7" xr:uid="{00000000-0005-0000-0000-000003000000}"/>
    <cellStyle name="Normal 2 2 2" xfId="22" xr:uid="{729355A9-8A37-42A1-A7F0-F39C7DB7839E}"/>
    <cellStyle name="Normal 2 3" xfId="11" xr:uid="{00000000-0005-0000-0000-000004000000}"/>
    <cellStyle name="Normal 2 3 2" xfId="19" xr:uid="{8902ECBC-3C78-4746-AC44-427F569FEE0D}"/>
    <cellStyle name="Normal 2 4" xfId="25" xr:uid="{3AC4A76F-3A06-42EE-87D4-E03E9A5BAF78}"/>
    <cellStyle name="Normal 2 5" xfId="28" xr:uid="{B237AA01-443C-4481-B400-EA8E54CB0FE1}"/>
    <cellStyle name="Normal 2 6" xfId="14" xr:uid="{0ED31F21-FC82-4AD6-AA8C-024938DC2184}"/>
    <cellStyle name="Normal 3" xfId="3" xr:uid="{00000000-0005-0000-0000-000005000000}"/>
    <cellStyle name="Normal 3 2" xfId="8" xr:uid="{00000000-0005-0000-0000-000006000000}"/>
    <cellStyle name="Normal 3 2 2" xfId="23" xr:uid="{B04C5431-5AD0-464D-861F-B8A2FA5F6CDD}"/>
    <cellStyle name="Normal 3 3" xfId="12" xr:uid="{00000000-0005-0000-0000-000007000000}"/>
    <cellStyle name="Normal 3 3 2" xfId="20" xr:uid="{1D722380-7131-46C4-A941-1D88F0FCA02F}"/>
    <cellStyle name="Normal 3 4" xfId="26" xr:uid="{4285CA02-0281-460F-A4E4-E778110D0EC9}"/>
    <cellStyle name="Normal 3 5" xfId="29" xr:uid="{E275994F-D825-4BE0-AB65-818448F0BA5A}"/>
    <cellStyle name="Normal 3 6" xfId="16" xr:uid="{55924184-B671-463E-9F11-189E031D4135}"/>
    <cellStyle name="Normal 4" xfId="4" xr:uid="{00000000-0005-0000-0000-000008000000}"/>
    <cellStyle name="Normal 4 2" xfId="9" xr:uid="{00000000-0005-0000-0000-000009000000}"/>
    <cellStyle name="Normal 4 2 2" xfId="21" xr:uid="{E145B409-B387-4529-8022-1506798053FE}"/>
    <cellStyle name="Normal 4 3" xfId="13" xr:uid="{00000000-0005-0000-0000-00000A000000}"/>
    <cellStyle name="Normal 4 3 2" xfId="27" xr:uid="{72C276B8-BC8B-415C-A05E-34A8E87B25CC}"/>
    <cellStyle name="Normal 4 4" xfId="30" xr:uid="{E0503684-2EFB-41FB-B671-61B35A011E80}"/>
    <cellStyle name="Normal 4 5" xfId="17" xr:uid="{E92D6D01-D973-487C-9E75-FDC53BE3D1BC}"/>
    <cellStyle name="Normal 5" xfId="5" xr:uid="{00000000-0005-0000-0000-00000B000000}"/>
    <cellStyle name="Normal 5 2" xfId="10" xr:uid="{00000000-0005-0000-0000-00000C000000}"/>
    <cellStyle name="Normal 5 2 2" xfId="24" xr:uid="{B07425A3-DD23-4212-A89A-B870679CA77E}"/>
    <cellStyle name="Normal 5 3" xfId="18" xr:uid="{9ED15A68-CD73-4813-9100-631C92D9A8B1}"/>
    <cellStyle name="Normal 6" xfId="6" xr:uid="{00000000-0005-0000-0000-00000D000000}"/>
    <cellStyle name="Normal 7" xfId="32" xr:uid="{3C26021E-4B12-4DFB-A065-7565B78EF06D}"/>
    <cellStyle name="Normal 8" xfId="33" xr:uid="{B882D208-F2CC-4264-B57B-9211CCF0959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6A357-D746-4F33-AF44-155ECDDA5B14}">
  <sheetPr>
    <outlinePr summaryBelow="0" summaryRight="0"/>
  </sheetPr>
  <dimension ref="A1:V18"/>
  <sheetViews>
    <sheetView workbookViewId="0">
      <pane xSplit="4" topLeftCell="E1" activePane="topRight" state="frozen"/>
      <selection pane="topRight" activeCell="B19" sqref="B19"/>
    </sheetView>
  </sheetViews>
  <sheetFormatPr defaultColWidth="12.54296875" defaultRowHeight="15.75" customHeight="1"/>
  <cols>
    <col min="1" max="3" width="12.54296875" style="100"/>
    <col min="4" max="4" width="18.26953125" style="100" customWidth="1"/>
    <col min="5" max="5" width="21.7265625" style="100" customWidth="1"/>
    <col min="6" max="6" width="20.7265625" style="100" customWidth="1"/>
    <col min="7" max="16384" width="12.54296875" style="100"/>
  </cols>
  <sheetData>
    <row r="1" spans="1:22" ht="15.75" customHeight="1">
      <c r="A1" s="96" t="s">
        <v>373</v>
      </c>
      <c r="B1" s="96" t="s">
        <v>374</v>
      </c>
      <c r="C1" s="96" t="s">
        <v>375</v>
      </c>
      <c r="D1" s="96" t="s">
        <v>376</v>
      </c>
      <c r="E1" s="97" t="s">
        <v>377</v>
      </c>
      <c r="F1" s="96" t="s">
        <v>378</v>
      </c>
      <c r="G1" s="96" t="s">
        <v>379</v>
      </c>
      <c r="H1" s="96" t="s">
        <v>380</v>
      </c>
      <c r="I1" s="96" t="s">
        <v>381</v>
      </c>
      <c r="J1" s="96" t="s">
        <v>382</v>
      </c>
      <c r="K1" s="96" t="s">
        <v>383</v>
      </c>
      <c r="L1" s="96" t="s">
        <v>384</v>
      </c>
      <c r="M1" s="96" t="s">
        <v>385</v>
      </c>
      <c r="N1" s="96" t="s">
        <v>386</v>
      </c>
      <c r="O1" s="96" t="s">
        <v>387</v>
      </c>
      <c r="P1" s="96" t="s">
        <v>388</v>
      </c>
      <c r="Q1" s="96" t="s">
        <v>389</v>
      </c>
      <c r="R1" s="96" t="s">
        <v>390</v>
      </c>
      <c r="S1" s="96" t="s">
        <v>391</v>
      </c>
      <c r="T1" s="98" t="s">
        <v>392</v>
      </c>
      <c r="U1" s="99" t="s">
        <v>393</v>
      </c>
      <c r="V1" s="99" t="s">
        <v>394</v>
      </c>
    </row>
    <row r="2" spans="1:22" ht="14">
      <c r="A2" s="101" t="s">
        <v>395</v>
      </c>
      <c r="B2" s="102" t="s">
        <v>396</v>
      </c>
      <c r="C2" s="101" t="s">
        <v>395</v>
      </c>
      <c r="D2" s="101" t="s">
        <v>397</v>
      </c>
      <c r="E2" s="103" t="s">
        <v>398</v>
      </c>
      <c r="F2" s="101" t="s">
        <v>206</v>
      </c>
      <c r="G2" s="104">
        <v>48.898690000000002</v>
      </c>
      <c r="H2" s="104">
        <v>-123.67774300000001</v>
      </c>
      <c r="I2" s="105">
        <v>45734</v>
      </c>
      <c r="J2" s="106">
        <v>0.65208333333333335</v>
      </c>
      <c r="K2" s="101" t="s">
        <v>399</v>
      </c>
      <c r="L2" s="101" t="s">
        <v>400</v>
      </c>
      <c r="M2" s="104">
        <v>90.5</v>
      </c>
      <c r="N2" s="104">
        <v>93</v>
      </c>
      <c r="O2" s="104">
        <v>2.5</v>
      </c>
      <c r="P2" s="101" t="s">
        <v>401</v>
      </c>
      <c r="Q2" s="101">
        <v>21</v>
      </c>
      <c r="R2" s="101"/>
      <c r="S2" s="101"/>
      <c r="T2" s="99">
        <v>8</v>
      </c>
      <c r="U2" s="104">
        <v>1.54</v>
      </c>
      <c r="V2" s="99">
        <v>2024</v>
      </c>
    </row>
    <row r="3" spans="1:22" ht="14">
      <c r="A3" s="101" t="s">
        <v>395</v>
      </c>
      <c r="B3" s="102" t="s">
        <v>396</v>
      </c>
      <c r="C3" s="101" t="s">
        <v>395</v>
      </c>
      <c r="D3" s="101" t="s">
        <v>402</v>
      </c>
      <c r="E3" s="103" t="s">
        <v>398</v>
      </c>
      <c r="F3" s="101" t="s">
        <v>230</v>
      </c>
      <c r="G3" s="104">
        <v>48.898955999999998</v>
      </c>
      <c r="H3" s="104">
        <v>-123.67800800000001</v>
      </c>
      <c r="I3" s="105">
        <v>45735</v>
      </c>
      <c r="J3" s="106">
        <v>0.55555555555555558</v>
      </c>
      <c r="K3" s="101" t="s">
        <v>403</v>
      </c>
      <c r="L3" s="101"/>
      <c r="M3" s="104">
        <v>81.8</v>
      </c>
      <c r="N3" s="104">
        <v>82.2</v>
      </c>
      <c r="O3" s="104">
        <v>0.4</v>
      </c>
      <c r="P3" s="101" t="s">
        <v>401</v>
      </c>
      <c r="Q3" s="101">
        <v>16</v>
      </c>
      <c r="R3" s="101" t="s">
        <v>404</v>
      </c>
      <c r="S3" s="101"/>
      <c r="T3" s="99">
        <v>3</v>
      </c>
      <c r="U3" s="104">
        <v>1.69</v>
      </c>
      <c r="V3" s="99">
        <v>2024</v>
      </c>
    </row>
    <row r="4" spans="1:22" ht="14">
      <c r="A4" s="101" t="s">
        <v>395</v>
      </c>
      <c r="B4" s="102" t="s">
        <v>396</v>
      </c>
      <c r="C4" s="101" t="s">
        <v>395</v>
      </c>
      <c r="D4" s="101" t="s">
        <v>405</v>
      </c>
      <c r="E4" s="103" t="s">
        <v>398</v>
      </c>
      <c r="F4" s="101" t="s">
        <v>246</v>
      </c>
      <c r="G4" s="104">
        <v>48.896414999999998</v>
      </c>
      <c r="H4" s="104">
        <v>-123.678777</v>
      </c>
      <c r="I4" s="105">
        <v>45735</v>
      </c>
      <c r="J4" s="106">
        <v>0.59444444444444444</v>
      </c>
      <c r="K4" s="101" t="s">
        <v>406</v>
      </c>
      <c r="L4" s="101"/>
      <c r="M4" s="104">
        <v>49.9</v>
      </c>
      <c r="N4" s="104">
        <v>57.4</v>
      </c>
      <c r="O4" s="104">
        <v>7.5</v>
      </c>
      <c r="P4" s="101" t="s">
        <v>401</v>
      </c>
      <c r="Q4" s="101">
        <v>36</v>
      </c>
      <c r="R4" s="111" t="s">
        <v>247</v>
      </c>
      <c r="S4" s="112"/>
      <c r="T4" s="99">
        <v>1</v>
      </c>
      <c r="U4" s="104">
        <v>1.55</v>
      </c>
      <c r="V4" s="99">
        <v>2024</v>
      </c>
    </row>
    <row r="5" spans="1:22" ht="14">
      <c r="A5" s="101" t="s">
        <v>395</v>
      </c>
      <c r="B5" s="102" t="s">
        <v>396</v>
      </c>
      <c r="C5" s="101" t="s">
        <v>395</v>
      </c>
      <c r="D5" s="103" t="s">
        <v>407</v>
      </c>
      <c r="E5" s="103" t="s">
        <v>408</v>
      </c>
      <c r="F5" s="101" t="s">
        <v>342</v>
      </c>
      <c r="G5" s="104">
        <v>48.901077000000001</v>
      </c>
      <c r="H5" s="104">
        <v>-123.673858</v>
      </c>
      <c r="I5" s="105">
        <v>45734</v>
      </c>
      <c r="J5" s="106">
        <v>0.59236111111111112</v>
      </c>
      <c r="K5" s="101" t="s">
        <v>406</v>
      </c>
      <c r="L5" s="101"/>
      <c r="M5" s="104">
        <v>73</v>
      </c>
      <c r="N5" s="104">
        <v>79</v>
      </c>
      <c r="O5" s="104">
        <v>6</v>
      </c>
      <c r="P5" s="101" t="s">
        <v>401</v>
      </c>
      <c r="Q5" s="101">
        <v>16</v>
      </c>
      <c r="R5" s="111" t="s">
        <v>314</v>
      </c>
      <c r="S5" s="112"/>
      <c r="U5" s="104">
        <v>0.51</v>
      </c>
      <c r="V5" s="99">
        <v>2024</v>
      </c>
    </row>
    <row r="6" spans="1:22" ht="14">
      <c r="A6" s="101" t="s">
        <v>395</v>
      </c>
      <c r="B6" s="102" t="s">
        <v>396</v>
      </c>
      <c r="C6" s="101" t="s">
        <v>395</v>
      </c>
      <c r="D6" s="101" t="s">
        <v>409</v>
      </c>
      <c r="E6" s="103" t="s">
        <v>408</v>
      </c>
      <c r="F6" s="101" t="s">
        <v>59</v>
      </c>
      <c r="G6" s="104">
        <v>48.904679000000002</v>
      </c>
      <c r="H6" s="104">
        <v>-123.683728</v>
      </c>
      <c r="I6" s="107">
        <v>45805</v>
      </c>
      <c r="J6" s="106">
        <v>0.44583333333333336</v>
      </c>
      <c r="K6" s="101" t="s">
        <v>410</v>
      </c>
      <c r="L6" s="101" t="s">
        <v>411</v>
      </c>
      <c r="M6" s="104">
        <v>51.4</v>
      </c>
      <c r="N6" s="104">
        <v>65</v>
      </c>
      <c r="O6" s="101"/>
      <c r="P6" s="101" t="s">
        <v>401</v>
      </c>
      <c r="Q6" s="101" t="s">
        <v>412</v>
      </c>
      <c r="R6" s="101"/>
      <c r="S6" s="101" t="s">
        <v>413</v>
      </c>
      <c r="U6" s="104">
        <v>0.33</v>
      </c>
      <c r="V6" s="99">
        <v>2024</v>
      </c>
    </row>
    <row r="7" spans="1:22" ht="14">
      <c r="A7" s="101" t="s">
        <v>395</v>
      </c>
      <c r="B7" s="102" t="s">
        <v>396</v>
      </c>
      <c r="C7" s="101" t="s">
        <v>395</v>
      </c>
      <c r="D7" s="101" t="s">
        <v>414</v>
      </c>
      <c r="E7" s="103" t="s">
        <v>408</v>
      </c>
      <c r="F7" s="101" t="s">
        <v>81</v>
      </c>
      <c r="G7" s="104">
        <v>48.903320999999998</v>
      </c>
      <c r="H7" s="104">
        <v>-123.681493</v>
      </c>
      <c r="I7" s="107">
        <v>45805</v>
      </c>
      <c r="J7" s="106">
        <v>0.47986111111111113</v>
      </c>
      <c r="K7" s="101" t="s">
        <v>410</v>
      </c>
      <c r="L7" s="101" t="s">
        <v>411</v>
      </c>
      <c r="M7" s="104">
        <v>46.8</v>
      </c>
      <c r="N7" s="104">
        <v>60.9</v>
      </c>
      <c r="O7" s="101"/>
      <c r="P7" s="101" t="s">
        <v>401</v>
      </c>
      <c r="Q7" s="104">
        <v>33</v>
      </c>
      <c r="R7" s="101"/>
      <c r="S7" s="101"/>
      <c r="U7" s="104">
        <v>0.47</v>
      </c>
      <c r="V7" s="99">
        <v>2024</v>
      </c>
    </row>
    <row r="8" spans="1:22" ht="14.5">
      <c r="A8" s="101" t="s">
        <v>395</v>
      </c>
      <c r="B8" s="102" t="s">
        <v>396</v>
      </c>
      <c r="C8" s="101" t="s">
        <v>395</v>
      </c>
      <c r="D8" s="103" t="s">
        <v>415</v>
      </c>
      <c r="E8" s="103" t="s">
        <v>416</v>
      </c>
      <c r="F8" s="101" t="s">
        <v>285</v>
      </c>
      <c r="G8" s="104">
        <v>48.901907000000001</v>
      </c>
      <c r="H8" s="104">
        <v>-123.678219</v>
      </c>
      <c r="I8" s="105">
        <v>45734</v>
      </c>
      <c r="J8" s="108">
        <v>0.5625</v>
      </c>
      <c r="K8" s="101" t="s">
        <v>406</v>
      </c>
      <c r="L8" s="101"/>
      <c r="M8" s="104">
        <v>75</v>
      </c>
      <c r="N8" s="104">
        <v>78.5</v>
      </c>
      <c r="O8" s="104">
        <v>3.5</v>
      </c>
      <c r="P8" s="101" t="s">
        <v>401</v>
      </c>
      <c r="Q8" s="101">
        <v>27</v>
      </c>
      <c r="R8" s="101"/>
      <c r="S8" s="101"/>
      <c r="T8" s="99">
        <v>5</v>
      </c>
      <c r="U8" s="104">
        <v>0.96</v>
      </c>
      <c r="V8" s="99">
        <v>2024</v>
      </c>
    </row>
    <row r="9" spans="1:22" ht="14">
      <c r="A9" s="101" t="s">
        <v>395</v>
      </c>
      <c r="B9" s="102" t="s">
        <v>396</v>
      </c>
      <c r="C9" s="101" t="s">
        <v>395</v>
      </c>
      <c r="D9" s="103" t="s">
        <v>417</v>
      </c>
      <c r="E9" s="103" t="s">
        <v>416</v>
      </c>
      <c r="F9" s="101" t="s">
        <v>313</v>
      </c>
      <c r="G9" s="104">
        <v>48.895038999999997</v>
      </c>
      <c r="H9" s="104">
        <v>-123.674995</v>
      </c>
      <c r="I9" s="105">
        <v>45734</v>
      </c>
      <c r="J9" s="106">
        <v>0.63194444444444442</v>
      </c>
      <c r="K9" s="101" t="s">
        <v>406</v>
      </c>
      <c r="L9" s="101"/>
      <c r="M9" s="104">
        <v>49.5</v>
      </c>
      <c r="N9" s="104">
        <v>58</v>
      </c>
      <c r="O9" s="104">
        <v>8.5</v>
      </c>
      <c r="P9" s="101" t="s">
        <v>401</v>
      </c>
      <c r="Q9" s="101">
        <v>25</v>
      </c>
      <c r="R9" s="111" t="s">
        <v>314</v>
      </c>
      <c r="S9" s="112"/>
      <c r="T9" s="99">
        <v>7</v>
      </c>
      <c r="U9" s="104">
        <v>1.18</v>
      </c>
      <c r="V9" s="99">
        <v>2024</v>
      </c>
    </row>
    <row r="10" spans="1:22" ht="14">
      <c r="A10" s="101" t="s">
        <v>395</v>
      </c>
      <c r="B10" s="102" t="s">
        <v>396</v>
      </c>
      <c r="C10" s="101" t="s">
        <v>395</v>
      </c>
      <c r="D10" s="101" t="s">
        <v>418</v>
      </c>
      <c r="E10" s="103" t="s">
        <v>416</v>
      </c>
      <c r="F10" s="101" t="s">
        <v>31</v>
      </c>
      <c r="G10" s="104">
        <v>48.899645999999997</v>
      </c>
      <c r="H10" s="104">
        <v>-123.67287899999999</v>
      </c>
      <c r="I10" s="107">
        <v>45805</v>
      </c>
      <c r="J10" s="106">
        <v>0.51666666666666672</v>
      </c>
      <c r="K10" s="101" t="s">
        <v>410</v>
      </c>
      <c r="L10" s="101" t="s">
        <v>411</v>
      </c>
      <c r="M10" s="104">
        <v>71.400000000000006</v>
      </c>
      <c r="N10" s="104">
        <v>74.5</v>
      </c>
      <c r="O10" s="101"/>
      <c r="P10" s="101" t="s">
        <v>401</v>
      </c>
      <c r="Q10" s="104">
        <v>28</v>
      </c>
      <c r="R10" s="101"/>
      <c r="S10" s="101" t="s">
        <v>419</v>
      </c>
      <c r="T10" s="99">
        <v>6</v>
      </c>
      <c r="U10" s="104">
        <v>1.1599999999999999</v>
      </c>
      <c r="V10" s="99">
        <v>2024</v>
      </c>
    </row>
    <row r="11" spans="1:22" ht="14">
      <c r="A11" s="101" t="s">
        <v>395</v>
      </c>
      <c r="B11" s="102" t="s">
        <v>396</v>
      </c>
      <c r="C11" s="101" t="s">
        <v>395</v>
      </c>
      <c r="D11" s="101" t="s">
        <v>420</v>
      </c>
      <c r="E11" s="103" t="s">
        <v>421</v>
      </c>
      <c r="F11" s="101" t="s">
        <v>114</v>
      </c>
      <c r="G11" s="104">
        <v>48.901262000000003</v>
      </c>
      <c r="H11" s="104">
        <v>-123.680556</v>
      </c>
      <c r="I11" s="107">
        <v>45805</v>
      </c>
      <c r="J11" s="106">
        <v>0.4152777777777778</v>
      </c>
      <c r="K11" s="101" t="s">
        <v>422</v>
      </c>
      <c r="L11" s="101" t="s">
        <v>411</v>
      </c>
      <c r="M11" s="104">
        <v>83.4</v>
      </c>
      <c r="N11" s="104">
        <v>84.6</v>
      </c>
      <c r="O11" s="101"/>
      <c r="P11" s="101" t="s">
        <v>401</v>
      </c>
      <c r="Q11" s="104">
        <v>23</v>
      </c>
      <c r="R11" s="101"/>
      <c r="S11" s="101" t="s">
        <v>423</v>
      </c>
      <c r="T11" s="99">
        <v>9</v>
      </c>
      <c r="U11" s="104">
        <v>1.08</v>
      </c>
      <c r="V11" s="99">
        <v>2024</v>
      </c>
    </row>
    <row r="12" spans="1:22" ht="14">
      <c r="A12" s="101" t="s">
        <v>395</v>
      </c>
      <c r="B12" s="102" t="s">
        <v>396</v>
      </c>
      <c r="C12" s="101" t="s">
        <v>395</v>
      </c>
      <c r="D12" s="101" t="s">
        <v>424</v>
      </c>
      <c r="E12" s="103" t="s">
        <v>421</v>
      </c>
      <c r="F12" s="101" t="s">
        <v>137</v>
      </c>
      <c r="G12" s="104">
        <v>48.901581</v>
      </c>
      <c r="H12" s="104">
        <v>-123.683283</v>
      </c>
      <c r="I12" s="107">
        <v>45805</v>
      </c>
      <c r="J12" s="106">
        <v>0.42499999999999999</v>
      </c>
      <c r="K12" s="101" t="s">
        <v>410</v>
      </c>
      <c r="L12" s="101" t="s">
        <v>411</v>
      </c>
      <c r="M12" s="104">
        <v>76.400000000000006</v>
      </c>
      <c r="N12" s="104">
        <v>78</v>
      </c>
      <c r="O12" s="101"/>
      <c r="P12" s="101" t="s">
        <v>401</v>
      </c>
      <c r="Q12" s="101" t="s">
        <v>425</v>
      </c>
      <c r="R12" s="101"/>
      <c r="S12" s="101" t="s">
        <v>413</v>
      </c>
      <c r="T12" s="99">
        <v>10</v>
      </c>
      <c r="U12" s="104">
        <v>0.84</v>
      </c>
      <c r="V12" s="99">
        <v>2024</v>
      </c>
    </row>
    <row r="13" spans="1:22" ht="14">
      <c r="A13" s="101" t="s">
        <v>395</v>
      </c>
      <c r="B13" s="102" t="s">
        <v>396</v>
      </c>
      <c r="C13" s="101" t="s">
        <v>395</v>
      </c>
      <c r="D13" s="101" t="s">
        <v>426</v>
      </c>
      <c r="E13" s="103" t="s">
        <v>421</v>
      </c>
      <c r="F13" s="101" t="s">
        <v>162</v>
      </c>
      <c r="G13" s="104">
        <v>48.903095</v>
      </c>
      <c r="H13" s="104">
        <v>-123.68303</v>
      </c>
      <c r="I13" s="107">
        <v>45805</v>
      </c>
      <c r="J13" s="106">
        <v>0.43611111111111112</v>
      </c>
      <c r="K13" s="101" t="s">
        <v>410</v>
      </c>
      <c r="L13" s="101" t="s">
        <v>411</v>
      </c>
      <c r="M13" s="104">
        <v>83.9</v>
      </c>
      <c r="N13" s="104">
        <v>86.8</v>
      </c>
      <c r="O13" s="101"/>
      <c r="P13" s="101" t="s">
        <v>401</v>
      </c>
      <c r="Q13" s="104">
        <v>22</v>
      </c>
      <c r="R13" s="101"/>
      <c r="S13" s="101"/>
      <c r="T13" s="99">
        <v>11</v>
      </c>
      <c r="U13" s="104">
        <v>1.06</v>
      </c>
      <c r="V13" s="99">
        <v>2024</v>
      </c>
    </row>
    <row r="14" spans="1:22" ht="14">
      <c r="A14" s="101"/>
      <c r="B14" s="102"/>
      <c r="C14" s="101"/>
      <c r="D14" s="101"/>
      <c r="E14" s="103"/>
      <c r="F14" s="101"/>
      <c r="G14" s="104"/>
      <c r="H14" s="104"/>
      <c r="I14" s="105"/>
      <c r="J14" s="106"/>
      <c r="K14" s="101"/>
      <c r="L14" s="101"/>
      <c r="M14" s="101"/>
      <c r="N14" s="101"/>
      <c r="O14" s="101"/>
      <c r="P14" s="101"/>
      <c r="Q14" s="101"/>
      <c r="R14" s="101"/>
      <c r="S14" s="101"/>
      <c r="U14" s="104"/>
      <c r="V14" s="99"/>
    </row>
    <row r="15" spans="1:22" ht="14">
      <c r="A15" s="101"/>
      <c r="B15" s="102"/>
      <c r="C15" s="101"/>
      <c r="D15" s="101"/>
      <c r="E15" s="103"/>
      <c r="F15" s="101"/>
      <c r="G15" s="104"/>
      <c r="H15" s="104"/>
      <c r="I15" s="105"/>
      <c r="J15" s="106"/>
      <c r="K15" s="101"/>
      <c r="L15" s="104"/>
      <c r="M15" s="104"/>
      <c r="N15" s="104"/>
      <c r="O15" s="104"/>
      <c r="P15" s="101"/>
      <c r="Q15" s="101"/>
      <c r="R15" s="101"/>
      <c r="S15" s="101"/>
      <c r="T15" s="99"/>
      <c r="U15" s="104"/>
      <c r="V15" s="99"/>
    </row>
    <row r="16" spans="1:22" ht="14">
      <c r="A16" s="101"/>
      <c r="B16" s="102"/>
      <c r="C16" s="101"/>
      <c r="D16" s="101"/>
      <c r="E16" s="103"/>
      <c r="F16" s="101"/>
      <c r="G16" s="104"/>
      <c r="H16" s="104"/>
      <c r="I16" s="105"/>
      <c r="J16" s="106"/>
      <c r="K16" s="101"/>
      <c r="L16" s="104"/>
      <c r="M16" s="104"/>
      <c r="N16" s="104"/>
      <c r="O16" s="104"/>
      <c r="P16" s="101"/>
      <c r="Q16" s="101"/>
      <c r="R16" s="101"/>
      <c r="S16" s="101"/>
      <c r="T16" s="99"/>
      <c r="U16" s="104"/>
      <c r="V16" s="99"/>
    </row>
    <row r="17" spans="1:22" ht="14">
      <c r="A17" s="101"/>
      <c r="B17" s="102"/>
      <c r="C17" s="101"/>
      <c r="D17" s="101"/>
      <c r="E17" s="103"/>
      <c r="F17" s="101"/>
      <c r="G17" s="104"/>
      <c r="H17" s="104"/>
      <c r="I17" s="105"/>
      <c r="J17" s="106"/>
      <c r="K17" s="101"/>
      <c r="L17" s="104"/>
      <c r="M17" s="104"/>
      <c r="N17" s="104"/>
      <c r="O17" s="104"/>
      <c r="P17" s="101"/>
      <c r="Q17" s="101"/>
      <c r="R17" s="101"/>
      <c r="S17" s="101"/>
      <c r="T17" s="99"/>
      <c r="U17" s="104"/>
      <c r="V17" s="99"/>
    </row>
    <row r="18" spans="1:22" ht="14">
      <c r="A18" s="101"/>
      <c r="B18" s="102"/>
      <c r="C18" s="101"/>
      <c r="D18" s="101"/>
      <c r="E18" s="101"/>
      <c r="F18" s="101"/>
      <c r="G18" s="101"/>
      <c r="H18" s="101"/>
      <c r="I18" s="105"/>
      <c r="J18" s="101"/>
      <c r="K18" s="101"/>
      <c r="L18" s="101"/>
      <c r="M18" s="101"/>
      <c r="N18" s="101"/>
      <c r="O18" s="101"/>
      <c r="P18" s="101"/>
      <c r="Q18" s="101"/>
      <c r="R18" s="101"/>
      <c r="S18" s="101"/>
    </row>
  </sheetData>
  <autoFilter ref="A1:AA18" xr:uid="{00000000-0009-0000-0000-000001000000}"/>
  <mergeCells count="3">
    <mergeCell ref="R4:S4"/>
    <mergeCell ref="R5:S5"/>
    <mergeCell ref="R9:S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F7EB-F9D9-4685-B8AB-9071A94658B3}">
  <dimension ref="A1:AR423"/>
  <sheetViews>
    <sheetView topLeftCell="A3" zoomScale="85" zoomScaleNormal="85" workbookViewId="0">
      <selection activeCell="G7" sqref="G7"/>
    </sheetView>
  </sheetViews>
  <sheetFormatPr defaultColWidth="9.1796875" defaultRowHeight="13"/>
  <cols>
    <col min="1" max="1" width="27" style="39" customWidth="1"/>
    <col min="2" max="7" width="20.7265625" style="42" customWidth="1"/>
    <col min="8" max="8" width="21.54296875" style="42" customWidth="1"/>
    <col min="9" max="10" width="20.7265625" style="42" customWidth="1"/>
    <col min="11" max="11" width="36.453125" style="42" customWidth="1"/>
    <col min="12" max="14" width="20.7265625" style="42" customWidth="1"/>
    <col min="15" max="15" width="25.7265625" style="42" customWidth="1"/>
    <col min="16" max="28" width="20.7265625" style="42" customWidth="1"/>
    <col min="29" max="40" width="12.7265625" style="42" customWidth="1"/>
    <col min="41" max="44" width="20.7265625" style="42" customWidth="1"/>
    <col min="45" max="16384" width="9.1796875" style="42"/>
  </cols>
  <sheetData>
    <row r="1" spans="1:44">
      <c r="B1" s="40"/>
      <c r="C1" s="40"/>
      <c r="D1" s="40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</row>
    <row r="2" spans="1:44" ht="25">
      <c r="B2" s="43"/>
      <c r="C2" s="43"/>
      <c r="D2" s="43" t="s">
        <v>0</v>
      </c>
      <c r="E2" s="43"/>
      <c r="F2" s="43"/>
      <c r="G2" s="44"/>
      <c r="H2" s="44"/>
      <c r="I2" s="44"/>
      <c r="J2" s="43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</row>
    <row r="3" spans="1:44">
      <c r="B3" s="40"/>
      <c r="C3" s="40"/>
      <c r="D3" s="40"/>
      <c r="E3" s="40"/>
      <c r="F3" s="40"/>
      <c r="G3" s="41"/>
      <c r="H3" s="41"/>
      <c r="I3" s="41"/>
      <c r="J3" s="40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</row>
    <row r="4" spans="1:44" ht="18">
      <c r="B4" s="40"/>
      <c r="C4" s="40"/>
      <c r="D4" s="45"/>
      <c r="E4" s="45"/>
      <c r="F4" s="45"/>
      <c r="G4" s="45"/>
      <c r="H4" s="46"/>
      <c r="I4" s="47"/>
      <c r="J4" s="40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</row>
    <row r="5" spans="1:44" ht="15">
      <c r="A5" s="48"/>
      <c r="B5" s="45"/>
      <c r="C5" s="45"/>
      <c r="D5" s="45"/>
      <c r="E5" s="45"/>
      <c r="F5" s="45"/>
      <c r="G5" s="47"/>
      <c r="H5" s="45"/>
      <c r="I5" s="47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</row>
    <row r="6" spans="1:44" ht="15">
      <c r="A6" s="48"/>
      <c r="B6" s="45"/>
      <c r="C6" s="45"/>
      <c r="D6" s="45"/>
      <c r="E6" s="45"/>
      <c r="F6" s="45"/>
      <c r="G6" s="47"/>
      <c r="H6" s="45"/>
      <c r="I6" s="47"/>
      <c r="J6" s="45"/>
      <c r="K6" s="45"/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</row>
    <row r="7" spans="1:44" ht="15">
      <c r="A7" s="49"/>
      <c r="B7" s="45"/>
      <c r="C7" s="45"/>
      <c r="D7" s="45"/>
      <c r="E7" s="45"/>
      <c r="F7" s="45"/>
      <c r="G7" s="23"/>
      <c r="H7" s="45"/>
      <c r="I7" s="23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</row>
    <row r="8" spans="1:44" ht="15.5" thickBot="1">
      <c r="A8" s="50"/>
      <c r="B8" s="51"/>
      <c r="C8" s="52"/>
      <c r="D8" s="52"/>
      <c r="E8" s="53"/>
      <c r="F8" s="53"/>
      <c r="G8" s="53"/>
      <c r="H8" s="53"/>
      <c r="I8" s="53"/>
      <c r="J8" s="53"/>
      <c r="K8" s="53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</row>
    <row r="9" spans="1:44" ht="15.5" thickTop="1"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</row>
    <row r="10" spans="1:44" ht="15">
      <c r="A10" s="39" t="s">
        <v>15</v>
      </c>
      <c r="B10" s="54"/>
      <c r="C10" s="55"/>
      <c r="D10" s="55"/>
      <c r="E10" s="56"/>
      <c r="F10" s="56"/>
      <c r="G10" s="56"/>
      <c r="H10" s="56"/>
      <c r="I10" s="56"/>
      <c r="J10" s="56"/>
      <c r="K10" s="56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</row>
    <row r="11" spans="1:44" ht="15">
      <c r="A11" s="39" t="s">
        <v>16</v>
      </c>
      <c r="B11" s="54"/>
      <c r="C11" s="41"/>
      <c r="D11" s="41" t="s">
        <v>194</v>
      </c>
      <c r="E11" s="54"/>
      <c r="F11" s="56"/>
      <c r="G11" s="56"/>
      <c r="H11" s="56"/>
      <c r="I11" s="56"/>
      <c r="J11" s="56"/>
      <c r="K11" s="57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</row>
    <row r="12" spans="1:44" ht="15">
      <c r="A12" s="39" t="s">
        <v>17</v>
      </c>
      <c r="B12" s="54"/>
      <c r="C12" s="41"/>
      <c r="D12" s="41" t="s">
        <v>195</v>
      </c>
      <c r="F12" s="56"/>
      <c r="G12" s="56"/>
      <c r="H12" s="56"/>
      <c r="I12" s="56"/>
      <c r="J12" s="56"/>
      <c r="K12" s="5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</row>
    <row r="13" spans="1:44" ht="15">
      <c r="A13" s="39" t="s">
        <v>18</v>
      </c>
      <c r="B13" s="54" t="s">
        <v>196</v>
      </c>
      <c r="D13" s="42" t="s">
        <v>197</v>
      </c>
      <c r="E13" s="54"/>
      <c r="F13" s="56"/>
      <c r="G13" s="56"/>
      <c r="H13" s="56"/>
      <c r="I13" s="56"/>
      <c r="J13" s="56"/>
      <c r="K13" s="5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1:44" ht="15">
      <c r="A14" s="39" t="s">
        <v>1</v>
      </c>
      <c r="B14" s="54"/>
      <c r="C14" s="58"/>
      <c r="D14" s="58" t="s">
        <v>198</v>
      </c>
      <c r="E14" s="54"/>
      <c r="F14" s="39"/>
      <c r="G14" s="39"/>
      <c r="H14" s="39"/>
      <c r="I14" s="39"/>
      <c r="J14" s="39"/>
      <c r="K14" s="5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</row>
    <row r="15" spans="1:44" ht="15">
      <c r="A15" s="39" t="s">
        <v>19</v>
      </c>
      <c r="B15" s="59"/>
      <c r="C15" s="54"/>
      <c r="D15" s="54"/>
      <c r="E15" s="56"/>
      <c r="F15" s="56"/>
      <c r="G15" s="56"/>
      <c r="H15" s="56"/>
      <c r="I15" s="56"/>
      <c r="J15" s="56"/>
      <c r="K15" s="5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</row>
    <row r="16" spans="1:44" ht="15">
      <c r="A16" s="39" t="s">
        <v>20</v>
      </c>
      <c r="B16" s="59"/>
      <c r="C16" s="55" t="s">
        <v>191</v>
      </c>
      <c r="D16" s="54"/>
      <c r="E16" s="54"/>
      <c r="F16" s="55"/>
      <c r="G16" s="55"/>
      <c r="H16" s="55"/>
      <c r="I16" s="55"/>
      <c r="J16" s="55"/>
      <c r="K16" s="39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</row>
    <row r="17" spans="1:44" ht="15.5" thickBot="1">
      <c r="A17" s="50"/>
      <c r="B17" s="50"/>
      <c r="C17" s="50"/>
      <c r="D17" s="50"/>
      <c r="E17" s="60"/>
      <c r="F17" s="60"/>
      <c r="G17" s="60"/>
      <c r="H17" s="60"/>
      <c r="I17" s="60"/>
      <c r="J17" s="60"/>
      <c r="K17" s="60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</row>
    <row r="18" spans="1:44" s="65" customFormat="1" ht="15.5" thickTop="1">
      <c r="A18" s="39" t="s">
        <v>23</v>
      </c>
      <c r="B18" s="109" t="s">
        <v>12</v>
      </c>
      <c r="C18" s="109"/>
      <c r="D18" s="61" t="s">
        <v>27</v>
      </c>
      <c r="E18" s="62" t="s">
        <v>199</v>
      </c>
      <c r="F18" s="61" t="s">
        <v>29</v>
      </c>
      <c r="G18" s="63" t="s">
        <v>200</v>
      </c>
      <c r="H18" s="64" t="s">
        <v>4</v>
      </c>
      <c r="I18" s="64" t="s">
        <v>5</v>
      </c>
      <c r="J18" s="64" t="s">
        <v>6</v>
      </c>
      <c r="K18" s="64" t="s">
        <v>201</v>
      </c>
      <c r="L18" s="45" t="s">
        <v>202</v>
      </c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  <c r="AA18" s="45"/>
      <c r="AB18" s="45"/>
      <c r="AC18" s="45"/>
      <c r="AD18" s="45"/>
      <c r="AE18" s="45"/>
      <c r="AF18" s="45"/>
      <c r="AG18" s="45"/>
      <c r="AH18" s="45"/>
      <c r="AI18" s="45"/>
      <c r="AJ18" s="45"/>
      <c r="AK18" s="45"/>
      <c r="AL18" s="45"/>
      <c r="AM18" s="45"/>
      <c r="AN18" s="45"/>
      <c r="AO18" s="45"/>
      <c r="AP18" s="45"/>
      <c r="AQ18" s="45"/>
      <c r="AR18" s="45"/>
    </row>
    <row r="19" spans="1:44" s="65" customFormat="1" ht="15">
      <c r="A19" s="39" t="s">
        <v>2</v>
      </c>
      <c r="B19" s="110" t="s">
        <v>22</v>
      </c>
      <c r="C19" s="110"/>
      <c r="D19" s="61" t="s">
        <v>28</v>
      </c>
      <c r="E19" s="62" t="s">
        <v>203</v>
      </c>
      <c r="F19" s="61" t="s">
        <v>26</v>
      </c>
      <c r="G19" s="66" t="s">
        <v>204</v>
      </c>
      <c r="H19" s="39" t="s">
        <v>7</v>
      </c>
      <c r="I19" s="39"/>
      <c r="J19" s="39"/>
      <c r="K19" s="39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45"/>
      <c r="AK19" s="45"/>
      <c r="AL19" s="45"/>
      <c r="AM19" s="45"/>
      <c r="AN19" s="45"/>
      <c r="AO19" s="45"/>
      <c r="AP19" s="45"/>
      <c r="AQ19" s="45"/>
      <c r="AR19" s="45"/>
    </row>
    <row r="20" spans="1:44" s="65" customFormat="1" ht="15">
      <c r="A20" s="39" t="s">
        <v>21</v>
      </c>
      <c r="B20" s="62" t="s">
        <v>9</v>
      </c>
      <c r="C20" s="62" t="s">
        <v>10</v>
      </c>
      <c r="D20" s="61" t="s">
        <v>11</v>
      </c>
      <c r="E20" s="62"/>
      <c r="F20" s="61" t="s">
        <v>14</v>
      </c>
      <c r="G20" s="66"/>
      <c r="I20" s="39"/>
      <c r="J20" s="39"/>
      <c r="K20" s="39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  <c r="AA20" s="45"/>
      <c r="AB20" s="45"/>
      <c r="AC20" s="45"/>
      <c r="AD20" s="45"/>
      <c r="AE20" s="45"/>
      <c r="AF20" s="45"/>
      <c r="AG20" s="45"/>
      <c r="AH20" s="45"/>
      <c r="AI20" s="45"/>
      <c r="AJ20" s="45"/>
      <c r="AK20" s="45"/>
      <c r="AL20" s="45"/>
      <c r="AM20" s="45"/>
      <c r="AN20" s="45"/>
      <c r="AO20" s="45"/>
      <c r="AP20" s="45"/>
      <c r="AQ20" s="45"/>
      <c r="AR20" s="45"/>
    </row>
    <row r="21" spans="1:44" s="65" customFormat="1" ht="15">
      <c r="A21" s="39" t="s">
        <v>3</v>
      </c>
      <c r="B21" s="62" t="s">
        <v>8</v>
      </c>
      <c r="C21" s="62" t="s">
        <v>8</v>
      </c>
      <c r="D21" s="61" t="s">
        <v>8</v>
      </c>
      <c r="E21" s="62"/>
      <c r="F21" s="67" t="s">
        <v>8</v>
      </c>
      <c r="G21" s="68" t="s">
        <v>205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</row>
    <row r="22" spans="1:44" s="65" customFormat="1">
      <c r="A22" s="39" t="s">
        <v>24</v>
      </c>
      <c r="B22" s="62">
        <v>0.01</v>
      </c>
      <c r="C22" s="62">
        <v>0.01</v>
      </c>
      <c r="D22" s="61"/>
      <c r="E22" s="62"/>
      <c r="F22" s="61">
        <v>0.1</v>
      </c>
      <c r="G22" s="62"/>
    </row>
    <row r="23" spans="1:44" s="65" customFormat="1">
      <c r="A23" s="39"/>
      <c r="B23" s="62"/>
      <c r="C23" s="62"/>
      <c r="D23" s="61"/>
      <c r="E23" s="62"/>
      <c r="F23" s="61"/>
      <c r="G23" s="62"/>
    </row>
    <row r="24" spans="1:44">
      <c r="A24" s="39">
        <v>1</v>
      </c>
      <c r="B24" s="69">
        <v>0.22</v>
      </c>
      <c r="C24" s="69">
        <v>3.53</v>
      </c>
      <c r="D24" s="70">
        <v>3.6999999999999998E-2</v>
      </c>
      <c r="E24" s="71">
        <v>3.496</v>
      </c>
      <c r="F24" s="72" t="s">
        <v>30</v>
      </c>
      <c r="G24" s="73">
        <v>26.7</v>
      </c>
      <c r="H24" s="56" t="s">
        <v>206</v>
      </c>
      <c r="I24" s="74">
        <v>45734</v>
      </c>
      <c r="J24" s="75">
        <v>0.65208333333333335</v>
      </c>
      <c r="K24" s="56"/>
      <c r="L24" s="42">
        <f>G24/(PI()*(7.62/2)^2)</f>
        <v>0.58547915494569558</v>
      </c>
    </row>
    <row r="25" spans="1:44">
      <c r="A25" s="39">
        <v>2</v>
      </c>
      <c r="B25" s="69">
        <v>0.18</v>
      </c>
      <c r="C25" s="69">
        <v>3.27</v>
      </c>
      <c r="D25" s="70">
        <v>7.0000000000000001E-3</v>
      </c>
      <c r="E25" s="71">
        <v>3.262</v>
      </c>
      <c r="F25" s="72" t="s">
        <v>30</v>
      </c>
      <c r="G25" s="73">
        <v>39.5</v>
      </c>
      <c r="H25" s="56" t="s">
        <v>207</v>
      </c>
      <c r="I25" s="74">
        <v>45734</v>
      </c>
      <c r="J25" s="75">
        <v>0.65208333333333335</v>
      </c>
      <c r="K25" s="56"/>
      <c r="L25" s="42">
        <f t="shared" ref="L25:L88" si="0">G25/(PI()*(7.62/2)^2)</f>
        <v>0.86615830038782682</v>
      </c>
    </row>
    <row r="26" spans="1:44">
      <c r="A26" s="39">
        <v>3</v>
      </c>
      <c r="B26" s="69">
        <v>0.15</v>
      </c>
      <c r="C26" s="69">
        <v>2.68</v>
      </c>
      <c r="D26" s="70">
        <v>7.0000000000000001E-3</v>
      </c>
      <c r="E26" s="71">
        <v>2.6739999999999999</v>
      </c>
      <c r="F26" s="72" t="s">
        <v>30</v>
      </c>
      <c r="G26" s="73">
        <v>45.8</v>
      </c>
      <c r="H26" s="56" t="s">
        <v>208</v>
      </c>
      <c r="I26" s="74">
        <v>45734</v>
      </c>
      <c r="J26" s="75">
        <v>0.65208333333333335</v>
      </c>
      <c r="K26" s="56"/>
      <c r="L26" s="42">
        <f t="shared" si="0"/>
        <v>1.0043050672851257</v>
      </c>
    </row>
    <row r="27" spans="1:44">
      <c r="A27" s="39">
        <v>4</v>
      </c>
      <c r="B27" s="69">
        <v>0.18</v>
      </c>
      <c r="C27" s="69">
        <v>3.02</v>
      </c>
      <c r="D27" s="70">
        <v>8.9999999999999993E-3</v>
      </c>
      <c r="E27" s="71">
        <v>3.016</v>
      </c>
      <c r="F27" s="72" t="s">
        <v>30</v>
      </c>
      <c r="G27" s="73">
        <v>40.1</v>
      </c>
      <c r="H27" s="56" t="s">
        <v>209</v>
      </c>
      <c r="I27" s="74">
        <v>45734</v>
      </c>
      <c r="J27" s="75">
        <v>0.65208333333333335</v>
      </c>
      <c r="K27" s="56"/>
      <c r="L27" s="42">
        <f t="shared" si="0"/>
        <v>0.87931513533042671</v>
      </c>
    </row>
    <row r="28" spans="1:44">
      <c r="A28" s="39">
        <v>5</v>
      </c>
      <c r="B28" s="69">
        <v>0.22</v>
      </c>
      <c r="C28" s="69">
        <v>3.36</v>
      </c>
      <c r="D28" s="70">
        <v>8.9999999999999993E-3</v>
      </c>
      <c r="E28" s="71">
        <v>3.355</v>
      </c>
      <c r="F28" s="72" t="s">
        <v>30</v>
      </c>
      <c r="G28" s="73">
        <v>32.700000000000003</v>
      </c>
      <c r="H28" s="56" t="s">
        <v>210</v>
      </c>
      <c r="I28" s="74">
        <v>45734</v>
      </c>
      <c r="J28" s="75">
        <v>0.65208333333333335</v>
      </c>
      <c r="K28" s="56" t="s">
        <v>211</v>
      </c>
      <c r="L28" s="42">
        <f t="shared" si="0"/>
        <v>0.71704750437169462</v>
      </c>
    </row>
    <row r="29" spans="1:44">
      <c r="A29" s="39">
        <v>6</v>
      </c>
      <c r="B29" s="69">
        <v>0.21</v>
      </c>
      <c r="C29" s="69">
        <v>3.38</v>
      </c>
      <c r="D29" s="70">
        <v>8.0000000000000002E-3</v>
      </c>
      <c r="E29" s="71">
        <v>3.3719999999999999</v>
      </c>
      <c r="F29" s="76">
        <v>6.8351149983802717</v>
      </c>
      <c r="G29" s="73">
        <v>21.5</v>
      </c>
      <c r="H29" s="56" t="s">
        <v>212</v>
      </c>
      <c r="I29" s="74">
        <v>45734</v>
      </c>
      <c r="J29" s="75">
        <v>0.65208333333333335</v>
      </c>
      <c r="K29" s="56" t="s">
        <v>211</v>
      </c>
      <c r="L29" s="42">
        <f t="shared" si="0"/>
        <v>0.4714532521098298</v>
      </c>
    </row>
    <row r="30" spans="1:44">
      <c r="A30" s="39">
        <v>7</v>
      </c>
      <c r="B30" s="69">
        <v>0.22</v>
      </c>
      <c r="C30" s="69">
        <v>3.85</v>
      </c>
      <c r="D30" s="70">
        <v>8.9999999999999993E-3</v>
      </c>
      <c r="E30" s="71">
        <v>3.8439999999999999</v>
      </c>
      <c r="F30" s="72" t="s">
        <v>30</v>
      </c>
      <c r="G30" s="73">
        <v>22.5</v>
      </c>
      <c r="H30" s="56" t="s">
        <v>213</v>
      </c>
      <c r="I30" s="74">
        <v>45734</v>
      </c>
      <c r="J30" s="75">
        <v>0.65208333333333335</v>
      </c>
      <c r="K30" s="56" t="s">
        <v>211</v>
      </c>
      <c r="L30" s="42">
        <f t="shared" si="0"/>
        <v>0.49338131034749627</v>
      </c>
    </row>
    <row r="31" spans="1:44">
      <c r="A31" s="39">
        <v>8</v>
      </c>
      <c r="B31" s="69">
        <v>0.51</v>
      </c>
      <c r="C31" s="69">
        <v>7.67</v>
      </c>
      <c r="D31" s="70">
        <v>1.0999999999999999E-2</v>
      </c>
      <c r="E31" s="71">
        <v>7.6619999999999999</v>
      </c>
      <c r="F31" s="72" t="s">
        <v>30</v>
      </c>
      <c r="G31" s="73">
        <v>24.4</v>
      </c>
      <c r="H31" s="56" t="s">
        <v>214</v>
      </c>
      <c r="I31" s="74">
        <v>45734</v>
      </c>
      <c r="J31" s="75">
        <v>0.65208333333333335</v>
      </c>
      <c r="K31" s="56" t="s">
        <v>211</v>
      </c>
      <c r="L31" s="42">
        <f t="shared" si="0"/>
        <v>0.53504462099906258</v>
      </c>
    </row>
    <row r="32" spans="1:44">
      <c r="A32" s="39">
        <v>9</v>
      </c>
      <c r="B32" s="69">
        <v>0.65</v>
      </c>
      <c r="C32" s="69">
        <v>9.35</v>
      </c>
      <c r="D32" s="70">
        <v>8.9999999999999993E-3</v>
      </c>
      <c r="E32" s="71">
        <v>9.3369999999999997</v>
      </c>
      <c r="F32" s="72" t="s">
        <v>30</v>
      </c>
      <c r="G32" s="73">
        <v>17.8</v>
      </c>
      <c r="H32" s="56" t="s">
        <v>215</v>
      </c>
      <c r="I32" s="74">
        <v>45734</v>
      </c>
      <c r="J32" s="75">
        <v>0.65208333333333335</v>
      </c>
      <c r="K32" s="56" t="s">
        <v>211</v>
      </c>
      <c r="L32" s="42">
        <f t="shared" si="0"/>
        <v>0.39031943663046376</v>
      </c>
    </row>
    <row r="33" spans="1:32">
      <c r="A33" s="39">
        <v>10</v>
      </c>
      <c r="B33" s="69">
        <v>0.74</v>
      </c>
      <c r="C33" s="69">
        <v>10.75</v>
      </c>
      <c r="D33" s="70">
        <v>8.9999999999999993E-3</v>
      </c>
      <c r="E33" s="71">
        <v>10.746</v>
      </c>
      <c r="F33" s="72" t="s">
        <v>30</v>
      </c>
      <c r="G33" s="73">
        <v>17.5</v>
      </c>
      <c r="H33" s="56" t="s">
        <v>216</v>
      </c>
      <c r="I33" s="74">
        <v>45734</v>
      </c>
      <c r="J33" s="75">
        <v>0.65208333333333335</v>
      </c>
      <c r="K33" s="56" t="s">
        <v>211</v>
      </c>
      <c r="L33" s="42">
        <f t="shared" si="0"/>
        <v>0.38374101915916375</v>
      </c>
    </row>
    <row r="34" spans="1:32">
      <c r="A34" s="39">
        <v>11</v>
      </c>
      <c r="B34" s="69">
        <v>0.97</v>
      </c>
      <c r="C34" s="69">
        <v>13.73</v>
      </c>
      <c r="D34" s="70">
        <v>1.2E-2</v>
      </c>
      <c r="E34" s="71">
        <v>13.718999999999999</v>
      </c>
      <c r="F34" s="76">
        <v>26.55071508057533</v>
      </c>
      <c r="G34" s="73">
        <v>28.7</v>
      </c>
      <c r="H34" s="56" t="s">
        <v>217</v>
      </c>
      <c r="I34" s="74">
        <v>45734</v>
      </c>
      <c r="J34" s="75">
        <v>0.65208333333333335</v>
      </c>
      <c r="K34" s="56" t="s">
        <v>211</v>
      </c>
      <c r="L34" s="42">
        <f>G34/(PI()*(7.62/2)^2*2)</f>
        <v>0.31466763571051432</v>
      </c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</row>
    <row r="35" spans="1:32">
      <c r="A35" s="39">
        <v>12</v>
      </c>
      <c r="B35" s="69">
        <v>0.54</v>
      </c>
      <c r="C35" s="69">
        <v>7.13</v>
      </c>
      <c r="D35" s="70">
        <v>8.0000000000000002E-3</v>
      </c>
      <c r="E35" s="71">
        <v>7.125</v>
      </c>
      <c r="F35" s="72" t="s">
        <v>30</v>
      </c>
      <c r="G35" s="73">
        <v>47.3</v>
      </c>
      <c r="H35" s="56" t="s">
        <v>218</v>
      </c>
      <c r="I35" s="74">
        <v>45734</v>
      </c>
      <c r="J35" s="75">
        <v>0.65208333333333335</v>
      </c>
      <c r="K35" s="56" t="s">
        <v>219</v>
      </c>
      <c r="L35" s="42">
        <f t="shared" ref="L35:L44" si="1">G35/(PI()*(7.62/2)^2*2)</f>
        <v>0.51859857732081271</v>
      </c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</row>
    <row r="36" spans="1:32">
      <c r="A36" s="39">
        <v>13</v>
      </c>
      <c r="B36" s="69">
        <v>0.28999999999999998</v>
      </c>
      <c r="C36" s="69">
        <v>3.78</v>
      </c>
      <c r="D36" s="70">
        <v>6.0000000000000001E-3</v>
      </c>
      <c r="E36" s="71">
        <v>3.7789999999999999</v>
      </c>
      <c r="F36" s="72" t="s">
        <v>30</v>
      </c>
      <c r="G36" s="73">
        <v>73.8</v>
      </c>
      <c r="H36" s="56" t="s">
        <v>220</v>
      </c>
      <c r="I36" s="74">
        <v>45734</v>
      </c>
      <c r="J36" s="75">
        <v>0.65208333333333335</v>
      </c>
      <c r="K36" s="56" t="s">
        <v>219</v>
      </c>
      <c r="L36" s="42">
        <f t="shared" si="1"/>
        <v>0.80914534896989387</v>
      </c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</row>
    <row r="37" spans="1:32">
      <c r="A37" s="39">
        <v>14</v>
      </c>
      <c r="B37" s="69">
        <v>0.23</v>
      </c>
      <c r="C37" s="69">
        <v>3.17</v>
      </c>
      <c r="D37" s="70">
        <v>6.0000000000000001E-3</v>
      </c>
      <c r="E37" s="71">
        <v>3.169</v>
      </c>
      <c r="F37" s="72" t="s">
        <v>30</v>
      </c>
      <c r="G37" s="73">
        <v>78.900000000000006</v>
      </c>
      <c r="H37" s="56" t="s">
        <v>221</v>
      </c>
      <c r="I37" s="74">
        <v>45734</v>
      </c>
      <c r="J37" s="75">
        <v>0.65208333333333335</v>
      </c>
      <c r="K37" s="56" t="s">
        <v>219</v>
      </c>
      <c r="L37" s="42">
        <f t="shared" si="1"/>
        <v>0.86506189747594353</v>
      </c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</row>
    <row r="38" spans="1:32">
      <c r="A38" s="39">
        <v>15</v>
      </c>
      <c r="B38" s="69">
        <v>0.31</v>
      </c>
      <c r="C38" s="69">
        <v>4.21</v>
      </c>
      <c r="D38" s="70">
        <v>5.0000000000000001E-3</v>
      </c>
      <c r="E38" s="71">
        <v>4.2060000000000004</v>
      </c>
      <c r="F38" s="72" t="s">
        <v>30</v>
      </c>
      <c r="G38" s="73">
        <v>72.400000000000006</v>
      </c>
      <c r="H38" s="56" t="s">
        <v>222</v>
      </c>
      <c r="I38" s="74">
        <v>45734</v>
      </c>
      <c r="J38" s="75">
        <v>0.65208333333333335</v>
      </c>
      <c r="K38" s="56" t="s">
        <v>219</v>
      </c>
      <c r="L38" s="42">
        <f t="shared" si="1"/>
        <v>0.79379570820352741</v>
      </c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</row>
    <row r="39" spans="1:32">
      <c r="A39" s="39">
        <v>16</v>
      </c>
      <c r="B39" s="69">
        <v>0.28999999999999998</v>
      </c>
      <c r="C39" s="69">
        <v>4.2</v>
      </c>
      <c r="D39" s="70">
        <v>5.0000000000000001E-3</v>
      </c>
      <c r="E39" s="71">
        <v>4.1929999999999996</v>
      </c>
      <c r="F39" s="76">
        <v>7.5524163266963624</v>
      </c>
      <c r="G39" s="73">
        <v>69.400000000000006</v>
      </c>
      <c r="H39" s="56" t="s">
        <v>223</v>
      </c>
      <c r="I39" s="74">
        <v>45734</v>
      </c>
      <c r="J39" s="75">
        <v>0.65208333333333335</v>
      </c>
      <c r="K39" s="56" t="s">
        <v>219</v>
      </c>
      <c r="L39" s="42">
        <f t="shared" si="1"/>
        <v>0.76090362084702767</v>
      </c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</row>
    <row r="40" spans="1:32">
      <c r="A40" s="39">
        <v>17</v>
      </c>
      <c r="B40" s="69">
        <v>0.34</v>
      </c>
      <c r="C40" s="69">
        <v>4.5599999999999996</v>
      </c>
      <c r="D40" s="70">
        <v>6.0000000000000001E-3</v>
      </c>
      <c r="E40" s="71">
        <v>4.5579999999999998</v>
      </c>
      <c r="F40" s="72" t="s">
        <v>30</v>
      </c>
      <c r="G40" s="73">
        <v>65.2</v>
      </c>
      <c r="H40" s="56" t="s">
        <v>224</v>
      </c>
      <c r="I40" s="74">
        <v>45734</v>
      </c>
      <c r="J40" s="75">
        <v>0.65208333333333335</v>
      </c>
      <c r="K40" s="56"/>
      <c r="L40" s="42">
        <f t="shared" si="1"/>
        <v>0.71485469854792794</v>
      </c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</row>
    <row r="41" spans="1:32">
      <c r="A41" s="39">
        <v>18</v>
      </c>
      <c r="B41" s="69">
        <v>0.25</v>
      </c>
      <c r="C41" s="69">
        <v>3.07</v>
      </c>
      <c r="D41" s="70">
        <v>6.0000000000000001E-3</v>
      </c>
      <c r="E41" s="71">
        <v>3.0640000000000001</v>
      </c>
      <c r="F41" s="72" t="s">
        <v>30</v>
      </c>
      <c r="G41" s="73">
        <v>98.4</v>
      </c>
      <c r="H41" s="56" t="s">
        <v>225</v>
      </c>
      <c r="I41" s="74">
        <v>45734</v>
      </c>
      <c r="J41" s="75">
        <v>0.65208333333333335</v>
      </c>
      <c r="K41" s="56"/>
      <c r="L41" s="42">
        <f t="shared" si="1"/>
        <v>1.0788604652931919</v>
      </c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</row>
    <row r="42" spans="1:32">
      <c r="A42" s="39">
        <v>19</v>
      </c>
      <c r="B42" s="69">
        <v>0.32</v>
      </c>
      <c r="C42" s="69">
        <v>4.1500000000000004</v>
      </c>
      <c r="D42" s="70">
        <v>8.0000000000000002E-3</v>
      </c>
      <c r="E42" s="71">
        <v>4.1399999999999997</v>
      </c>
      <c r="F42" s="72" t="s">
        <v>30</v>
      </c>
      <c r="G42" s="73">
        <v>72.8</v>
      </c>
      <c r="H42" s="56" t="s">
        <v>226</v>
      </c>
      <c r="I42" s="74">
        <v>45734</v>
      </c>
      <c r="J42" s="75">
        <v>0.65208333333333335</v>
      </c>
      <c r="K42" s="56"/>
      <c r="L42" s="42">
        <f t="shared" si="1"/>
        <v>0.79818131985106067</v>
      </c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</row>
    <row r="43" spans="1:32">
      <c r="A43" s="39">
        <v>20</v>
      </c>
      <c r="B43" s="69">
        <v>0.45</v>
      </c>
      <c r="C43" s="69">
        <v>5.5</v>
      </c>
      <c r="D43" s="70">
        <v>1.6E-2</v>
      </c>
      <c r="E43" s="71">
        <v>5.48</v>
      </c>
      <c r="F43" s="72" t="s">
        <v>30</v>
      </c>
      <c r="G43" s="73">
        <v>62.8</v>
      </c>
      <c r="H43" s="56" t="s">
        <v>227</v>
      </c>
      <c r="I43" s="74">
        <v>45734</v>
      </c>
      <c r="J43" s="75">
        <v>0.65208333333333335</v>
      </c>
      <c r="K43" s="56"/>
      <c r="L43" s="42">
        <f t="shared" si="1"/>
        <v>0.68854102866272815</v>
      </c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</row>
    <row r="44" spans="1:32">
      <c r="A44" s="39">
        <v>21</v>
      </c>
      <c r="B44" s="69">
        <v>0.33</v>
      </c>
      <c r="C44" s="69">
        <v>3.94</v>
      </c>
      <c r="D44" s="70">
        <v>6.0000000000000001E-3</v>
      </c>
      <c r="E44" s="71">
        <v>3.93</v>
      </c>
      <c r="F44" s="76">
        <v>7.8085028627116371</v>
      </c>
      <c r="G44" s="73">
        <v>49.3</v>
      </c>
      <c r="H44" s="56" t="s">
        <v>228</v>
      </c>
      <c r="I44" s="74">
        <v>45734</v>
      </c>
      <c r="J44" s="75">
        <v>0.65208333333333335</v>
      </c>
      <c r="K44" s="56" t="s">
        <v>229</v>
      </c>
      <c r="L44" s="42">
        <f t="shared" si="1"/>
        <v>0.54052663555847924</v>
      </c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</row>
    <row r="45" spans="1:32">
      <c r="A45" s="39">
        <v>22</v>
      </c>
      <c r="B45" s="69">
        <v>0.15</v>
      </c>
      <c r="C45" s="69">
        <v>2.65</v>
      </c>
      <c r="D45" s="70">
        <v>5.0000000000000001E-3</v>
      </c>
      <c r="E45" s="71">
        <v>2.6469999999999998</v>
      </c>
      <c r="F45" s="72" t="s">
        <v>30</v>
      </c>
      <c r="G45" s="73">
        <v>29.6</v>
      </c>
      <c r="H45" s="56" t="s">
        <v>230</v>
      </c>
      <c r="I45" s="74">
        <v>45735</v>
      </c>
      <c r="J45" s="75">
        <v>0.55555555555555558</v>
      </c>
      <c r="K45" s="56" t="s">
        <v>219</v>
      </c>
      <c r="L45" s="42">
        <f t="shared" si="0"/>
        <v>0.64907052383492847</v>
      </c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</row>
    <row r="46" spans="1:32">
      <c r="A46" s="39">
        <v>23</v>
      </c>
      <c r="B46" s="69">
        <v>0.12</v>
      </c>
      <c r="C46" s="69">
        <v>1.64</v>
      </c>
      <c r="D46" s="70">
        <v>4.0000000000000001E-3</v>
      </c>
      <c r="E46" s="71">
        <v>1.6339999999999999</v>
      </c>
      <c r="F46" s="72" t="s">
        <v>30</v>
      </c>
      <c r="G46" s="73">
        <v>48.1</v>
      </c>
      <c r="H46" s="56" t="s">
        <v>231</v>
      </c>
      <c r="I46" s="74">
        <v>45735</v>
      </c>
      <c r="J46" s="75">
        <v>0.55555555555555558</v>
      </c>
      <c r="K46" s="56" t="s">
        <v>219</v>
      </c>
      <c r="L46" s="42">
        <f t="shared" si="0"/>
        <v>1.0547396012317587</v>
      </c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</row>
    <row r="47" spans="1:32">
      <c r="A47" s="39">
        <v>24</v>
      </c>
      <c r="B47" s="69">
        <v>0.1</v>
      </c>
      <c r="C47" s="69">
        <v>1.03</v>
      </c>
      <c r="D47" s="70">
        <v>4.0000000000000001E-3</v>
      </c>
      <c r="E47" s="71">
        <v>1.026</v>
      </c>
      <c r="F47" s="72" t="s">
        <v>30</v>
      </c>
      <c r="G47" s="73">
        <v>49.8</v>
      </c>
      <c r="H47" s="56" t="s">
        <v>232</v>
      </c>
      <c r="I47" s="74">
        <v>45735</v>
      </c>
      <c r="J47" s="75">
        <v>0.55555555555555558</v>
      </c>
      <c r="K47" s="56" t="s">
        <v>219</v>
      </c>
      <c r="L47" s="42">
        <f t="shared" si="0"/>
        <v>1.0920173002357918</v>
      </c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</row>
    <row r="48" spans="1:32">
      <c r="A48" s="39">
        <v>25</v>
      </c>
      <c r="B48" s="69">
        <v>0.1</v>
      </c>
      <c r="C48" s="69">
        <v>1.62</v>
      </c>
      <c r="D48" s="70">
        <v>4.0000000000000001E-3</v>
      </c>
      <c r="E48" s="71">
        <v>1.6140000000000001</v>
      </c>
      <c r="F48" s="76">
        <v>2.8618579938818023</v>
      </c>
      <c r="G48" s="73">
        <v>114.8</v>
      </c>
      <c r="H48" s="56" t="s">
        <v>233</v>
      </c>
      <c r="I48" s="74">
        <v>45735</v>
      </c>
      <c r="J48" s="75">
        <v>0.55555555555555558</v>
      </c>
      <c r="K48" s="56" t="s">
        <v>219</v>
      </c>
      <c r="L48" s="42">
        <f t="shared" si="0"/>
        <v>2.5173410856841145</v>
      </c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</row>
    <row r="49" spans="1:32">
      <c r="A49" s="39">
        <v>26</v>
      </c>
      <c r="B49" s="69">
        <v>0.08</v>
      </c>
      <c r="C49" s="69">
        <v>1.04</v>
      </c>
      <c r="D49" s="70">
        <v>4.0000000000000001E-3</v>
      </c>
      <c r="E49" s="71">
        <v>1.032</v>
      </c>
      <c r="F49" s="72" t="s">
        <v>30</v>
      </c>
      <c r="G49" s="73">
        <v>102</v>
      </c>
      <c r="H49" s="56" t="s">
        <v>234</v>
      </c>
      <c r="I49" s="74">
        <v>45735</v>
      </c>
      <c r="J49" s="75">
        <v>0.55555555555555558</v>
      </c>
      <c r="K49" s="56" t="s">
        <v>219</v>
      </c>
      <c r="L49" s="42">
        <f t="shared" si="0"/>
        <v>2.2366619402419832</v>
      </c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</row>
    <row r="50" spans="1:32">
      <c r="A50" s="39">
        <v>27</v>
      </c>
      <c r="B50" s="69">
        <v>0.1</v>
      </c>
      <c r="C50" s="69">
        <v>1.44</v>
      </c>
      <c r="D50" s="70">
        <v>4.0000000000000001E-3</v>
      </c>
      <c r="E50" s="71">
        <v>1.4370000000000001</v>
      </c>
      <c r="F50" s="72" t="s">
        <v>30</v>
      </c>
      <c r="G50" s="73">
        <v>110.1</v>
      </c>
      <c r="H50" s="56" t="s">
        <v>235</v>
      </c>
      <c r="I50" s="74">
        <v>45735</v>
      </c>
      <c r="J50" s="75">
        <v>0.55555555555555558</v>
      </c>
      <c r="K50" s="56" t="s">
        <v>219</v>
      </c>
      <c r="L50" s="42">
        <f t="shared" si="0"/>
        <v>2.4142792119670817</v>
      </c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</row>
    <row r="51" spans="1:32">
      <c r="A51" s="39">
        <v>28</v>
      </c>
      <c r="B51" s="69">
        <v>0.18</v>
      </c>
      <c r="C51" s="69">
        <v>3.41</v>
      </c>
      <c r="D51" s="70">
        <v>7.0000000000000001E-3</v>
      </c>
      <c r="E51" s="71">
        <v>3.407</v>
      </c>
      <c r="F51" s="76">
        <v>5.5219288543907892</v>
      </c>
      <c r="G51" s="73">
        <v>88.5</v>
      </c>
      <c r="H51" s="56" t="s">
        <v>236</v>
      </c>
      <c r="I51" s="74">
        <v>45735</v>
      </c>
      <c r="J51" s="75">
        <v>0.55555555555555558</v>
      </c>
      <c r="K51" s="56" t="s">
        <v>219</v>
      </c>
      <c r="L51" s="42">
        <f t="shared" si="0"/>
        <v>1.9406331540334854</v>
      </c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</row>
    <row r="52" spans="1:32">
      <c r="A52" s="39">
        <v>29</v>
      </c>
      <c r="B52" s="69">
        <v>0.25</v>
      </c>
      <c r="C52" s="69">
        <v>4.47</v>
      </c>
      <c r="D52" s="70">
        <v>8.0000000000000002E-3</v>
      </c>
      <c r="E52" s="71">
        <v>4.46</v>
      </c>
      <c r="F52" s="72" t="s">
        <v>30</v>
      </c>
      <c r="G52" s="73">
        <v>59.4</v>
      </c>
      <c r="H52" s="56" t="s">
        <v>237</v>
      </c>
      <c r="I52" s="74">
        <v>45735</v>
      </c>
      <c r="J52" s="75">
        <v>0.55555555555555558</v>
      </c>
      <c r="K52" s="56" t="s">
        <v>219</v>
      </c>
      <c r="L52" s="42">
        <f t="shared" si="0"/>
        <v>1.3025266593173901</v>
      </c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</row>
    <row r="53" spans="1:32">
      <c r="A53" s="39">
        <v>30</v>
      </c>
      <c r="B53" s="69">
        <v>0.41</v>
      </c>
      <c r="C53" s="69">
        <v>8.44</v>
      </c>
      <c r="D53" s="70">
        <v>8.0000000000000002E-3</v>
      </c>
      <c r="E53" s="71">
        <v>8.4290000000000003</v>
      </c>
      <c r="F53" s="72" t="s">
        <v>30</v>
      </c>
      <c r="G53" s="73">
        <v>59.5</v>
      </c>
      <c r="H53" s="56" t="s">
        <v>238</v>
      </c>
      <c r="I53" s="74">
        <v>45735</v>
      </c>
      <c r="J53" s="75">
        <v>0.55555555555555558</v>
      </c>
      <c r="K53" s="56" t="s">
        <v>219</v>
      </c>
      <c r="L53" s="42">
        <f t="shared" si="0"/>
        <v>1.3047194651411569</v>
      </c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</row>
    <row r="54" spans="1:32">
      <c r="A54" s="39">
        <v>31</v>
      </c>
      <c r="B54" s="69">
        <v>0.46</v>
      </c>
      <c r="C54" s="69">
        <v>8.23</v>
      </c>
      <c r="D54" s="70">
        <v>6.0000000000000001E-3</v>
      </c>
      <c r="E54" s="71">
        <v>8.2210000000000001</v>
      </c>
      <c r="F54" s="72" t="s">
        <v>30</v>
      </c>
      <c r="G54" s="73">
        <v>39.9</v>
      </c>
      <c r="H54" s="56" t="s">
        <v>239</v>
      </c>
      <c r="I54" s="74">
        <v>45735</v>
      </c>
      <c r="J54" s="75">
        <v>0.55555555555555558</v>
      </c>
      <c r="K54" s="56" t="s">
        <v>219</v>
      </c>
      <c r="L54" s="42">
        <f t="shared" si="0"/>
        <v>0.87492952368289334</v>
      </c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</row>
    <row r="55" spans="1:32">
      <c r="A55" s="39">
        <v>32</v>
      </c>
      <c r="B55" s="69">
        <v>0.6</v>
      </c>
      <c r="C55" s="69">
        <v>11.63</v>
      </c>
      <c r="D55" s="70">
        <v>6.0000000000000001E-3</v>
      </c>
      <c r="E55" s="71">
        <v>11.622999999999999</v>
      </c>
      <c r="F55" s="72" t="s">
        <v>30</v>
      </c>
      <c r="G55" s="73">
        <v>30.6</v>
      </c>
      <c r="H55" s="56" t="s">
        <v>240</v>
      </c>
      <c r="I55" s="74">
        <v>45735</v>
      </c>
      <c r="J55" s="75">
        <v>0.55555555555555558</v>
      </c>
      <c r="K55" s="56" t="s">
        <v>219</v>
      </c>
      <c r="L55" s="42">
        <f t="shared" si="0"/>
        <v>0.670998582072595</v>
      </c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</row>
    <row r="56" spans="1:32">
      <c r="A56" s="39">
        <v>33</v>
      </c>
      <c r="B56" s="69">
        <v>0.35</v>
      </c>
      <c r="C56" s="69">
        <v>5.84</v>
      </c>
      <c r="D56" s="70">
        <v>6.0000000000000001E-3</v>
      </c>
      <c r="E56" s="71">
        <v>5.8380000000000001</v>
      </c>
      <c r="F56" s="76">
        <v>10.986769013230997</v>
      </c>
      <c r="G56" s="73">
        <v>51.7</v>
      </c>
      <c r="H56" s="56" t="s">
        <v>241</v>
      </c>
      <c r="I56" s="74">
        <v>45735</v>
      </c>
      <c r="J56" s="75">
        <v>0.55555555555555558</v>
      </c>
      <c r="K56" s="56" t="s">
        <v>219</v>
      </c>
      <c r="L56" s="42">
        <f t="shared" si="0"/>
        <v>1.1336806108873583</v>
      </c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</row>
    <row r="57" spans="1:32">
      <c r="A57" s="39">
        <v>34</v>
      </c>
      <c r="B57" s="69">
        <v>0.3</v>
      </c>
      <c r="C57" s="69">
        <v>5.09</v>
      </c>
      <c r="D57" s="70">
        <v>6.0000000000000001E-3</v>
      </c>
      <c r="E57" s="71">
        <v>5.0789999999999997</v>
      </c>
      <c r="F57" s="72" t="s">
        <v>30</v>
      </c>
      <c r="G57" s="73">
        <v>49.9</v>
      </c>
      <c r="H57" s="56" t="s">
        <v>242</v>
      </c>
      <c r="I57" s="74">
        <v>45735</v>
      </c>
      <c r="J57" s="75">
        <v>0.55555555555555558</v>
      </c>
      <c r="K57" s="56" t="s">
        <v>219</v>
      </c>
      <c r="L57" s="42">
        <f t="shared" si="0"/>
        <v>1.0942101060595584</v>
      </c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</row>
    <row r="58" spans="1:32">
      <c r="A58" s="39">
        <v>35</v>
      </c>
      <c r="B58" s="69">
        <v>0.22</v>
      </c>
      <c r="C58" s="69">
        <v>3.82</v>
      </c>
      <c r="D58" s="70">
        <v>4.0000000000000001E-3</v>
      </c>
      <c r="E58" s="71">
        <v>3.819</v>
      </c>
      <c r="F58" s="72" t="s">
        <v>30</v>
      </c>
      <c r="G58" s="73">
        <v>71</v>
      </c>
      <c r="H58" s="56" t="s">
        <v>243</v>
      </c>
      <c r="I58" s="74">
        <v>45735</v>
      </c>
      <c r="J58" s="75">
        <v>0.55555555555555558</v>
      </c>
      <c r="K58" s="56" t="s">
        <v>219</v>
      </c>
      <c r="L58" s="42">
        <f t="shared" si="0"/>
        <v>1.5568921348743217</v>
      </c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</row>
    <row r="59" spans="1:32">
      <c r="A59" s="39">
        <v>36</v>
      </c>
      <c r="B59" s="69">
        <v>0.17</v>
      </c>
      <c r="C59" s="69">
        <v>2.94</v>
      </c>
      <c r="D59" s="70">
        <v>4.0000000000000001E-3</v>
      </c>
      <c r="E59" s="71">
        <v>2.9329999999999998</v>
      </c>
      <c r="F59" s="72" t="s">
        <v>30</v>
      </c>
      <c r="G59" s="73">
        <v>85.1</v>
      </c>
      <c r="H59" s="56" t="s">
        <v>244</v>
      </c>
      <c r="I59" s="74">
        <v>45735</v>
      </c>
      <c r="J59" s="75">
        <v>0.55555555555555558</v>
      </c>
      <c r="K59" s="56" t="s">
        <v>219</v>
      </c>
      <c r="L59" s="42">
        <f t="shared" si="0"/>
        <v>1.8660777560254191</v>
      </c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</row>
    <row r="60" spans="1:32">
      <c r="A60" s="39">
        <v>37</v>
      </c>
      <c r="B60" s="69">
        <v>0.2</v>
      </c>
      <c r="C60" s="69">
        <v>3.44</v>
      </c>
      <c r="D60" s="70">
        <v>4.0000000000000001E-3</v>
      </c>
      <c r="E60" s="71">
        <v>3.4369999999999998</v>
      </c>
      <c r="F60" s="76">
        <v>6.6528950726046192</v>
      </c>
      <c r="G60" s="73">
        <v>84.9</v>
      </c>
      <c r="H60" s="56" t="s">
        <v>245</v>
      </c>
      <c r="I60" s="74">
        <v>45735</v>
      </c>
      <c r="J60" s="75">
        <v>0.55555555555555558</v>
      </c>
      <c r="K60" s="56" t="s">
        <v>219</v>
      </c>
      <c r="L60" s="42">
        <f t="shared" si="0"/>
        <v>1.861692144377886</v>
      </c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</row>
    <row r="61" spans="1:32">
      <c r="A61" s="39">
        <v>38</v>
      </c>
      <c r="B61" s="69">
        <v>0.34</v>
      </c>
      <c r="C61" s="69">
        <v>5.35</v>
      </c>
      <c r="D61" s="70">
        <v>8.0000000000000002E-3</v>
      </c>
      <c r="E61" s="71">
        <v>5.3449999999999998</v>
      </c>
      <c r="F61" s="72" t="s">
        <v>30</v>
      </c>
      <c r="G61" s="73">
        <v>24</v>
      </c>
      <c r="H61" s="56" t="s">
        <v>246</v>
      </c>
      <c r="I61" s="74">
        <v>45735</v>
      </c>
      <c r="J61" s="75">
        <v>0.59444444444444444</v>
      </c>
      <c r="K61" s="56" t="s">
        <v>247</v>
      </c>
      <c r="L61" s="42">
        <f t="shared" si="0"/>
        <v>0.52627339770399606</v>
      </c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</row>
    <row r="62" spans="1:32">
      <c r="A62" s="39">
        <v>39</v>
      </c>
      <c r="B62" s="69">
        <v>0.3</v>
      </c>
      <c r="C62" s="69">
        <v>4.63</v>
      </c>
      <c r="D62" s="70">
        <v>8.9999999999999993E-3</v>
      </c>
      <c r="E62" s="71">
        <v>4.625</v>
      </c>
      <c r="F62" s="72" t="s">
        <v>30</v>
      </c>
      <c r="G62" s="73">
        <v>24.8</v>
      </c>
      <c r="H62" s="56" t="s">
        <v>248</v>
      </c>
      <c r="I62" s="74">
        <v>45735</v>
      </c>
      <c r="J62" s="75">
        <v>0.59444444444444444</v>
      </c>
      <c r="K62" s="56"/>
      <c r="L62" s="42">
        <f t="shared" si="0"/>
        <v>0.54381584429412921</v>
      </c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</row>
    <row r="63" spans="1:32">
      <c r="A63" s="39">
        <v>40</v>
      </c>
      <c r="B63" s="69">
        <v>0.24</v>
      </c>
      <c r="C63" s="69">
        <v>4.29</v>
      </c>
      <c r="D63" s="70">
        <v>8.0000000000000002E-3</v>
      </c>
      <c r="E63" s="71">
        <v>4.28</v>
      </c>
      <c r="F63" s="72" t="s">
        <v>30</v>
      </c>
      <c r="G63" s="73">
        <v>24.9</v>
      </c>
      <c r="H63" s="56" t="s">
        <v>249</v>
      </c>
      <c r="I63" s="74">
        <v>45735</v>
      </c>
      <c r="J63" s="75">
        <v>0.59444444444444444</v>
      </c>
      <c r="K63" s="56"/>
      <c r="L63" s="42">
        <f t="shared" si="0"/>
        <v>0.5460086501178959</v>
      </c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</row>
    <row r="64" spans="1:32">
      <c r="A64" s="39">
        <v>41</v>
      </c>
      <c r="B64" s="69">
        <v>0.25</v>
      </c>
      <c r="C64" s="69">
        <v>4.55</v>
      </c>
      <c r="D64" s="70">
        <v>8.0000000000000002E-3</v>
      </c>
      <c r="E64" s="71">
        <v>4.5439999999999996</v>
      </c>
      <c r="F64" s="72" t="s">
        <v>30</v>
      </c>
      <c r="G64" s="73">
        <v>34.5</v>
      </c>
      <c r="H64" s="56" t="s">
        <v>250</v>
      </c>
      <c r="I64" s="74">
        <v>45735</v>
      </c>
      <c r="J64" s="75">
        <v>0.59444444444444444</v>
      </c>
      <c r="K64" s="56"/>
      <c r="L64" s="42">
        <f t="shared" si="0"/>
        <v>0.7565180091994943</v>
      </c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</row>
    <row r="65" spans="1:32">
      <c r="A65" s="39">
        <v>42</v>
      </c>
      <c r="B65" s="69">
        <v>0.22</v>
      </c>
      <c r="C65" s="69">
        <v>3.89</v>
      </c>
      <c r="D65" s="70">
        <v>8.0000000000000002E-3</v>
      </c>
      <c r="E65" s="71">
        <v>3.8820000000000001</v>
      </c>
      <c r="F65" s="72" t="s">
        <v>30</v>
      </c>
      <c r="G65" s="73">
        <v>30.5</v>
      </c>
      <c r="H65" s="56" t="s">
        <v>251</v>
      </c>
      <c r="I65" s="74">
        <v>45735</v>
      </c>
      <c r="J65" s="75">
        <v>0.59444444444444444</v>
      </c>
      <c r="K65" s="56" t="s">
        <v>252</v>
      </c>
      <c r="L65" s="42">
        <f t="shared" si="0"/>
        <v>0.66880577624882831</v>
      </c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</row>
    <row r="66" spans="1:32">
      <c r="A66" s="39">
        <v>43</v>
      </c>
      <c r="B66" s="69">
        <v>0.27</v>
      </c>
      <c r="C66" s="69">
        <v>4.87</v>
      </c>
      <c r="D66" s="70">
        <v>8.0000000000000002E-3</v>
      </c>
      <c r="E66" s="71">
        <v>4.8600000000000003</v>
      </c>
      <c r="F66" s="76">
        <v>9.1247255874461697</v>
      </c>
      <c r="G66" s="73">
        <v>43.1</v>
      </c>
      <c r="H66" s="56" t="s">
        <v>253</v>
      </c>
      <c r="I66" s="74">
        <v>45735</v>
      </c>
      <c r="J66" s="75">
        <v>0.59444444444444444</v>
      </c>
      <c r="K66" s="56"/>
      <c r="L66" s="42">
        <f t="shared" si="0"/>
        <v>0.94509931004342629</v>
      </c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</row>
    <row r="67" spans="1:32">
      <c r="A67" s="39">
        <v>44</v>
      </c>
      <c r="B67" s="69">
        <v>0.34</v>
      </c>
      <c r="C67" s="69">
        <v>6.09</v>
      </c>
      <c r="D67" s="70">
        <v>8.9999999999999993E-3</v>
      </c>
      <c r="E67" s="71">
        <v>6.085</v>
      </c>
      <c r="F67" s="72" t="s">
        <v>30</v>
      </c>
      <c r="G67" s="73">
        <v>34.6</v>
      </c>
      <c r="H67" s="56" t="s">
        <v>254</v>
      </c>
      <c r="I67" s="74">
        <v>45735</v>
      </c>
      <c r="J67" s="75">
        <v>0.59444444444444444</v>
      </c>
      <c r="K67" s="56" t="s">
        <v>219</v>
      </c>
      <c r="L67" s="42">
        <f t="shared" si="0"/>
        <v>0.75871081502326099</v>
      </c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</row>
    <row r="68" spans="1:32">
      <c r="A68" s="39">
        <v>45</v>
      </c>
      <c r="B68" s="69">
        <v>0.38</v>
      </c>
      <c r="C68" s="69">
        <v>7.44</v>
      </c>
      <c r="D68" s="70">
        <v>8.9999999999999993E-3</v>
      </c>
      <c r="E68" s="71">
        <v>7.4329999999999998</v>
      </c>
      <c r="F68" s="72" t="s">
        <v>30</v>
      </c>
      <c r="G68" s="73">
        <v>22.4</v>
      </c>
      <c r="H68" s="56" t="s">
        <v>255</v>
      </c>
      <c r="I68" s="74">
        <v>45735</v>
      </c>
      <c r="J68" s="75">
        <v>0.59444444444444444</v>
      </c>
      <c r="K68" s="56" t="s">
        <v>256</v>
      </c>
      <c r="L68" s="42">
        <f t="shared" si="0"/>
        <v>0.49118850452372959</v>
      </c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</row>
    <row r="69" spans="1:32">
      <c r="A69" s="39">
        <v>46</v>
      </c>
      <c r="B69" s="69">
        <v>0.26</v>
      </c>
      <c r="C69" s="69">
        <v>4.2300000000000004</v>
      </c>
      <c r="D69" s="70">
        <v>7.0000000000000001E-3</v>
      </c>
      <c r="E69" s="71">
        <v>4.2270000000000003</v>
      </c>
      <c r="F69" s="72" t="s">
        <v>30</v>
      </c>
      <c r="G69" s="73">
        <v>42.3</v>
      </c>
      <c r="H69" s="56" t="s">
        <v>257</v>
      </c>
      <c r="I69" s="74">
        <v>45735</v>
      </c>
      <c r="J69" s="75">
        <v>0.59444444444444444</v>
      </c>
      <c r="K69" s="56" t="s">
        <v>256</v>
      </c>
      <c r="L69" s="42">
        <f t="shared" si="0"/>
        <v>0.92755686345329291</v>
      </c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</row>
    <row r="70" spans="1:32">
      <c r="A70" s="39">
        <v>47</v>
      </c>
      <c r="B70" s="69">
        <v>0.34</v>
      </c>
      <c r="C70" s="69">
        <v>6</v>
      </c>
      <c r="D70" s="70">
        <v>8.9999999999999993E-3</v>
      </c>
      <c r="E70" s="71">
        <v>5.9870000000000001</v>
      </c>
      <c r="F70" s="72" t="s">
        <v>30</v>
      </c>
      <c r="G70" s="73">
        <v>19.8</v>
      </c>
      <c r="H70" s="56" t="s">
        <v>258</v>
      </c>
      <c r="I70" s="74">
        <v>45735</v>
      </c>
      <c r="J70" s="75">
        <v>0.59444444444444444</v>
      </c>
      <c r="K70" s="56" t="s">
        <v>219</v>
      </c>
      <c r="L70" s="42">
        <f t="shared" si="0"/>
        <v>0.43417555310579675</v>
      </c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</row>
    <row r="71" spans="1:32">
      <c r="A71" s="39">
        <v>48</v>
      </c>
      <c r="B71" s="69">
        <v>0.35</v>
      </c>
      <c r="C71" s="69">
        <v>5.81</v>
      </c>
      <c r="D71" s="70">
        <v>8.0000000000000002E-3</v>
      </c>
      <c r="E71" s="71">
        <v>5.8</v>
      </c>
      <c r="F71" s="76">
        <v>10.965792728673701</v>
      </c>
      <c r="G71" s="73">
        <v>57.4</v>
      </c>
      <c r="H71" s="56" t="s">
        <v>259</v>
      </c>
      <c r="I71" s="74">
        <v>45735</v>
      </c>
      <c r="J71" s="75">
        <v>0.59444444444444444</v>
      </c>
      <c r="K71" s="56" t="s">
        <v>219</v>
      </c>
      <c r="L71" s="42">
        <f t="shared" si="0"/>
        <v>1.2586705428420573</v>
      </c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</row>
    <row r="72" spans="1:32">
      <c r="A72" s="39">
        <v>49</v>
      </c>
      <c r="B72" s="69">
        <v>0.42</v>
      </c>
      <c r="C72" s="69">
        <v>7.58</v>
      </c>
      <c r="D72" s="70">
        <v>8.0000000000000002E-3</v>
      </c>
      <c r="E72" s="71">
        <v>7.5709999999999997</v>
      </c>
      <c r="F72" s="72" t="s">
        <v>30</v>
      </c>
      <c r="G72" s="73">
        <v>36.4</v>
      </c>
      <c r="H72" s="56" t="s">
        <v>260</v>
      </c>
      <c r="I72" s="74">
        <v>45735</v>
      </c>
      <c r="J72" s="75">
        <v>0.59444444444444444</v>
      </c>
      <c r="K72" s="56" t="s">
        <v>219</v>
      </c>
      <c r="L72" s="42">
        <f t="shared" si="0"/>
        <v>0.79818131985106067</v>
      </c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</row>
    <row r="73" spans="1:32">
      <c r="A73" s="39">
        <v>50</v>
      </c>
      <c r="B73" s="69">
        <v>0.23</v>
      </c>
      <c r="C73" s="69">
        <v>3.5</v>
      </c>
      <c r="D73" s="70">
        <v>6.0000000000000001E-3</v>
      </c>
      <c r="E73" s="71">
        <v>3.4889999999999999</v>
      </c>
      <c r="F73" s="72" t="s">
        <v>30</v>
      </c>
      <c r="G73" s="73">
        <v>72.900000000000006</v>
      </c>
      <c r="H73" s="56" t="s">
        <v>261</v>
      </c>
      <c r="I73" s="74">
        <v>45735</v>
      </c>
      <c r="J73" s="75">
        <v>0.59444444444444444</v>
      </c>
      <c r="K73" s="56" t="s">
        <v>219</v>
      </c>
      <c r="L73" s="42">
        <f t="shared" si="0"/>
        <v>1.5985554455258881</v>
      </c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</row>
    <row r="74" spans="1:32">
      <c r="A74" s="39">
        <v>51</v>
      </c>
      <c r="B74" s="69">
        <v>0.16</v>
      </c>
      <c r="C74" s="69">
        <v>2.59</v>
      </c>
      <c r="D74" s="70">
        <v>4.0000000000000001E-3</v>
      </c>
      <c r="E74" s="71">
        <v>2.5859999999999999</v>
      </c>
      <c r="F74" s="72" t="s">
        <v>30</v>
      </c>
      <c r="G74" s="73">
        <v>89</v>
      </c>
      <c r="H74" s="56" t="s">
        <v>262</v>
      </c>
      <c r="I74" s="74">
        <v>45735</v>
      </c>
      <c r="J74" s="75">
        <v>0.59444444444444444</v>
      </c>
      <c r="K74" s="56" t="s">
        <v>219</v>
      </c>
      <c r="L74" s="42">
        <f t="shared" si="0"/>
        <v>1.9515971831523187</v>
      </c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</row>
    <row r="75" spans="1:32">
      <c r="A75" s="39">
        <v>52</v>
      </c>
      <c r="B75" s="69">
        <v>0.26</v>
      </c>
      <c r="C75" s="69">
        <v>3.6</v>
      </c>
      <c r="D75" s="70">
        <v>5.0000000000000001E-3</v>
      </c>
      <c r="E75" s="71">
        <v>3.5950000000000002</v>
      </c>
      <c r="F75" s="72" t="s">
        <v>30</v>
      </c>
      <c r="G75" s="73">
        <v>72.5</v>
      </c>
      <c r="H75" s="56" t="s">
        <v>263</v>
      </c>
      <c r="I75" s="74">
        <v>45735</v>
      </c>
      <c r="J75" s="75">
        <v>0.59444444444444444</v>
      </c>
      <c r="K75" s="56" t="s">
        <v>219</v>
      </c>
      <c r="L75" s="42">
        <f t="shared" si="0"/>
        <v>1.5897842222308214</v>
      </c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</row>
    <row r="76" spans="1:32">
      <c r="A76" s="39">
        <v>53</v>
      </c>
      <c r="B76" s="69">
        <v>0.26</v>
      </c>
      <c r="C76" s="69">
        <v>3.85</v>
      </c>
      <c r="D76" s="70">
        <v>6.0000000000000001E-3</v>
      </c>
      <c r="E76" s="71">
        <v>3.84</v>
      </c>
      <c r="F76" s="76">
        <v>7.9129554655870837</v>
      </c>
      <c r="G76" s="73">
        <v>66.099999999999994</v>
      </c>
      <c r="H76" s="56" t="s">
        <v>264</v>
      </c>
      <c r="I76" s="74">
        <v>45735</v>
      </c>
      <c r="J76" s="75">
        <v>0.59444444444444444</v>
      </c>
      <c r="K76" s="56" t="s">
        <v>219</v>
      </c>
      <c r="L76" s="42">
        <f t="shared" si="0"/>
        <v>1.4494446495097557</v>
      </c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</row>
    <row r="77" spans="1:32">
      <c r="A77" s="39">
        <v>54</v>
      </c>
      <c r="B77" s="69">
        <v>0.3</v>
      </c>
      <c r="C77" s="69">
        <v>4.43</v>
      </c>
      <c r="D77" s="70">
        <v>6.0000000000000001E-3</v>
      </c>
      <c r="E77" s="71">
        <v>4.4279999999999999</v>
      </c>
      <c r="F77" s="72" t="s">
        <v>30</v>
      </c>
      <c r="G77" s="73">
        <v>67</v>
      </c>
      <c r="H77" s="56" t="s">
        <v>265</v>
      </c>
      <c r="I77" s="74">
        <v>45735</v>
      </c>
      <c r="J77" s="75">
        <v>0.59444444444444444</v>
      </c>
      <c r="K77" s="56" t="s">
        <v>219</v>
      </c>
      <c r="L77" s="42">
        <f t="shared" si="0"/>
        <v>1.4691799019236556</v>
      </c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</row>
    <row r="78" spans="1:32">
      <c r="A78" s="39">
        <v>55</v>
      </c>
      <c r="B78" s="69">
        <v>0.25</v>
      </c>
      <c r="C78" s="69">
        <v>3.79</v>
      </c>
      <c r="D78" s="70">
        <v>4.0000000000000001E-3</v>
      </c>
      <c r="E78" s="71">
        <v>3.79</v>
      </c>
      <c r="F78" s="72" t="s">
        <v>30</v>
      </c>
      <c r="G78" s="73">
        <v>85.3</v>
      </c>
      <c r="H78" s="56" t="s">
        <v>266</v>
      </c>
      <c r="I78" s="74">
        <v>45735</v>
      </c>
      <c r="J78" s="75">
        <v>0.59444444444444444</v>
      </c>
      <c r="K78" s="56" t="s">
        <v>219</v>
      </c>
      <c r="L78" s="42">
        <f t="shared" si="0"/>
        <v>1.8704633676729525</v>
      </c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</row>
    <row r="79" spans="1:32">
      <c r="A79" s="39">
        <v>56</v>
      </c>
      <c r="B79" s="69">
        <v>0.25</v>
      </c>
      <c r="C79" s="69">
        <v>3.91</v>
      </c>
      <c r="D79" s="70">
        <v>5.0000000000000001E-3</v>
      </c>
      <c r="E79" s="71">
        <v>3.9039999999999999</v>
      </c>
      <c r="F79" s="72" t="s">
        <v>30</v>
      </c>
      <c r="G79" s="73">
        <v>85.9</v>
      </c>
      <c r="H79" s="56" t="s">
        <v>267</v>
      </c>
      <c r="I79" s="74">
        <v>45735</v>
      </c>
      <c r="J79" s="75">
        <v>0.59444444444444444</v>
      </c>
      <c r="K79" s="56" t="s">
        <v>219</v>
      </c>
      <c r="L79" s="42">
        <f t="shared" si="0"/>
        <v>1.8836202026155526</v>
      </c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</row>
    <row r="80" spans="1:32">
      <c r="A80" s="39">
        <v>57</v>
      </c>
      <c r="B80" s="69">
        <v>0.41</v>
      </c>
      <c r="C80" s="69">
        <v>7.28</v>
      </c>
      <c r="D80" s="70">
        <v>5.0000000000000001E-3</v>
      </c>
      <c r="E80" s="71">
        <v>7.2729999999999997</v>
      </c>
      <c r="F80" s="72" t="s">
        <v>30</v>
      </c>
      <c r="G80" s="73">
        <v>58.1</v>
      </c>
      <c r="H80" s="56" t="s">
        <v>268</v>
      </c>
      <c r="I80" s="74">
        <v>45735</v>
      </c>
      <c r="J80" s="75">
        <v>0.59444444444444444</v>
      </c>
      <c r="K80" s="56" t="s">
        <v>219</v>
      </c>
      <c r="L80" s="42">
        <f t="shared" si="0"/>
        <v>1.2740201836084237</v>
      </c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</row>
    <row r="81" spans="1:32">
      <c r="A81" s="39">
        <v>58</v>
      </c>
      <c r="B81" s="69">
        <v>0.31</v>
      </c>
      <c r="C81" s="69">
        <v>4.78</v>
      </c>
      <c r="D81" s="70">
        <v>5.0000000000000001E-3</v>
      </c>
      <c r="E81" s="71">
        <v>4.7750000000000004</v>
      </c>
      <c r="F81" s="76">
        <v>9.355454471610738</v>
      </c>
      <c r="G81" s="73">
        <v>71.2</v>
      </c>
      <c r="H81" s="56" t="s">
        <v>269</v>
      </c>
      <c r="I81" s="74">
        <v>45735</v>
      </c>
      <c r="J81" s="75">
        <v>0.59444444444444444</v>
      </c>
      <c r="K81" s="56" t="s">
        <v>219</v>
      </c>
      <c r="L81" s="42">
        <f t="shared" si="0"/>
        <v>1.561277746521855</v>
      </c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</row>
    <row r="82" spans="1:32">
      <c r="A82" s="39">
        <v>59</v>
      </c>
      <c r="B82" s="69">
        <v>0.26</v>
      </c>
      <c r="C82" s="69">
        <v>3.43</v>
      </c>
      <c r="D82" s="70">
        <v>5.0000000000000001E-3</v>
      </c>
      <c r="E82" s="71">
        <v>3.43</v>
      </c>
      <c r="F82" s="72" t="s">
        <v>30</v>
      </c>
      <c r="G82" s="73">
        <v>89.7</v>
      </c>
      <c r="H82" s="56" t="s">
        <v>270</v>
      </c>
      <c r="I82" s="74">
        <v>45735</v>
      </c>
      <c r="J82" s="75">
        <v>0.59444444444444444</v>
      </c>
      <c r="K82" s="56" t="s">
        <v>219</v>
      </c>
      <c r="L82" s="42">
        <f t="shared" si="0"/>
        <v>1.9669468239186851</v>
      </c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</row>
    <row r="83" spans="1:32">
      <c r="A83" s="39">
        <v>60</v>
      </c>
      <c r="B83" s="69">
        <v>0.32</v>
      </c>
      <c r="C83" s="69">
        <v>3.89</v>
      </c>
      <c r="D83" s="70">
        <v>4.0000000000000001E-3</v>
      </c>
      <c r="E83" s="71">
        <v>3.883</v>
      </c>
      <c r="F83" s="72" t="s">
        <v>30</v>
      </c>
      <c r="G83" s="73">
        <v>69.3</v>
      </c>
      <c r="H83" s="56" t="s">
        <v>271</v>
      </c>
      <c r="I83" s="74">
        <v>45735</v>
      </c>
      <c r="J83" s="75">
        <v>0.59444444444444444</v>
      </c>
      <c r="K83" s="56" t="s">
        <v>219</v>
      </c>
      <c r="L83" s="42">
        <f t="shared" si="0"/>
        <v>1.5196144358702885</v>
      </c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</row>
    <row r="84" spans="1:32">
      <c r="A84" s="39">
        <v>61</v>
      </c>
      <c r="B84" s="69">
        <v>0.37</v>
      </c>
      <c r="C84" s="69">
        <v>4.43</v>
      </c>
      <c r="D84" s="70">
        <v>3.0000000000000001E-3</v>
      </c>
      <c r="E84" s="71">
        <v>4.4249999999999998</v>
      </c>
      <c r="F84" s="72" t="s">
        <v>30</v>
      </c>
      <c r="G84" s="73">
        <v>65.2</v>
      </c>
      <c r="H84" s="56" t="s">
        <v>272</v>
      </c>
      <c r="I84" s="74">
        <v>45735</v>
      </c>
      <c r="J84" s="75">
        <v>0.59444444444444444</v>
      </c>
      <c r="K84" s="56" t="s">
        <v>219</v>
      </c>
      <c r="L84" s="42">
        <f t="shared" si="0"/>
        <v>1.4297093970958559</v>
      </c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</row>
    <row r="85" spans="1:32">
      <c r="A85" s="39">
        <v>62</v>
      </c>
      <c r="B85" s="69">
        <v>0.41</v>
      </c>
      <c r="C85" s="69">
        <v>5.18</v>
      </c>
      <c r="D85" s="70">
        <v>4.0000000000000001E-3</v>
      </c>
      <c r="E85" s="71">
        <v>5.18</v>
      </c>
      <c r="F85" s="72" t="s">
        <v>30</v>
      </c>
      <c r="G85" s="73">
        <v>62</v>
      </c>
      <c r="H85" s="56" t="s">
        <v>273</v>
      </c>
      <c r="I85" s="74">
        <v>45735</v>
      </c>
      <c r="J85" s="75">
        <v>0.59444444444444444</v>
      </c>
      <c r="K85" s="56" t="s">
        <v>219</v>
      </c>
      <c r="L85" s="42">
        <f t="shared" si="0"/>
        <v>1.359539610735323</v>
      </c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</row>
    <row r="86" spans="1:32">
      <c r="A86" s="39">
        <v>63</v>
      </c>
      <c r="B86" s="69">
        <v>0.45</v>
      </c>
      <c r="C86" s="69">
        <v>5.85</v>
      </c>
      <c r="D86" s="70">
        <v>5.0000000000000001E-3</v>
      </c>
      <c r="E86" s="71">
        <v>5.8460000000000001</v>
      </c>
      <c r="F86" s="76">
        <v>11.76601920071443</v>
      </c>
      <c r="G86" s="73">
        <v>49.6</v>
      </c>
      <c r="H86" s="56" t="s">
        <v>274</v>
      </c>
      <c r="I86" s="74">
        <v>45735</v>
      </c>
      <c r="J86" s="75">
        <v>0.59444444444444444</v>
      </c>
      <c r="K86" s="56" t="s">
        <v>219</v>
      </c>
      <c r="L86" s="42">
        <f t="shared" si="0"/>
        <v>1.0876316885882584</v>
      </c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</row>
    <row r="87" spans="1:32">
      <c r="A87" s="39">
        <v>64</v>
      </c>
      <c r="B87" s="69">
        <v>0.24</v>
      </c>
      <c r="C87" s="69">
        <v>3.15</v>
      </c>
      <c r="D87" s="70">
        <v>4.0000000000000001E-3</v>
      </c>
      <c r="E87" s="71">
        <v>3.1440000000000001</v>
      </c>
      <c r="F87" s="72" t="s">
        <v>30</v>
      </c>
      <c r="G87" s="73">
        <v>76.5</v>
      </c>
      <c r="H87" s="56" t="s">
        <v>275</v>
      </c>
      <c r="I87" s="74">
        <v>45735</v>
      </c>
      <c r="J87" s="75">
        <v>0.59444444444444444</v>
      </c>
      <c r="K87" s="56" t="s">
        <v>219</v>
      </c>
      <c r="L87" s="42">
        <f t="shared" si="0"/>
        <v>1.6774964551814873</v>
      </c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</row>
    <row r="88" spans="1:32">
      <c r="A88" s="39">
        <v>65</v>
      </c>
      <c r="B88" s="69">
        <v>0.36</v>
      </c>
      <c r="C88" s="69">
        <v>4.6900000000000004</v>
      </c>
      <c r="D88" s="70">
        <v>4.0000000000000001E-3</v>
      </c>
      <c r="E88" s="71">
        <v>4.6829999999999998</v>
      </c>
      <c r="F88" s="72" t="s">
        <v>30</v>
      </c>
      <c r="G88" s="73">
        <v>62.3</v>
      </c>
      <c r="H88" s="56" t="s">
        <v>276</v>
      </c>
      <c r="I88" s="74">
        <v>45735</v>
      </c>
      <c r="J88" s="75">
        <v>0.59444444444444444</v>
      </c>
      <c r="K88" s="56" t="s">
        <v>219</v>
      </c>
      <c r="L88" s="42">
        <f t="shared" si="0"/>
        <v>1.366118028206623</v>
      </c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</row>
    <row r="89" spans="1:32">
      <c r="A89" s="39">
        <v>66</v>
      </c>
      <c r="B89" s="69">
        <v>0.6</v>
      </c>
      <c r="C89" s="69">
        <v>7.96</v>
      </c>
      <c r="D89" s="70">
        <v>7.0000000000000001E-3</v>
      </c>
      <c r="E89" s="71">
        <v>7.9539999999999997</v>
      </c>
      <c r="F89" s="72" t="s">
        <v>30</v>
      </c>
      <c r="G89" s="73">
        <v>46.9</v>
      </c>
      <c r="H89" s="56" t="s">
        <v>277</v>
      </c>
      <c r="I89" s="74">
        <v>45735</v>
      </c>
      <c r="J89" s="75">
        <v>0.59444444444444444</v>
      </c>
      <c r="K89" s="56" t="s">
        <v>219</v>
      </c>
      <c r="L89" s="42">
        <f t="shared" ref="L89:L152" si="2">G89/(PI()*(7.62/2)^2)</f>
        <v>1.0284259313465589</v>
      </c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</row>
    <row r="90" spans="1:32">
      <c r="A90" s="39">
        <v>67</v>
      </c>
      <c r="B90" s="69">
        <v>0.56999999999999995</v>
      </c>
      <c r="C90" s="69">
        <v>7.25</v>
      </c>
      <c r="D90" s="70">
        <v>5.0000000000000001E-3</v>
      </c>
      <c r="E90" s="71">
        <v>7.2409999999999997</v>
      </c>
      <c r="F90" s="72" t="s">
        <v>30</v>
      </c>
      <c r="G90" s="73">
        <v>44.4</v>
      </c>
      <c r="H90" s="56" t="s">
        <v>278</v>
      </c>
      <c r="I90" s="74">
        <v>45735</v>
      </c>
      <c r="J90" s="75">
        <v>0.59444444444444444</v>
      </c>
      <c r="K90" s="56" t="s">
        <v>219</v>
      </c>
      <c r="L90" s="42">
        <f t="shared" si="2"/>
        <v>0.97360578575239265</v>
      </c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</row>
    <row r="91" spans="1:32">
      <c r="A91" s="39">
        <v>68</v>
      </c>
      <c r="B91" s="69">
        <v>0.59</v>
      </c>
      <c r="C91" s="69">
        <v>7.96</v>
      </c>
      <c r="D91" s="70">
        <v>6.0000000000000001E-3</v>
      </c>
      <c r="E91" s="71">
        <v>7.9539999999999997</v>
      </c>
      <c r="F91" s="76">
        <v>15.578662400787593</v>
      </c>
      <c r="G91" s="73">
        <v>46.8</v>
      </c>
      <c r="H91" s="56" t="s">
        <v>279</v>
      </c>
      <c r="I91" s="74">
        <v>45735</v>
      </c>
      <c r="J91" s="75">
        <v>0.59444444444444444</v>
      </c>
      <c r="K91" s="56" t="s">
        <v>219</v>
      </c>
      <c r="L91" s="42">
        <f t="shared" si="2"/>
        <v>1.0262331255227921</v>
      </c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</row>
    <row r="92" spans="1:32">
      <c r="A92" s="39">
        <v>69</v>
      </c>
      <c r="B92" s="69">
        <v>0.71</v>
      </c>
      <c r="C92" s="69">
        <v>10.24</v>
      </c>
      <c r="D92" s="70">
        <v>5.0000000000000001E-3</v>
      </c>
      <c r="E92" s="71">
        <v>10.238</v>
      </c>
      <c r="F92" s="72" t="s">
        <v>30</v>
      </c>
      <c r="G92" s="73">
        <v>39.4</v>
      </c>
      <c r="H92" s="56" t="s">
        <v>280</v>
      </c>
      <c r="I92" s="74">
        <v>45735</v>
      </c>
      <c r="J92" s="75">
        <v>0.59444444444444444</v>
      </c>
      <c r="K92" s="56" t="s">
        <v>219</v>
      </c>
      <c r="L92" s="42">
        <f t="shared" si="2"/>
        <v>0.86396549456406013</v>
      </c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</row>
    <row r="93" spans="1:32">
      <c r="A93" s="39">
        <v>70</v>
      </c>
      <c r="B93" s="69">
        <v>0.73</v>
      </c>
      <c r="C93" s="69">
        <v>10.74</v>
      </c>
      <c r="D93" s="70">
        <v>5.0000000000000001E-3</v>
      </c>
      <c r="E93" s="71">
        <v>10.739000000000001</v>
      </c>
      <c r="F93" s="72" t="s">
        <v>30</v>
      </c>
      <c r="G93" s="73">
        <v>38</v>
      </c>
      <c r="H93" s="56" t="s">
        <v>281</v>
      </c>
      <c r="I93" s="74">
        <v>45735</v>
      </c>
      <c r="J93" s="75">
        <v>0.59444444444444444</v>
      </c>
      <c r="K93" s="56" t="s">
        <v>219</v>
      </c>
      <c r="L93" s="42">
        <f t="shared" si="2"/>
        <v>0.83326621303132709</v>
      </c>
    </row>
    <row r="94" spans="1:32">
      <c r="A94" s="39">
        <v>71</v>
      </c>
      <c r="B94" s="69">
        <v>0.54</v>
      </c>
      <c r="C94" s="69">
        <v>8.11</v>
      </c>
      <c r="D94" s="70">
        <v>4.0000000000000001E-3</v>
      </c>
      <c r="E94" s="71">
        <v>8.1039999999999992</v>
      </c>
      <c r="F94" s="72" t="s">
        <v>30</v>
      </c>
      <c r="G94" s="73">
        <v>48.2</v>
      </c>
      <c r="H94" s="56" t="s">
        <v>282</v>
      </c>
      <c r="I94" s="74">
        <v>45735</v>
      </c>
      <c r="J94" s="75">
        <v>0.59444444444444444</v>
      </c>
      <c r="K94" s="56" t="s">
        <v>219</v>
      </c>
      <c r="L94" s="42">
        <f t="shared" si="2"/>
        <v>1.0569324070555255</v>
      </c>
    </row>
    <row r="95" spans="1:32">
      <c r="A95" s="39">
        <v>72</v>
      </c>
      <c r="B95" s="69">
        <v>0.4</v>
      </c>
      <c r="C95" s="69">
        <v>5.46</v>
      </c>
      <c r="D95" s="70">
        <v>3.0000000000000001E-3</v>
      </c>
      <c r="E95" s="71">
        <v>5.46</v>
      </c>
      <c r="F95" s="72" t="s">
        <v>30</v>
      </c>
      <c r="G95" s="73">
        <v>59.7</v>
      </c>
      <c r="H95" s="56" t="s">
        <v>283</v>
      </c>
      <c r="I95" s="74">
        <v>45735</v>
      </c>
      <c r="J95" s="75">
        <v>0.59444444444444444</v>
      </c>
      <c r="K95" s="56" t="s">
        <v>219</v>
      </c>
      <c r="L95" s="42">
        <f t="shared" si="2"/>
        <v>1.3091050767886903</v>
      </c>
    </row>
    <row r="96" spans="1:32">
      <c r="A96" s="39">
        <v>73</v>
      </c>
      <c r="B96" s="69">
        <v>0.48</v>
      </c>
      <c r="C96" s="69">
        <v>6.58</v>
      </c>
      <c r="D96" s="70">
        <v>5.0000000000000001E-3</v>
      </c>
      <c r="E96" s="71">
        <v>6.5750000000000002</v>
      </c>
      <c r="F96" s="76">
        <v>12.597508678782951</v>
      </c>
      <c r="G96" s="73">
        <v>43.1</v>
      </c>
      <c r="H96" s="56" t="s">
        <v>284</v>
      </c>
      <c r="I96" s="74">
        <v>45735</v>
      </c>
      <c r="J96" s="75">
        <v>0.59444444444444444</v>
      </c>
      <c r="K96" s="56" t="s">
        <v>219</v>
      </c>
      <c r="L96" s="42">
        <f t="shared" si="2"/>
        <v>0.94509931004342629</v>
      </c>
    </row>
    <row r="97" spans="1:12">
      <c r="A97" s="39">
        <v>74</v>
      </c>
      <c r="B97" s="69">
        <v>0.26</v>
      </c>
      <c r="C97" s="69">
        <v>4.88</v>
      </c>
      <c r="D97" s="70">
        <v>2.1000000000000001E-2</v>
      </c>
      <c r="E97" s="71">
        <v>4.8570000000000002</v>
      </c>
      <c r="F97" s="72" t="s">
        <v>30</v>
      </c>
      <c r="G97" s="73">
        <v>22</v>
      </c>
      <c r="H97" s="56" t="s">
        <v>285</v>
      </c>
      <c r="I97" s="74">
        <v>45734</v>
      </c>
      <c r="J97" s="75">
        <v>0.5625</v>
      </c>
      <c r="K97" s="56"/>
      <c r="L97" s="42">
        <f t="shared" si="2"/>
        <v>0.48241728122866301</v>
      </c>
    </row>
    <row r="98" spans="1:12">
      <c r="A98" s="39">
        <v>75</v>
      </c>
      <c r="B98" s="69">
        <v>0.22</v>
      </c>
      <c r="C98" s="69">
        <v>4.16</v>
      </c>
      <c r="D98" s="70">
        <v>2.7E-2</v>
      </c>
      <c r="E98" s="71">
        <v>4.133</v>
      </c>
      <c r="F98" s="72" t="s">
        <v>30</v>
      </c>
      <c r="G98" s="73">
        <v>31.1</v>
      </c>
      <c r="H98" s="56" t="s">
        <v>286</v>
      </c>
      <c r="I98" s="74">
        <v>45734</v>
      </c>
      <c r="J98" s="75">
        <v>0.5625</v>
      </c>
      <c r="K98" s="56"/>
      <c r="L98" s="42">
        <f t="shared" si="2"/>
        <v>0.6819626111914282</v>
      </c>
    </row>
    <row r="99" spans="1:12">
      <c r="A99" s="39">
        <v>76</v>
      </c>
      <c r="B99" s="69">
        <v>0.16</v>
      </c>
      <c r="C99" s="69">
        <v>2.4</v>
      </c>
      <c r="D99" s="70">
        <v>5.0000000000000001E-3</v>
      </c>
      <c r="E99" s="71">
        <v>2.3940000000000001</v>
      </c>
      <c r="F99" s="72" t="s">
        <v>30</v>
      </c>
      <c r="G99" s="73">
        <v>38.799999999999997</v>
      </c>
      <c r="H99" s="56" t="s">
        <v>287</v>
      </c>
      <c r="I99" s="74">
        <v>45734</v>
      </c>
      <c r="J99" s="75">
        <v>0.5625</v>
      </c>
      <c r="K99" s="56"/>
      <c r="L99" s="42">
        <f t="shared" si="2"/>
        <v>0.85080865962146024</v>
      </c>
    </row>
    <row r="100" spans="1:12">
      <c r="A100" s="39">
        <v>77</v>
      </c>
      <c r="B100" s="69">
        <v>0.2</v>
      </c>
      <c r="C100" s="69">
        <v>3.02</v>
      </c>
      <c r="D100" s="70">
        <v>5.0000000000000001E-3</v>
      </c>
      <c r="E100" s="71">
        <v>3.016</v>
      </c>
      <c r="F100" s="72" t="s">
        <v>30</v>
      </c>
      <c r="G100" s="73">
        <v>37.9</v>
      </c>
      <c r="H100" s="56" t="s">
        <v>288</v>
      </c>
      <c r="I100" s="74">
        <v>45734</v>
      </c>
      <c r="J100" s="75">
        <v>0.5625</v>
      </c>
      <c r="K100" s="56"/>
      <c r="L100" s="42">
        <f t="shared" si="2"/>
        <v>0.8310734072075604</v>
      </c>
    </row>
    <row r="101" spans="1:12">
      <c r="A101" s="39">
        <v>78</v>
      </c>
      <c r="B101" s="69">
        <v>0.12</v>
      </c>
      <c r="C101" s="69">
        <v>1.82</v>
      </c>
      <c r="D101" s="70">
        <v>5.0000000000000001E-3</v>
      </c>
      <c r="E101" s="71">
        <v>1.8169999999999999</v>
      </c>
      <c r="F101" s="72" t="s">
        <v>30</v>
      </c>
      <c r="G101" s="73">
        <v>50.9</v>
      </c>
      <c r="H101" s="56" t="s">
        <v>289</v>
      </c>
      <c r="I101" s="74">
        <v>45734</v>
      </c>
      <c r="J101" s="75">
        <v>0.5625</v>
      </c>
      <c r="K101" s="56"/>
      <c r="L101" s="42">
        <f t="shared" si="2"/>
        <v>1.1161381642972248</v>
      </c>
    </row>
    <row r="102" spans="1:12">
      <c r="A102" s="39">
        <v>79</v>
      </c>
      <c r="B102" s="69">
        <v>0.12</v>
      </c>
      <c r="C102" s="69">
        <v>1.98</v>
      </c>
      <c r="D102" s="70">
        <v>5.0000000000000001E-3</v>
      </c>
      <c r="E102" s="71">
        <v>1.972</v>
      </c>
      <c r="F102" s="76">
        <v>4.7153883260974494</v>
      </c>
      <c r="G102" s="73">
        <v>45.3</v>
      </c>
      <c r="H102" s="56" t="s">
        <v>290</v>
      </c>
      <c r="I102" s="74">
        <v>45734</v>
      </c>
      <c r="J102" s="75">
        <v>0.5625</v>
      </c>
      <c r="K102" s="56"/>
      <c r="L102" s="42">
        <f t="shared" si="2"/>
        <v>0.99334103816629249</v>
      </c>
    </row>
    <row r="103" spans="1:12">
      <c r="A103" s="39">
        <v>80</v>
      </c>
      <c r="B103" s="69">
        <v>0.18</v>
      </c>
      <c r="C103" s="69">
        <v>3.06</v>
      </c>
      <c r="D103" s="70">
        <v>6.0000000000000001E-3</v>
      </c>
      <c r="E103" s="71">
        <v>3.0579999999999998</v>
      </c>
      <c r="F103" s="72" t="s">
        <v>30</v>
      </c>
      <c r="G103" s="73">
        <v>31.4</v>
      </c>
      <c r="H103" s="56" t="s">
        <v>291</v>
      </c>
      <c r="I103" s="74">
        <v>45734</v>
      </c>
      <c r="J103" s="75">
        <v>0.5625</v>
      </c>
      <c r="K103" s="56"/>
      <c r="L103" s="42">
        <f t="shared" si="2"/>
        <v>0.68854102866272815</v>
      </c>
    </row>
    <row r="104" spans="1:12">
      <c r="A104" s="39">
        <v>81</v>
      </c>
      <c r="B104" s="69">
        <v>0.21</v>
      </c>
      <c r="C104" s="69">
        <v>3.46</v>
      </c>
      <c r="D104" s="70">
        <v>6.0000000000000001E-3</v>
      </c>
      <c r="E104" s="71">
        <v>3.4489999999999998</v>
      </c>
      <c r="F104" s="72" t="s">
        <v>30</v>
      </c>
      <c r="G104" s="73">
        <v>33.9</v>
      </c>
      <c r="H104" s="56" t="s">
        <v>292</v>
      </c>
      <c r="I104" s="74">
        <v>45734</v>
      </c>
      <c r="J104" s="75">
        <v>0.5625</v>
      </c>
      <c r="K104" s="56"/>
      <c r="L104" s="42">
        <f t="shared" si="2"/>
        <v>0.74336117425689441</v>
      </c>
    </row>
    <row r="105" spans="1:12">
      <c r="A105" s="39">
        <v>82</v>
      </c>
      <c r="B105" s="69">
        <v>0.19</v>
      </c>
      <c r="C105" s="69">
        <v>2.98</v>
      </c>
      <c r="D105" s="70">
        <v>6.0000000000000001E-3</v>
      </c>
      <c r="E105" s="71">
        <v>2.9790000000000001</v>
      </c>
      <c r="F105" s="72" t="s">
        <v>30</v>
      </c>
      <c r="G105" s="73">
        <v>38.6</v>
      </c>
      <c r="H105" s="56" t="s">
        <v>293</v>
      </c>
      <c r="I105" s="74">
        <v>45734</v>
      </c>
      <c r="J105" s="75">
        <v>0.5625</v>
      </c>
      <c r="K105" s="56"/>
      <c r="L105" s="42">
        <f t="shared" si="2"/>
        <v>0.84642304797392698</v>
      </c>
    </row>
    <row r="106" spans="1:12">
      <c r="A106" s="39">
        <v>83</v>
      </c>
      <c r="B106" s="69">
        <v>0.14000000000000001</v>
      </c>
      <c r="C106" s="69">
        <v>1.93</v>
      </c>
      <c r="D106" s="70">
        <v>5.0000000000000001E-3</v>
      </c>
      <c r="E106" s="71">
        <v>1.921</v>
      </c>
      <c r="F106" s="72" t="s">
        <v>30</v>
      </c>
      <c r="G106" s="73">
        <v>50.8</v>
      </c>
      <c r="H106" s="56" t="s">
        <v>294</v>
      </c>
      <c r="I106" s="74">
        <v>45734</v>
      </c>
      <c r="J106" s="75">
        <v>0.5625</v>
      </c>
      <c r="K106" s="56"/>
      <c r="L106" s="42">
        <f t="shared" si="2"/>
        <v>1.1139453584734582</v>
      </c>
    </row>
    <row r="107" spans="1:12">
      <c r="A107" s="39">
        <v>84</v>
      </c>
      <c r="B107" s="69">
        <v>0.23</v>
      </c>
      <c r="C107" s="69">
        <v>3.6</v>
      </c>
      <c r="D107" s="70">
        <v>7.0000000000000001E-3</v>
      </c>
      <c r="E107" s="71">
        <v>3.589</v>
      </c>
      <c r="F107" s="76">
        <v>6.4486132449259941</v>
      </c>
      <c r="G107" s="73">
        <v>71.099999999999994</v>
      </c>
      <c r="H107" s="56" t="s">
        <v>295</v>
      </c>
      <c r="I107" s="74">
        <v>45734</v>
      </c>
      <c r="J107" s="75">
        <v>0.5625</v>
      </c>
      <c r="K107" s="56"/>
      <c r="L107" s="42">
        <f t="shared" si="2"/>
        <v>1.5590849406980882</v>
      </c>
    </row>
    <row r="108" spans="1:12">
      <c r="A108" s="39">
        <v>85</v>
      </c>
      <c r="B108" s="69">
        <v>0.19</v>
      </c>
      <c r="C108" s="69">
        <v>2.86</v>
      </c>
      <c r="D108" s="70">
        <v>5.0000000000000001E-3</v>
      </c>
      <c r="E108" s="71">
        <v>2.859</v>
      </c>
      <c r="F108" s="72" t="s">
        <v>30</v>
      </c>
      <c r="G108" s="73">
        <v>73.2</v>
      </c>
      <c r="H108" s="56" t="s">
        <v>296</v>
      </c>
      <c r="I108" s="74">
        <v>45734</v>
      </c>
      <c r="J108" s="75">
        <v>0.5625</v>
      </c>
      <c r="K108" s="56"/>
      <c r="L108" s="42">
        <f t="shared" si="2"/>
        <v>1.6051338629971881</v>
      </c>
    </row>
    <row r="109" spans="1:12">
      <c r="A109" s="39">
        <v>86</v>
      </c>
      <c r="B109" s="69">
        <v>0.13</v>
      </c>
      <c r="C109" s="69">
        <v>2.14</v>
      </c>
      <c r="D109" s="70">
        <v>4.0000000000000001E-3</v>
      </c>
      <c r="E109" s="71">
        <v>2.1379999999999999</v>
      </c>
      <c r="F109" s="72" t="s">
        <v>30</v>
      </c>
      <c r="G109" s="73">
        <v>83.7</v>
      </c>
      <c r="H109" s="56" t="s">
        <v>297</v>
      </c>
      <c r="I109" s="74">
        <v>45734</v>
      </c>
      <c r="J109" s="75">
        <v>0.5625</v>
      </c>
      <c r="K109" s="56"/>
      <c r="L109" s="42">
        <f t="shared" si="2"/>
        <v>1.8353784744926862</v>
      </c>
    </row>
    <row r="110" spans="1:12">
      <c r="A110" s="39">
        <v>87</v>
      </c>
      <c r="B110" s="69">
        <v>0.21</v>
      </c>
      <c r="C110" s="69">
        <v>2.9</v>
      </c>
      <c r="D110" s="70">
        <v>6.0000000000000001E-3</v>
      </c>
      <c r="E110" s="71">
        <v>2.8980000000000001</v>
      </c>
      <c r="F110" s="72" t="s">
        <v>30</v>
      </c>
      <c r="G110" s="73">
        <v>78.900000000000006</v>
      </c>
      <c r="H110" s="56" t="s">
        <v>298</v>
      </c>
      <c r="I110" s="74">
        <v>45734</v>
      </c>
      <c r="J110" s="75">
        <v>0.5625</v>
      </c>
      <c r="K110" s="56"/>
      <c r="L110" s="42">
        <f t="shared" si="2"/>
        <v>1.7301237949518871</v>
      </c>
    </row>
    <row r="111" spans="1:12">
      <c r="A111" s="39">
        <v>88</v>
      </c>
      <c r="B111" s="69">
        <v>0.15</v>
      </c>
      <c r="C111" s="69">
        <v>2.33</v>
      </c>
      <c r="D111" s="70">
        <v>5.0000000000000001E-3</v>
      </c>
      <c r="E111" s="71">
        <v>2.3220000000000001</v>
      </c>
      <c r="F111" s="72" t="s">
        <v>30</v>
      </c>
      <c r="G111" s="73">
        <v>86</v>
      </c>
      <c r="H111" s="56" t="s">
        <v>299</v>
      </c>
      <c r="I111" s="74">
        <v>45734</v>
      </c>
      <c r="J111" s="75">
        <v>0.5625</v>
      </c>
      <c r="K111" s="56"/>
      <c r="L111" s="42">
        <f t="shared" si="2"/>
        <v>1.8858130084393192</v>
      </c>
    </row>
    <row r="112" spans="1:12">
      <c r="A112" s="39">
        <v>89</v>
      </c>
      <c r="B112" s="69">
        <v>0.15</v>
      </c>
      <c r="C112" s="69">
        <v>2.4</v>
      </c>
      <c r="D112" s="70">
        <v>5.0000000000000001E-3</v>
      </c>
      <c r="E112" s="71">
        <v>2.391</v>
      </c>
      <c r="F112" s="76">
        <v>5.0590797273863366</v>
      </c>
      <c r="G112" s="73">
        <v>92.7</v>
      </c>
      <c r="H112" s="56" t="s">
        <v>300</v>
      </c>
      <c r="I112" s="74">
        <v>45734</v>
      </c>
      <c r="J112" s="75">
        <v>0.5625</v>
      </c>
      <c r="K112" s="56"/>
      <c r="L112" s="42">
        <f t="shared" si="2"/>
        <v>2.0327309986316848</v>
      </c>
    </row>
    <row r="113" spans="1:12">
      <c r="A113" s="39">
        <v>90</v>
      </c>
      <c r="B113" s="69">
        <v>0.16</v>
      </c>
      <c r="C113" s="69">
        <v>2.21</v>
      </c>
      <c r="D113" s="70">
        <v>5.0000000000000001E-3</v>
      </c>
      <c r="E113" s="71">
        <v>2.2080000000000002</v>
      </c>
      <c r="F113" s="72" t="s">
        <v>30</v>
      </c>
      <c r="G113" s="73">
        <v>80.599999999999994</v>
      </c>
      <c r="H113" s="56" t="s">
        <v>301</v>
      </c>
      <c r="I113" s="74">
        <v>45734</v>
      </c>
      <c r="J113" s="75">
        <v>0.5625</v>
      </c>
      <c r="K113" s="56"/>
      <c r="L113" s="42">
        <f t="shared" si="2"/>
        <v>1.7674014939559199</v>
      </c>
    </row>
    <row r="114" spans="1:12">
      <c r="A114" s="39">
        <v>91</v>
      </c>
      <c r="B114" s="69">
        <v>0.19</v>
      </c>
      <c r="C114" s="69">
        <v>2.68</v>
      </c>
      <c r="D114" s="70">
        <v>7.0000000000000001E-3</v>
      </c>
      <c r="E114" s="71">
        <v>2.6720000000000002</v>
      </c>
      <c r="F114" s="72" t="s">
        <v>30</v>
      </c>
      <c r="G114" s="73">
        <v>76</v>
      </c>
      <c r="H114" s="56" t="s">
        <v>302</v>
      </c>
      <c r="I114" s="74">
        <v>45734</v>
      </c>
      <c r="J114" s="75">
        <v>0.5625</v>
      </c>
      <c r="K114" s="56"/>
      <c r="L114" s="42">
        <f t="shared" si="2"/>
        <v>1.6665324260626542</v>
      </c>
    </row>
    <row r="115" spans="1:12">
      <c r="A115" s="39">
        <v>92</v>
      </c>
      <c r="B115" s="69">
        <v>0.13</v>
      </c>
      <c r="C115" s="69">
        <v>2.09</v>
      </c>
      <c r="D115" s="70">
        <v>5.0000000000000001E-3</v>
      </c>
      <c r="E115" s="71">
        <v>2.08</v>
      </c>
      <c r="F115" s="72" t="s">
        <v>30</v>
      </c>
      <c r="G115" s="73">
        <v>90.7</v>
      </c>
      <c r="H115" s="56" t="s">
        <v>303</v>
      </c>
      <c r="I115" s="74">
        <v>45734</v>
      </c>
      <c r="J115" s="75">
        <v>0.5625</v>
      </c>
      <c r="K115" s="56"/>
      <c r="L115" s="42">
        <f t="shared" si="2"/>
        <v>1.9888748821563518</v>
      </c>
    </row>
    <row r="116" spans="1:12">
      <c r="A116" s="39">
        <v>93</v>
      </c>
      <c r="B116" s="69">
        <v>0.13</v>
      </c>
      <c r="C116" s="69">
        <v>2.2200000000000002</v>
      </c>
      <c r="D116" s="70">
        <v>5.0000000000000001E-3</v>
      </c>
      <c r="E116" s="71">
        <v>2.2130000000000001</v>
      </c>
      <c r="F116" s="72" t="s">
        <v>30</v>
      </c>
      <c r="G116" s="73">
        <v>92.9</v>
      </c>
      <c r="H116" s="56" t="s">
        <v>304</v>
      </c>
      <c r="I116" s="74">
        <v>45734</v>
      </c>
      <c r="J116" s="75">
        <v>0.5625</v>
      </c>
      <c r="K116" s="56"/>
      <c r="L116" s="42">
        <f t="shared" si="2"/>
        <v>2.037116610279218</v>
      </c>
    </row>
    <row r="117" spans="1:12">
      <c r="A117" s="39">
        <v>94</v>
      </c>
      <c r="B117" s="69">
        <v>0.18</v>
      </c>
      <c r="C117" s="69">
        <v>3.52</v>
      </c>
      <c r="D117" s="70">
        <v>6.0000000000000001E-3</v>
      </c>
      <c r="E117" s="71">
        <v>3.5139999999999998</v>
      </c>
      <c r="F117" s="76">
        <v>6.0946757527348687</v>
      </c>
      <c r="G117" s="73">
        <v>72.7</v>
      </c>
      <c r="H117" s="56" t="s">
        <v>305</v>
      </c>
      <c r="I117" s="74">
        <v>45734</v>
      </c>
      <c r="J117" s="75">
        <v>0.5625</v>
      </c>
      <c r="K117" s="56"/>
      <c r="L117" s="42">
        <f t="shared" si="2"/>
        <v>1.5941698338783548</v>
      </c>
    </row>
    <row r="118" spans="1:12">
      <c r="A118" s="39">
        <v>95</v>
      </c>
      <c r="B118" s="69">
        <v>0.17</v>
      </c>
      <c r="C118" s="69">
        <v>3.47</v>
      </c>
      <c r="D118" s="70">
        <v>6.0000000000000001E-3</v>
      </c>
      <c r="E118" s="71">
        <v>3.468</v>
      </c>
      <c r="F118" s="72" t="s">
        <v>30</v>
      </c>
      <c r="G118" s="73">
        <v>64.400000000000006</v>
      </c>
      <c r="H118" s="56" t="s">
        <v>306</v>
      </c>
      <c r="I118" s="74">
        <v>45734</v>
      </c>
      <c r="J118" s="75">
        <v>0.5625</v>
      </c>
      <c r="K118" s="56"/>
      <c r="L118" s="42">
        <f t="shared" si="2"/>
        <v>1.4121669505057228</v>
      </c>
    </row>
    <row r="119" spans="1:12">
      <c r="A119" s="39">
        <v>96</v>
      </c>
      <c r="B119" s="69">
        <v>0.12</v>
      </c>
      <c r="C119" s="69">
        <v>1.56</v>
      </c>
      <c r="D119" s="70">
        <v>5.0000000000000001E-3</v>
      </c>
      <c r="E119" s="71">
        <v>1.5569999999999999</v>
      </c>
      <c r="F119" s="72" t="s">
        <v>30</v>
      </c>
      <c r="G119" s="73">
        <v>83.4</v>
      </c>
      <c r="H119" s="56" t="s">
        <v>307</v>
      </c>
      <c r="I119" s="74">
        <v>45734</v>
      </c>
      <c r="J119" s="75">
        <v>0.5625</v>
      </c>
      <c r="K119" s="56"/>
      <c r="L119" s="42">
        <f t="shared" si="2"/>
        <v>1.8288000570213863</v>
      </c>
    </row>
    <row r="120" spans="1:12">
      <c r="A120" s="39">
        <v>97</v>
      </c>
      <c r="B120" s="69">
        <v>7.0000000000000007E-2</v>
      </c>
      <c r="C120" s="69">
        <v>1.1000000000000001</v>
      </c>
      <c r="D120" s="70">
        <v>3.0000000000000001E-3</v>
      </c>
      <c r="E120" s="71">
        <v>1.0940000000000001</v>
      </c>
      <c r="F120" s="72" t="s">
        <v>30</v>
      </c>
      <c r="G120" s="73">
        <v>113.6</v>
      </c>
      <c r="H120" s="56" t="s">
        <v>308</v>
      </c>
      <c r="I120" s="74">
        <v>45734</v>
      </c>
      <c r="J120" s="75">
        <v>0.5625</v>
      </c>
      <c r="K120" s="56"/>
      <c r="L120" s="42">
        <f t="shared" si="2"/>
        <v>2.4910274157989143</v>
      </c>
    </row>
    <row r="121" spans="1:12">
      <c r="A121" s="39">
        <v>98</v>
      </c>
      <c r="B121" s="69">
        <v>0.13</v>
      </c>
      <c r="C121" s="69">
        <v>2</v>
      </c>
      <c r="D121" s="70">
        <v>4.0000000000000001E-3</v>
      </c>
      <c r="E121" s="71">
        <v>2.0009999999999999</v>
      </c>
      <c r="F121" s="72" t="s">
        <v>30</v>
      </c>
      <c r="G121" s="73">
        <v>92.3</v>
      </c>
      <c r="H121" s="56" t="s">
        <v>309</v>
      </c>
      <c r="I121" s="74">
        <v>45734</v>
      </c>
      <c r="J121" s="75">
        <v>0.5625</v>
      </c>
      <c r="K121" s="56"/>
      <c r="L121" s="42">
        <f t="shared" si="2"/>
        <v>2.0239597753366181</v>
      </c>
    </row>
    <row r="122" spans="1:12">
      <c r="A122" s="39">
        <v>99</v>
      </c>
      <c r="B122" s="69">
        <v>0.11</v>
      </c>
      <c r="C122" s="69">
        <v>1.57</v>
      </c>
      <c r="D122" s="70">
        <v>4.0000000000000001E-3</v>
      </c>
      <c r="E122" s="71">
        <v>1.5629999999999999</v>
      </c>
      <c r="F122" s="76">
        <v>3.9832285115304247</v>
      </c>
      <c r="G122" s="73">
        <v>100.4</v>
      </c>
      <c r="H122" s="56" t="s">
        <v>310</v>
      </c>
      <c r="I122" s="74">
        <v>45734</v>
      </c>
      <c r="J122" s="75">
        <v>0.5625</v>
      </c>
      <c r="K122" s="56"/>
      <c r="L122" s="42">
        <f t="shared" si="2"/>
        <v>2.2015770470617171</v>
      </c>
    </row>
    <row r="123" spans="1:12">
      <c r="A123" s="39">
        <v>100</v>
      </c>
      <c r="B123" s="69">
        <v>0.06</v>
      </c>
      <c r="C123" s="69">
        <v>0.74</v>
      </c>
      <c r="D123" s="70">
        <v>3.0000000000000001E-3</v>
      </c>
      <c r="E123" s="71">
        <v>0.73599999999999999</v>
      </c>
      <c r="F123" s="72" t="s">
        <v>30</v>
      </c>
      <c r="G123" s="73">
        <v>68</v>
      </c>
      <c r="H123" s="56" t="s">
        <v>311</v>
      </c>
      <c r="I123" s="74">
        <v>45734</v>
      </c>
      <c r="J123" s="75">
        <v>0.5625</v>
      </c>
      <c r="K123" s="56" t="s">
        <v>312</v>
      </c>
      <c r="L123" s="42">
        <f t="shared" si="2"/>
        <v>1.4911079601613222</v>
      </c>
    </row>
    <row r="124" spans="1:12">
      <c r="A124" s="39">
        <v>101</v>
      </c>
      <c r="B124" s="69">
        <v>0.25</v>
      </c>
      <c r="C124" s="69">
        <v>4.0199999999999996</v>
      </c>
      <c r="D124" s="70">
        <v>5.0000000000000001E-3</v>
      </c>
      <c r="E124" s="71">
        <v>4.016</v>
      </c>
      <c r="F124" s="72" t="s">
        <v>30</v>
      </c>
      <c r="G124" s="73">
        <v>30</v>
      </c>
      <c r="H124" s="56" t="s">
        <v>313</v>
      </c>
      <c r="I124" s="74">
        <v>45734</v>
      </c>
      <c r="J124" s="75">
        <v>0.63194444444444442</v>
      </c>
      <c r="K124" s="56" t="s">
        <v>314</v>
      </c>
      <c r="L124" s="42">
        <f t="shared" si="2"/>
        <v>0.65784174712999499</v>
      </c>
    </row>
    <row r="125" spans="1:12">
      <c r="A125" s="39">
        <v>102</v>
      </c>
      <c r="B125" s="69">
        <v>0.22</v>
      </c>
      <c r="C125" s="69">
        <v>3.81</v>
      </c>
      <c r="D125" s="70">
        <v>4.0000000000000001E-3</v>
      </c>
      <c r="E125" s="71">
        <v>3.81</v>
      </c>
      <c r="F125" s="72" t="s">
        <v>30</v>
      </c>
      <c r="G125" s="73">
        <v>22.2</v>
      </c>
      <c r="H125" s="56" t="s">
        <v>315</v>
      </c>
      <c r="I125" s="74">
        <v>45734</v>
      </c>
      <c r="J125" s="75">
        <v>0.63194444444444442</v>
      </c>
      <c r="K125" s="56"/>
      <c r="L125" s="42">
        <f t="shared" si="2"/>
        <v>0.48680289287619632</v>
      </c>
    </row>
    <row r="126" spans="1:12">
      <c r="A126" s="39">
        <v>103</v>
      </c>
      <c r="B126" s="69">
        <v>0.21</v>
      </c>
      <c r="C126" s="69">
        <v>4.1100000000000003</v>
      </c>
      <c r="D126" s="70">
        <v>5.0000000000000001E-3</v>
      </c>
      <c r="E126" s="71">
        <v>4.1050000000000004</v>
      </c>
      <c r="F126" s="72" t="s">
        <v>30</v>
      </c>
      <c r="G126" s="73">
        <v>31.3</v>
      </c>
      <c r="H126" s="56" t="s">
        <v>316</v>
      </c>
      <c r="I126" s="74">
        <v>45734</v>
      </c>
      <c r="J126" s="75">
        <v>0.63194444444444442</v>
      </c>
      <c r="K126" s="56"/>
      <c r="L126" s="42">
        <f t="shared" si="2"/>
        <v>0.68634822283896146</v>
      </c>
    </row>
    <row r="127" spans="1:12">
      <c r="A127" s="39">
        <v>104</v>
      </c>
      <c r="B127" s="69">
        <v>0.16</v>
      </c>
      <c r="C127" s="69">
        <v>3.11</v>
      </c>
      <c r="D127" s="70">
        <v>4.0000000000000001E-3</v>
      </c>
      <c r="E127" s="71">
        <v>3.1110000000000002</v>
      </c>
      <c r="F127" s="72" t="s">
        <v>30</v>
      </c>
      <c r="G127" s="73">
        <v>32.200000000000003</v>
      </c>
      <c r="H127" s="56" t="s">
        <v>317</v>
      </c>
      <c r="I127" s="74">
        <v>45734</v>
      </c>
      <c r="J127" s="75">
        <v>0.63194444444444442</v>
      </c>
      <c r="K127" s="56"/>
      <c r="L127" s="42">
        <f t="shared" si="2"/>
        <v>0.70608347525286141</v>
      </c>
    </row>
    <row r="128" spans="1:12">
      <c r="A128" s="39">
        <v>105</v>
      </c>
      <c r="B128" s="69">
        <v>0.14000000000000001</v>
      </c>
      <c r="C128" s="69">
        <v>2.79</v>
      </c>
      <c r="D128" s="70">
        <v>4.0000000000000001E-3</v>
      </c>
      <c r="E128" s="71">
        <v>2.7869999999999999</v>
      </c>
      <c r="F128" s="72" t="s">
        <v>30</v>
      </c>
      <c r="G128" s="73">
        <v>35.200000000000003</v>
      </c>
      <c r="H128" s="56" t="s">
        <v>318</v>
      </c>
      <c r="I128" s="74">
        <v>45734</v>
      </c>
      <c r="J128" s="75">
        <v>0.63194444444444442</v>
      </c>
      <c r="K128" s="56" t="s">
        <v>219</v>
      </c>
      <c r="L128" s="42">
        <f t="shared" si="2"/>
        <v>0.77186764996586088</v>
      </c>
    </row>
    <row r="129" spans="1:12">
      <c r="A129" s="39">
        <v>106</v>
      </c>
      <c r="B129" s="69">
        <v>0.15</v>
      </c>
      <c r="C129" s="69">
        <v>3.43</v>
      </c>
      <c r="D129" s="70">
        <v>4.0000000000000001E-3</v>
      </c>
      <c r="E129" s="71">
        <v>3.43</v>
      </c>
      <c r="F129" s="76">
        <v>7.9353789880105534</v>
      </c>
      <c r="G129" s="73">
        <v>35</v>
      </c>
      <c r="H129" s="56" t="s">
        <v>319</v>
      </c>
      <c r="I129" s="74">
        <v>45734</v>
      </c>
      <c r="J129" s="75">
        <v>0.63194444444444442</v>
      </c>
      <c r="K129" s="56" t="s">
        <v>219</v>
      </c>
      <c r="L129" s="42">
        <f t="shared" si="2"/>
        <v>0.76748203831832751</v>
      </c>
    </row>
    <row r="130" spans="1:12">
      <c r="A130" s="39">
        <v>107</v>
      </c>
      <c r="B130" s="69">
        <v>0.16</v>
      </c>
      <c r="C130" s="69">
        <v>3.38</v>
      </c>
      <c r="D130" s="70">
        <v>5.0000000000000001E-3</v>
      </c>
      <c r="E130" s="71">
        <v>3.3730000000000002</v>
      </c>
      <c r="F130" s="72" t="s">
        <v>30</v>
      </c>
      <c r="G130" s="73">
        <v>37</v>
      </c>
      <c r="H130" s="56" t="s">
        <v>320</v>
      </c>
      <c r="I130" s="74">
        <v>45734</v>
      </c>
      <c r="J130" s="75">
        <v>0.63194444444444442</v>
      </c>
      <c r="K130" s="56"/>
      <c r="L130" s="42">
        <f t="shared" si="2"/>
        <v>0.81133815479366056</v>
      </c>
    </row>
    <row r="131" spans="1:12">
      <c r="A131" s="39">
        <v>108</v>
      </c>
      <c r="B131" s="69">
        <v>0.15</v>
      </c>
      <c r="C131" s="69">
        <v>3.23</v>
      </c>
      <c r="D131" s="70">
        <v>5.0000000000000001E-3</v>
      </c>
      <c r="E131" s="71">
        <v>3.222</v>
      </c>
      <c r="F131" s="72" t="s">
        <v>30</v>
      </c>
      <c r="G131" s="73">
        <v>35.1</v>
      </c>
      <c r="H131" s="56" t="s">
        <v>321</v>
      </c>
      <c r="I131" s="74">
        <v>45734</v>
      </c>
      <c r="J131" s="75">
        <v>0.63194444444444442</v>
      </c>
      <c r="K131" s="56"/>
      <c r="L131" s="42">
        <f t="shared" si="2"/>
        <v>0.76967484414209419</v>
      </c>
    </row>
    <row r="132" spans="1:12">
      <c r="A132" s="39">
        <v>109</v>
      </c>
      <c r="B132" s="69">
        <v>0.17</v>
      </c>
      <c r="C132" s="69">
        <v>3.74</v>
      </c>
      <c r="D132" s="70">
        <v>6.0000000000000001E-3</v>
      </c>
      <c r="E132" s="71">
        <v>3.7370000000000001</v>
      </c>
      <c r="F132" s="72" t="s">
        <v>30</v>
      </c>
      <c r="G132" s="73">
        <v>31.9</v>
      </c>
      <c r="H132" s="56" t="s">
        <v>322</v>
      </c>
      <c r="I132" s="74">
        <v>45734</v>
      </c>
      <c r="J132" s="75">
        <v>0.63194444444444442</v>
      </c>
      <c r="K132" s="56"/>
      <c r="L132" s="42">
        <f t="shared" si="2"/>
        <v>0.69950505778156136</v>
      </c>
    </row>
    <row r="133" spans="1:12">
      <c r="A133" s="39">
        <v>110</v>
      </c>
      <c r="B133" s="69">
        <v>0.18</v>
      </c>
      <c r="C133" s="69">
        <v>3.81</v>
      </c>
      <c r="D133" s="70">
        <v>5.0000000000000001E-3</v>
      </c>
      <c r="E133" s="71">
        <v>3.8010000000000002</v>
      </c>
      <c r="F133" s="72" t="s">
        <v>30</v>
      </c>
      <c r="G133" s="73">
        <v>34</v>
      </c>
      <c r="H133" s="56" t="s">
        <v>323</v>
      </c>
      <c r="I133" s="74">
        <v>45734</v>
      </c>
      <c r="J133" s="75">
        <v>0.63194444444444442</v>
      </c>
      <c r="K133" s="56"/>
      <c r="L133" s="42">
        <f t="shared" si="2"/>
        <v>0.74555398008066109</v>
      </c>
    </row>
    <row r="134" spans="1:12">
      <c r="A134" s="39">
        <v>111</v>
      </c>
      <c r="B134" s="69">
        <v>0.17</v>
      </c>
      <c r="C134" s="69">
        <v>3.77</v>
      </c>
      <c r="D134" s="70">
        <v>5.0000000000000001E-3</v>
      </c>
      <c r="E134" s="71">
        <v>3.766</v>
      </c>
      <c r="F134" s="76">
        <v>8.2744131550240603</v>
      </c>
      <c r="G134" s="73">
        <v>58.3</v>
      </c>
      <c r="H134" s="56" t="s">
        <v>324</v>
      </c>
      <c r="I134" s="74">
        <v>45734</v>
      </c>
      <c r="J134" s="75">
        <v>0.63194444444444442</v>
      </c>
      <c r="K134" s="56"/>
      <c r="L134" s="42">
        <f t="shared" si="2"/>
        <v>1.2784057952559569</v>
      </c>
    </row>
    <row r="135" spans="1:12">
      <c r="A135" s="39">
        <v>112</v>
      </c>
      <c r="B135" s="69">
        <v>0.13</v>
      </c>
      <c r="C135" s="69">
        <v>3.02</v>
      </c>
      <c r="D135" s="70">
        <v>4.0000000000000001E-3</v>
      </c>
      <c r="E135" s="71">
        <v>3.0190000000000001</v>
      </c>
      <c r="F135" s="72" t="s">
        <v>30</v>
      </c>
      <c r="G135" s="73">
        <v>87</v>
      </c>
      <c r="H135" s="56" t="s">
        <v>325</v>
      </c>
      <c r="I135" s="74">
        <v>45734</v>
      </c>
      <c r="J135" s="75">
        <v>0.63194444444444442</v>
      </c>
      <c r="K135" s="56"/>
      <c r="L135" s="42">
        <f t="shared" si="2"/>
        <v>1.9077410666769856</v>
      </c>
    </row>
    <row r="136" spans="1:12">
      <c r="A136" s="39">
        <v>113</v>
      </c>
      <c r="B136" s="69">
        <v>0.18</v>
      </c>
      <c r="C136" s="69">
        <v>4.12</v>
      </c>
      <c r="D136" s="70">
        <v>6.0000000000000001E-3</v>
      </c>
      <c r="E136" s="71">
        <v>4.117</v>
      </c>
      <c r="F136" s="72" t="s">
        <v>30</v>
      </c>
      <c r="G136" s="73">
        <v>63</v>
      </c>
      <c r="H136" s="56" t="s">
        <v>326</v>
      </c>
      <c r="I136" s="74">
        <v>45734</v>
      </c>
      <c r="J136" s="75">
        <v>0.63194444444444442</v>
      </c>
      <c r="K136" s="56"/>
      <c r="L136" s="42">
        <f t="shared" si="2"/>
        <v>1.3814676689729897</v>
      </c>
    </row>
    <row r="137" spans="1:12">
      <c r="A137" s="39">
        <v>114</v>
      </c>
      <c r="B137" s="69">
        <v>0.26</v>
      </c>
      <c r="C137" s="69">
        <v>5.16</v>
      </c>
      <c r="D137" s="70">
        <v>5.0000000000000001E-3</v>
      </c>
      <c r="E137" s="71">
        <v>5.1520000000000001</v>
      </c>
      <c r="F137" s="72" t="s">
        <v>30</v>
      </c>
      <c r="G137" s="73">
        <v>49.4</v>
      </c>
      <c r="H137" s="56" t="s">
        <v>327</v>
      </c>
      <c r="I137" s="74">
        <v>45734</v>
      </c>
      <c r="J137" s="75">
        <v>0.63194444444444442</v>
      </c>
      <c r="K137" s="56"/>
      <c r="L137" s="42">
        <f t="shared" si="2"/>
        <v>1.0832460769407251</v>
      </c>
    </row>
    <row r="138" spans="1:12">
      <c r="A138" s="39">
        <v>115</v>
      </c>
      <c r="B138" s="69">
        <v>0.14000000000000001</v>
      </c>
      <c r="C138" s="69">
        <v>2.82</v>
      </c>
      <c r="D138" s="70">
        <v>3.0000000000000001E-3</v>
      </c>
      <c r="E138" s="71">
        <v>2.8170000000000002</v>
      </c>
      <c r="F138" s="72" t="s">
        <v>30</v>
      </c>
      <c r="G138" s="73">
        <v>62.5</v>
      </c>
      <c r="H138" s="56" t="s">
        <v>328</v>
      </c>
      <c r="I138" s="74">
        <v>45734</v>
      </c>
      <c r="J138" s="75">
        <v>0.63194444444444442</v>
      </c>
      <c r="K138" s="56" t="s">
        <v>219</v>
      </c>
      <c r="L138" s="42">
        <f t="shared" si="2"/>
        <v>1.3705036398541564</v>
      </c>
    </row>
    <row r="139" spans="1:12">
      <c r="A139" s="39">
        <v>116</v>
      </c>
      <c r="B139" s="69">
        <v>0.11</v>
      </c>
      <c r="C139" s="69">
        <v>2.17</v>
      </c>
      <c r="D139" s="70">
        <v>3.0000000000000001E-3</v>
      </c>
      <c r="E139" s="71">
        <v>2.1640000000000001</v>
      </c>
      <c r="F139" s="76">
        <v>6.0725313313555453</v>
      </c>
      <c r="G139" s="73">
        <v>75.3</v>
      </c>
      <c r="H139" s="56" t="s">
        <v>329</v>
      </c>
      <c r="I139" s="74">
        <v>45734</v>
      </c>
      <c r="J139" s="75">
        <v>0.63194444444444442</v>
      </c>
      <c r="K139" s="56" t="s">
        <v>219</v>
      </c>
      <c r="L139" s="42">
        <f t="shared" si="2"/>
        <v>1.6511827852962875</v>
      </c>
    </row>
    <row r="140" spans="1:12">
      <c r="A140" s="39">
        <v>117</v>
      </c>
      <c r="B140" s="69">
        <v>0.14000000000000001</v>
      </c>
      <c r="C140" s="69">
        <v>2.83</v>
      </c>
      <c r="D140" s="70">
        <v>3.0000000000000001E-3</v>
      </c>
      <c r="E140" s="71">
        <v>2.8279999999999998</v>
      </c>
      <c r="F140" s="72" t="s">
        <v>30</v>
      </c>
      <c r="G140" s="73">
        <v>71.5</v>
      </c>
      <c r="H140" s="56" t="s">
        <v>330</v>
      </c>
      <c r="I140" s="74">
        <v>45734</v>
      </c>
      <c r="J140" s="75">
        <v>0.63194444444444442</v>
      </c>
      <c r="K140" s="56" t="s">
        <v>219</v>
      </c>
      <c r="L140" s="42">
        <f t="shared" si="2"/>
        <v>1.5678561639931548</v>
      </c>
    </row>
    <row r="141" spans="1:12">
      <c r="A141" s="39">
        <v>118</v>
      </c>
      <c r="B141" s="69">
        <v>0.15</v>
      </c>
      <c r="C141" s="69">
        <v>2.98</v>
      </c>
      <c r="D141" s="70">
        <v>3.0000000000000001E-3</v>
      </c>
      <c r="E141" s="71">
        <v>2.9809999999999999</v>
      </c>
      <c r="F141" s="72" t="s">
        <v>30</v>
      </c>
      <c r="G141" s="73">
        <v>73.3</v>
      </c>
      <c r="H141" s="56" t="s">
        <v>331</v>
      </c>
      <c r="I141" s="74">
        <v>45734</v>
      </c>
      <c r="J141" s="75">
        <v>0.63194444444444442</v>
      </c>
      <c r="K141" s="56" t="s">
        <v>332</v>
      </c>
      <c r="L141" s="42">
        <f t="shared" si="2"/>
        <v>1.6073266688209544</v>
      </c>
    </row>
    <row r="142" spans="1:12">
      <c r="A142" s="39">
        <v>119</v>
      </c>
      <c r="B142" s="69">
        <v>0.18</v>
      </c>
      <c r="C142" s="69">
        <v>3.54</v>
      </c>
      <c r="D142" s="70">
        <v>3.0000000000000001E-3</v>
      </c>
      <c r="E142" s="71">
        <v>3.5379999999999998</v>
      </c>
      <c r="F142" s="72" t="s">
        <v>30</v>
      </c>
      <c r="G142" s="73">
        <v>60.2</v>
      </c>
      <c r="H142" s="56" t="s">
        <v>333</v>
      </c>
      <c r="I142" s="74">
        <v>45734</v>
      </c>
      <c r="J142" s="75">
        <v>0.63194444444444442</v>
      </c>
      <c r="K142" s="56" t="s">
        <v>219</v>
      </c>
      <c r="L142" s="42">
        <f t="shared" si="2"/>
        <v>1.3200691059075234</v>
      </c>
    </row>
    <row r="143" spans="1:12">
      <c r="A143" s="39">
        <v>120</v>
      </c>
      <c r="B143" s="69">
        <v>0.23</v>
      </c>
      <c r="C143" s="69">
        <v>3.78</v>
      </c>
      <c r="D143" s="70">
        <v>3.0000000000000001E-3</v>
      </c>
      <c r="E143" s="71">
        <v>3.7770000000000001</v>
      </c>
      <c r="F143" s="72" t="s">
        <v>30</v>
      </c>
      <c r="G143" s="73">
        <v>52</v>
      </c>
      <c r="H143" s="56" t="s">
        <v>334</v>
      </c>
      <c r="I143" s="74">
        <v>45734</v>
      </c>
      <c r="J143" s="75">
        <v>0.63194444444444442</v>
      </c>
      <c r="K143" s="56"/>
      <c r="L143" s="42">
        <f t="shared" si="2"/>
        <v>1.140259028358658</v>
      </c>
    </row>
    <row r="144" spans="1:12">
      <c r="A144" s="39">
        <v>121</v>
      </c>
      <c r="B144" s="69">
        <v>0.2</v>
      </c>
      <c r="C144" s="69">
        <v>3.6</v>
      </c>
      <c r="D144" s="70">
        <v>4.0000000000000001E-3</v>
      </c>
      <c r="E144" s="71">
        <v>3.5910000000000002</v>
      </c>
      <c r="F144" s="76">
        <v>6.7546865551299566</v>
      </c>
      <c r="G144" s="73">
        <v>57.3</v>
      </c>
      <c r="H144" s="56" t="s">
        <v>335</v>
      </c>
      <c r="I144" s="74">
        <v>45734</v>
      </c>
      <c r="J144" s="75">
        <v>0.63194444444444442</v>
      </c>
      <c r="K144" s="56"/>
      <c r="L144" s="42">
        <f t="shared" si="2"/>
        <v>1.2564777370182905</v>
      </c>
    </row>
    <row r="145" spans="1:12">
      <c r="A145" s="39">
        <v>122</v>
      </c>
      <c r="B145" s="69">
        <v>0.27</v>
      </c>
      <c r="C145" s="69">
        <v>4.53</v>
      </c>
      <c r="D145" s="70">
        <v>4.0000000000000001E-3</v>
      </c>
      <c r="E145" s="71">
        <v>4.5209999999999999</v>
      </c>
      <c r="F145" s="72" t="s">
        <v>30</v>
      </c>
      <c r="G145" s="73">
        <v>57.2</v>
      </c>
      <c r="H145" s="56" t="s">
        <v>336</v>
      </c>
      <c r="I145" s="74">
        <v>45734</v>
      </c>
      <c r="J145" s="75">
        <v>0.63194444444444442</v>
      </c>
      <c r="K145" s="56" t="s">
        <v>219</v>
      </c>
      <c r="L145" s="42">
        <f t="shared" si="2"/>
        <v>1.2542849311945239</v>
      </c>
    </row>
    <row r="146" spans="1:12">
      <c r="A146" s="39">
        <v>123</v>
      </c>
      <c r="B146" s="69">
        <v>0.24</v>
      </c>
      <c r="C146" s="69">
        <v>3.72</v>
      </c>
      <c r="D146" s="70">
        <v>3.0000000000000001E-3</v>
      </c>
      <c r="E146" s="71">
        <v>3.718</v>
      </c>
      <c r="F146" s="72" t="s">
        <v>30</v>
      </c>
      <c r="G146" s="73">
        <v>62.8</v>
      </c>
      <c r="H146" s="56" t="s">
        <v>337</v>
      </c>
      <c r="I146" s="74">
        <v>45734</v>
      </c>
      <c r="J146" s="75">
        <v>0.63194444444444442</v>
      </c>
      <c r="K146" s="56" t="s">
        <v>338</v>
      </c>
      <c r="L146" s="42">
        <f t="shared" si="2"/>
        <v>1.3770820573254563</v>
      </c>
    </row>
    <row r="147" spans="1:12">
      <c r="A147" s="39">
        <v>124</v>
      </c>
      <c r="B147" s="69">
        <v>0.19</v>
      </c>
      <c r="C147" s="69">
        <v>3.09</v>
      </c>
      <c r="D147" s="70">
        <v>3.0000000000000001E-3</v>
      </c>
      <c r="E147" s="71">
        <v>3.0830000000000002</v>
      </c>
      <c r="F147" s="72" t="s">
        <v>30</v>
      </c>
      <c r="G147" s="73">
        <v>39.1</v>
      </c>
      <c r="H147" s="56" t="s">
        <v>339</v>
      </c>
      <c r="I147" s="74">
        <v>45734</v>
      </c>
      <c r="J147" s="75">
        <v>0.63194444444444442</v>
      </c>
      <c r="K147" s="56"/>
      <c r="L147" s="42">
        <f t="shared" si="2"/>
        <v>0.85738707709276019</v>
      </c>
    </row>
    <row r="148" spans="1:12">
      <c r="A148" s="39">
        <v>125</v>
      </c>
      <c r="B148" s="69">
        <v>0.13</v>
      </c>
      <c r="C148" s="69">
        <v>1.87</v>
      </c>
      <c r="D148" s="70">
        <v>3.0000000000000001E-3</v>
      </c>
      <c r="E148" s="71">
        <v>1.863</v>
      </c>
      <c r="F148" s="72" t="s">
        <v>30</v>
      </c>
      <c r="G148" s="73">
        <v>172.1</v>
      </c>
      <c r="H148" s="56" t="s">
        <v>340</v>
      </c>
      <c r="I148" s="74">
        <v>45734</v>
      </c>
      <c r="J148" s="75">
        <v>0.63194444444444442</v>
      </c>
      <c r="K148" s="56" t="s">
        <v>341</v>
      </c>
      <c r="L148" s="42">
        <f t="shared" si="2"/>
        <v>3.7738188227024048</v>
      </c>
    </row>
    <row r="149" spans="1:12">
      <c r="A149" s="39">
        <v>126</v>
      </c>
      <c r="B149" s="69">
        <v>0.08</v>
      </c>
      <c r="C149" s="69">
        <v>1.1499999999999999</v>
      </c>
      <c r="D149" s="70">
        <v>4.0000000000000001E-3</v>
      </c>
      <c r="E149" s="71">
        <v>1.145</v>
      </c>
      <c r="F149" s="72" t="s">
        <v>30</v>
      </c>
      <c r="G149" s="73">
        <v>73</v>
      </c>
      <c r="H149" s="56" t="s">
        <v>342</v>
      </c>
      <c r="I149" s="74">
        <v>45734</v>
      </c>
      <c r="J149" s="75">
        <v>0.59236111111111112</v>
      </c>
      <c r="K149" s="56" t="s">
        <v>314</v>
      </c>
      <c r="L149" s="42">
        <f t="shared" si="2"/>
        <v>1.6007482513496547</v>
      </c>
    </row>
    <row r="150" spans="1:12">
      <c r="A150" s="39">
        <v>127</v>
      </c>
      <c r="B150" s="69">
        <v>0.08</v>
      </c>
      <c r="C150" s="69">
        <v>1.65</v>
      </c>
      <c r="D150" s="70">
        <v>4.0000000000000001E-3</v>
      </c>
      <c r="E150" s="71">
        <v>1.647</v>
      </c>
      <c r="F150" s="72" t="s">
        <v>30</v>
      </c>
      <c r="G150" s="73">
        <v>61.3</v>
      </c>
      <c r="H150" s="56" t="s">
        <v>343</v>
      </c>
      <c r="I150" s="74">
        <v>45734</v>
      </c>
      <c r="J150" s="75">
        <v>0.59236111111111112</v>
      </c>
      <c r="K150" s="56"/>
      <c r="L150" s="42">
        <f t="shared" si="2"/>
        <v>1.3441899699689566</v>
      </c>
    </row>
    <row r="151" spans="1:12">
      <c r="A151" s="39">
        <v>128</v>
      </c>
      <c r="B151" s="69">
        <v>0.15</v>
      </c>
      <c r="C151" s="69">
        <v>2.83</v>
      </c>
      <c r="D151" s="70">
        <v>5.0000000000000001E-3</v>
      </c>
      <c r="E151" s="71">
        <v>2.823</v>
      </c>
      <c r="F151" s="72" t="s">
        <v>30</v>
      </c>
      <c r="G151" s="73">
        <v>48.7</v>
      </c>
      <c r="H151" s="56" t="s">
        <v>344</v>
      </c>
      <c r="I151" s="74">
        <v>45734</v>
      </c>
      <c r="J151" s="75">
        <v>0.59236111111111112</v>
      </c>
      <c r="K151" s="56"/>
      <c r="L151" s="42">
        <f t="shared" si="2"/>
        <v>1.0678964361743586</v>
      </c>
    </row>
    <row r="152" spans="1:12">
      <c r="A152" s="39">
        <v>129</v>
      </c>
      <c r="B152" s="69">
        <v>0.09</v>
      </c>
      <c r="C152" s="69">
        <v>1.39</v>
      </c>
      <c r="D152" s="70">
        <v>4.0000000000000001E-3</v>
      </c>
      <c r="E152" s="71">
        <v>1.383</v>
      </c>
      <c r="F152" s="72" t="s">
        <v>30</v>
      </c>
      <c r="G152" s="73">
        <v>53.3</v>
      </c>
      <c r="H152" s="56" t="s">
        <v>345</v>
      </c>
      <c r="I152" s="74">
        <v>45734</v>
      </c>
      <c r="J152" s="75">
        <v>0.59236111111111112</v>
      </c>
      <c r="K152" s="56"/>
      <c r="L152" s="42">
        <f t="shared" si="2"/>
        <v>1.1687655040676244</v>
      </c>
    </row>
    <row r="153" spans="1:12">
      <c r="A153" s="39">
        <v>130</v>
      </c>
      <c r="B153" s="69">
        <v>0.1</v>
      </c>
      <c r="C153" s="69">
        <v>1.37</v>
      </c>
      <c r="D153" s="70">
        <v>3.0000000000000001E-3</v>
      </c>
      <c r="E153" s="71">
        <v>1.3680000000000001</v>
      </c>
      <c r="F153" s="72" t="s">
        <v>30</v>
      </c>
      <c r="G153" s="73">
        <v>55.4</v>
      </c>
      <c r="H153" s="56" t="s">
        <v>346</v>
      </c>
      <c r="I153" s="74">
        <v>45734</v>
      </c>
      <c r="J153" s="75">
        <v>0.59236111111111112</v>
      </c>
      <c r="K153" s="56"/>
      <c r="L153" s="42">
        <f t="shared" ref="L153:L165" si="3">G153/(PI()*(7.62/2)^2)</f>
        <v>1.2148144263667242</v>
      </c>
    </row>
    <row r="154" spans="1:12">
      <c r="A154" s="39">
        <v>131</v>
      </c>
      <c r="B154" s="69">
        <v>0.12</v>
      </c>
      <c r="C154" s="69">
        <v>1.68</v>
      </c>
      <c r="D154" s="70">
        <v>4.0000000000000001E-3</v>
      </c>
      <c r="E154" s="71">
        <v>1.6739999999999999</v>
      </c>
      <c r="F154" s="76">
        <v>3.4089540252961688</v>
      </c>
      <c r="G154" s="73">
        <v>47.6</v>
      </c>
      <c r="H154" s="56" t="s">
        <v>347</v>
      </c>
      <c r="I154" s="74">
        <v>45734</v>
      </c>
      <c r="J154" s="75">
        <v>0.59236111111111112</v>
      </c>
      <c r="K154" s="56" t="s">
        <v>219</v>
      </c>
      <c r="L154" s="42">
        <f t="shared" si="3"/>
        <v>1.0437755721129256</v>
      </c>
    </row>
    <row r="155" spans="1:12">
      <c r="A155" s="39">
        <v>132</v>
      </c>
      <c r="B155" s="69">
        <v>0.12</v>
      </c>
      <c r="C155" s="69">
        <v>1.48</v>
      </c>
      <c r="D155" s="70">
        <v>3.0000000000000001E-3</v>
      </c>
      <c r="E155" s="71">
        <v>1.4790000000000001</v>
      </c>
      <c r="F155" s="72" t="s">
        <v>30</v>
      </c>
      <c r="G155" s="73">
        <v>46.5</v>
      </c>
      <c r="H155" s="56" t="s">
        <v>348</v>
      </c>
      <c r="I155" s="74">
        <v>45734</v>
      </c>
      <c r="J155" s="75">
        <v>0.59236111111111112</v>
      </c>
      <c r="K155" s="56"/>
      <c r="L155" s="42">
        <f t="shared" si="3"/>
        <v>1.0196547080514924</v>
      </c>
    </row>
    <row r="156" spans="1:12">
      <c r="A156" s="39">
        <v>133</v>
      </c>
      <c r="B156" s="69">
        <v>0.11</v>
      </c>
      <c r="C156" s="69">
        <v>1.34</v>
      </c>
      <c r="D156" s="70">
        <v>3.0000000000000001E-3</v>
      </c>
      <c r="E156" s="71">
        <v>1.341</v>
      </c>
      <c r="F156" s="72" t="s">
        <v>30</v>
      </c>
      <c r="G156" s="73">
        <v>55.7</v>
      </c>
      <c r="H156" s="56" t="s">
        <v>349</v>
      </c>
      <c r="I156" s="74">
        <v>45734</v>
      </c>
      <c r="J156" s="75">
        <v>0.59236111111111112</v>
      </c>
      <c r="K156" s="56" t="s">
        <v>350</v>
      </c>
      <c r="L156" s="42">
        <f t="shared" si="3"/>
        <v>1.2213928438380242</v>
      </c>
    </row>
    <row r="157" spans="1:12">
      <c r="A157" s="39">
        <v>134</v>
      </c>
      <c r="B157" s="69">
        <v>0.11</v>
      </c>
      <c r="C157" s="69">
        <v>1.23</v>
      </c>
      <c r="D157" s="70">
        <v>3.0000000000000001E-3</v>
      </c>
      <c r="E157" s="71">
        <v>1.222</v>
      </c>
      <c r="F157" s="72" t="s">
        <v>30</v>
      </c>
      <c r="G157" s="73">
        <v>51.7</v>
      </c>
      <c r="H157" s="56" t="s">
        <v>351</v>
      </c>
      <c r="I157" s="74">
        <v>45734</v>
      </c>
      <c r="J157" s="75">
        <v>0.59236111111111112</v>
      </c>
      <c r="K157" s="56"/>
      <c r="L157" s="42">
        <f t="shared" si="3"/>
        <v>1.1336806108873583</v>
      </c>
    </row>
    <row r="158" spans="1:12">
      <c r="A158" s="39">
        <v>135</v>
      </c>
      <c r="B158" s="69">
        <v>0.1</v>
      </c>
      <c r="C158" s="69">
        <v>1.22</v>
      </c>
      <c r="D158" s="70">
        <v>2E-3</v>
      </c>
      <c r="E158" s="71">
        <v>1.222</v>
      </c>
      <c r="F158" s="72" t="s">
        <v>30</v>
      </c>
      <c r="G158" s="73">
        <v>56.1</v>
      </c>
      <c r="H158" s="56" t="s">
        <v>352</v>
      </c>
      <c r="I158" s="74">
        <v>45734</v>
      </c>
      <c r="J158" s="75">
        <v>0.59236111111111112</v>
      </c>
      <c r="K158" s="56"/>
      <c r="L158" s="42">
        <f t="shared" si="3"/>
        <v>1.2301640671330907</v>
      </c>
    </row>
    <row r="159" spans="1:12">
      <c r="A159" s="39">
        <v>136</v>
      </c>
      <c r="B159" s="69">
        <v>0.12</v>
      </c>
      <c r="C159" s="69">
        <v>1.88</v>
      </c>
      <c r="D159" s="70">
        <v>3.0000000000000001E-3</v>
      </c>
      <c r="E159" s="71">
        <v>1.877</v>
      </c>
      <c r="F159" s="76">
        <v>3.5144285023375503</v>
      </c>
      <c r="G159" s="73">
        <v>108.6</v>
      </c>
      <c r="H159" s="56" t="s">
        <v>353</v>
      </c>
      <c r="I159" s="74">
        <v>45734</v>
      </c>
      <c r="J159" s="75">
        <v>0.59236111111111112</v>
      </c>
      <c r="K159" s="56"/>
      <c r="L159" s="42">
        <f t="shared" si="3"/>
        <v>2.381387124610582</v>
      </c>
    </row>
    <row r="160" spans="1:12">
      <c r="A160" s="39">
        <v>137</v>
      </c>
      <c r="B160" s="69">
        <v>0.11</v>
      </c>
      <c r="C160" s="69">
        <v>1.76</v>
      </c>
      <c r="D160" s="70">
        <v>3.0000000000000001E-3</v>
      </c>
      <c r="E160" s="71">
        <v>1.7609999999999999</v>
      </c>
      <c r="F160" s="72" t="s">
        <v>30</v>
      </c>
      <c r="G160" s="73">
        <v>103.4</v>
      </c>
      <c r="H160" s="56" t="s">
        <v>354</v>
      </c>
      <c r="I160" s="74">
        <v>45734</v>
      </c>
      <c r="J160" s="75">
        <v>0.59236111111111112</v>
      </c>
      <c r="K160" s="56"/>
      <c r="L160" s="42">
        <f t="shared" si="3"/>
        <v>2.2673612217747166</v>
      </c>
    </row>
    <row r="161" spans="1:12">
      <c r="A161" s="39">
        <v>138</v>
      </c>
      <c r="B161" s="69">
        <v>0.11</v>
      </c>
      <c r="C161" s="69">
        <v>2.21</v>
      </c>
      <c r="D161" s="70">
        <v>3.0000000000000001E-3</v>
      </c>
      <c r="E161" s="71">
        <v>2.21</v>
      </c>
      <c r="F161" s="72" t="s">
        <v>30</v>
      </c>
      <c r="G161" s="73">
        <v>90.3</v>
      </c>
      <c r="H161" s="56" t="s">
        <v>355</v>
      </c>
      <c r="I161" s="74">
        <v>45734</v>
      </c>
      <c r="J161" s="75">
        <v>0.59236111111111112</v>
      </c>
      <c r="K161" s="56" t="s">
        <v>219</v>
      </c>
      <c r="L161" s="42">
        <f t="shared" si="3"/>
        <v>1.980103658861285</v>
      </c>
    </row>
    <row r="162" spans="1:12">
      <c r="A162" s="39">
        <v>139</v>
      </c>
      <c r="B162" s="69">
        <v>0.14000000000000001</v>
      </c>
      <c r="C162" s="69">
        <v>3.19</v>
      </c>
      <c r="D162" s="70">
        <v>4.0000000000000001E-3</v>
      </c>
      <c r="E162" s="71">
        <v>3.1880000000000002</v>
      </c>
      <c r="F162" s="72" t="s">
        <v>30</v>
      </c>
      <c r="G162" s="73">
        <v>84.4</v>
      </c>
      <c r="H162" s="56" t="s">
        <v>356</v>
      </c>
      <c r="I162" s="74">
        <v>45734</v>
      </c>
      <c r="J162" s="75">
        <v>0.59236111111111112</v>
      </c>
      <c r="K162" s="56"/>
      <c r="L162" s="42">
        <f t="shared" si="3"/>
        <v>1.8507281152590529</v>
      </c>
    </row>
    <row r="163" spans="1:12">
      <c r="A163" s="39">
        <v>140</v>
      </c>
      <c r="B163" s="69">
        <v>0.11</v>
      </c>
      <c r="C163" s="69">
        <v>2.2999999999999998</v>
      </c>
      <c r="D163" s="70">
        <v>3.0000000000000001E-3</v>
      </c>
      <c r="E163" s="71">
        <v>2.2989999999999999</v>
      </c>
      <c r="F163" s="72" t="s">
        <v>30</v>
      </c>
      <c r="G163" s="73">
        <v>86.8</v>
      </c>
      <c r="H163" s="56" t="s">
        <v>357</v>
      </c>
      <c r="I163" s="74">
        <v>45734</v>
      </c>
      <c r="J163" s="75">
        <v>0.59236111111111112</v>
      </c>
      <c r="K163" s="56"/>
      <c r="L163" s="42">
        <f t="shared" si="3"/>
        <v>1.9033554550294522</v>
      </c>
    </row>
    <row r="164" spans="1:12">
      <c r="A164" s="39">
        <v>141</v>
      </c>
      <c r="B164" s="69">
        <v>0.1</v>
      </c>
      <c r="C164" s="69">
        <v>1.89</v>
      </c>
      <c r="D164" s="70">
        <v>3.0000000000000001E-3</v>
      </c>
      <c r="E164" s="71">
        <v>1.889</v>
      </c>
      <c r="F164" s="76">
        <v>3.6022649692783646</v>
      </c>
      <c r="G164" s="73">
        <v>14.4</v>
      </c>
      <c r="H164" s="56" t="s">
        <v>358</v>
      </c>
      <c r="I164" s="74">
        <v>45734</v>
      </c>
      <c r="J164" s="75">
        <v>0.59236111111111112</v>
      </c>
      <c r="K164" s="56" t="s">
        <v>359</v>
      </c>
      <c r="L164" s="42">
        <f t="shared" si="3"/>
        <v>0.3157640386223976</v>
      </c>
    </row>
    <row r="165" spans="1:12">
      <c r="A165" s="39">
        <v>141</v>
      </c>
      <c r="B165" s="69">
        <v>0.28000000000000003</v>
      </c>
      <c r="C165" s="69">
        <v>4.16</v>
      </c>
      <c r="D165" s="70">
        <v>3.0000000000000001E-3</v>
      </c>
      <c r="E165" s="71">
        <v>4.157</v>
      </c>
      <c r="F165" s="72" t="s">
        <v>30</v>
      </c>
      <c r="G165" s="73">
        <v>75.400000000000006</v>
      </c>
      <c r="H165" s="56" t="s">
        <v>360</v>
      </c>
      <c r="L165" s="42">
        <f t="shared" si="3"/>
        <v>1.6533755911200543</v>
      </c>
    </row>
    <row r="166" spans="1:12">
      <c r="B166" s="39"/>
      <c r="C166" s="39"/>
      <c r="D166" s="39"/>
      <c r="E166" s="77"/>
      <c r="F166" s="39"/>
      <c r="G166" s="39"/>
    </row>
    <row r="167" spans="1:12">
      <c r="B167" s="39"/>
      <c r="C167" s="39"/>
      <c r="D167" s="39"/>
      <c r="E167" s="39"/>
      <c r="F167" s="39"/>
      <c r="G167" s="39"/>
    </row>
    <row r="168" spans="1:12">
      <c r="B168" s="39"/>
      <c r="C168" s="39"/>
      <c r="D168" s="39"/>
      <c r="E168" s="39"/>
      <c r="F168" s="39"/>
      <c r="G168" s="39"/>
    </row>
    <row r="169" spans="1:12">
      <c r="B169" s="39"/>
      <c r="C169" s="39"/>
      <c r="D169" s="39"/>
      <c r="E169" s="39"/>
      <c r="F169" s="39"/>
      <c r="G169" s="39"/>
    </row>
    <row r="170" spans="1:12">
      <c r="B170" s="39"/>
      <c r="C170" s="39"/>
      <c r="D170" s="39"/>
      <c r="E170" s="39"/>
      <c r="F170" s="39"/>
      <c r="G170" s="39"/>
    </row>
    <row r="171" spans="1:12">
      <c r="B171" s="39"/>
      <c r="C171" s="39"/>
      <c r="D171" s="39"/>
      <c r="E171" s="39"/>
      <c r="F171" s="39"/>
      <c r="G171" s="39"/>
    </row>
    <row r="172" spans="1:12">
      <c r="B172" s="39"/>
      <c r="C172" s="39"/>
      <c r="D172" s="39"/>
      <c r="E172" s="39"/>
      <c r="F172" s="39"/>
      <c r="G172" s="39"/>
    </row>
    <row r="173" spans="1:12">
      <c r="B173" s="39"/>
      <c r="C173" s="39"/>
      <c r="D173" s="39"/>
      <c r="E173" s="39"/>
      <c r="F173" s="39"/>
      <c r="G173" s="39"/>
    </row>
    <row r="174" spans="1:12">
      <c r="B174" s="39"/>
      <c r="C174" s="39"/>
      <c r="D174" s="39"/>
      <c r="E174" s="39"/>
      <c r="F174" s="39"/>
      <c r="G174" s="39"/>
    </row>
    <row r="175" spans="1:12">
      <c r="B175" s="39"/>
      <c r="C175" s="39"/>
      <c r="D175" s="39"/>
      <c r="E175" s="39"/>
      <c r="F175" s="39"/>
      <c r="G175" s="39"/>
    </row>
    <row r="176" spans="1:12">
      <c r="B176" s="39"/>
      <c r="C176" s="39"/>
      <c r="D176" s="39"/>
      <c r="E176" s="39"/>
      <c r="F176" s="39"/>
      <c r="G176" s="39"/>
    </row>
    <row r="177" spans="2:7">
      <c r="B177" s="39"/>
      <c r="C177" s="39"/>
      <c r="D177" s="39"/>
      <c r="E177" s="39"/>
      <c r="F177" s="39"/>
      <c r="G177" s="39"/>
    </row>
    <row r="178" spans="2:7">
      <c r="B178" s="39"/>
      <c r="C178" s="39"/>
      <c r="D178" s="39"/>
      <c r="E178" s="39"/>
      <c r="F178" s="39"/>
      <c r="G178" s="39"/>
    </row>
    <row r="179" spans="2:7">
      <c r="B179" s="39"/>
      <c r="C179" s="39"/>
      <c r="D179" s="39"/>
      <c r="E179" s="39"/>
      <c r="F179" s="39"/>
      <c r="G179" s="39"/>
    </row>
    <row r="180" spans="2:7">
      <c r="B180" s="39"/>
      <c r="C180" s="39"/>
      <c r="D180" s="39"/>
      <c r="E180" s="39"/>
      <c r="F180" s="39"/>
      <c r="G180" s="39"/>
    </row>
    <row r="181" spans="2:7">
      <c r="B181" s="39"/>
      <c r="C181" s="39"/>
      <c r="D181" s="39"/>
      <c r="E181" s="39"/>
      <c r="F181" s="39"/>
      <c r="G181" s="39"/>
    </row>
    <row r="182" spans="2:7">
      <c r="B182" s="39"/>
      <c r="C182" s="39"/>
      <c r="D182" s="39"/>
      <c r="E182" s="39"/>
      <c r="F182" s="39"/>
      <c r="G182" s="39"/>
    </row>
    <row r="183" spans="2:7">
      <c r="B183" s="39"/>
      <c r="C183" s="39"/>
      <c r="D183" s="39"/>
      <c r="E183" s="39"/>
      <c r="F183" s="39"/>
      <c r="G183" s="39"/>
    </row>
    <row r="184" spans="2:7">
      <c r="B184" s="39"/>
      <c r="C184" s="39"/>
      <c r="D184" s="39"/>
      <c r="E184" s="39"/>
      <c r="F184" s="39"/>
      <c r="G184" s="39"/>
    </row>
    <row r="185" spans="2:7">
      <c r="B185" s="39"/>
      <c r="C185" s="39"/>
      <c r="D185" s="39"/>
      <c r="E185" s="39"/>
      <c r="F185" s="39"/>
      <c r="G185" s="39"/>
    </row>
    <row r="186" spans="2:7">
      <c r="B186" s="39"/>
      <c r="C186" s="39"/>
      <c r="D186" s="39"/>
      <c r="E186" s="39"/>
      <c r="F186" s="39"/>
      <c r="G186" s="39"/>
    </row>
    <row r="187" spans="2:7">
      <c r="B187" s="39"/>
      <c r="C187" s="39"/>
      <c r="D187" s="39"/>
      <c r="E187" s="39"/>
      <c r="F187" s="39"/>
      <c r="G187" s="39"/>
    </row>
    <row r="188" spans="2:7">
      <c r="B188" s="39"/>
      <c r="C188" s="39"/>
      <c r="D188" s="39"/>
      <c r="E188" s="39"/>
      <c r="F188" s="39"/>
      <c r="G188" s="39"/>
    </row>
    <row r="189" spans="2:7">
      <c r="B189" s="39"/>
      <c r="C189" s="39"/>
      <c r="D189" s="39"/>
      <c r="E189" s="39"/>
      <c r="F189" s="39"/>
      <c r="G189" s="39"/>
    </row>
    <row r="190" spans="2:7">
      <c r="B190" s="39"/>
      <c r="C190" s="39"/>
      <c r="D190" s="39"/>
      <c r="E190" s="39"/>
      <c r="F190" s="39"/>
      <c r="G190" s="39"/>
    </row>
    <row r="191" spans="2:7">
      <c r="B191" s="39"/>
      <c r="C191" s="39"/>
      <c r="D191" s="39"/>
      <c r="E191" s="39"/>
      <c r="F191" s="39"/>
      <c r="G191" s="39"/>
    </row>
    <row r="192" spans="2:7">
      <c r="B192" s="39"/>
      <c r="C192" s="39"/>
      <c r="D192" s="39"/>
      <c r="E192" s="39"/>
      <c r="F192" s="39"/>
      <c r="G192" s="39"/>
    </row>
    <row r="193" spans="2:7">
      <c r="B193" s="39"/>
      <c r="C193" s="39"/>
      <c r="D193" s="39"/>
      <c r="E193" s="39"/>
      <c r="F193" s="39"/>
      <c r="G193" s="39"/>
    </row>
    <row r="194" spans="2:7">
      <c r="B194" s="39"/>
      <c r="C194" s="39"/>
      <c r="D194" s="39"/>
      <c r="E194" s="39"/>
      <c r="F194" s="39"/>
      <c r="G194" s="39"/>
    </row>
    <row r="195" spans="2:7">
      <c r="B195" s="39"/>
      <c r="C195" s="39"/>
      <c r="D195" s="39"/>
      <c r="E195" s="39"/>
      <c r="F195" s="39"/>
      <c r="G195" s="39"/>
    </row>
    <row r="196" spans="2:7">
      <c r="B196" s="39"/>
      <c r="C196" s="39"/>
      <c r="D196" s="39"/>
      <c r="E196" s="39"/>
      <c r="F196" s="39"/>
      <c r="G196" s="39"/>
    </row>
    <row r="197" spans="2:7">
      <c r="B197" s="39"/>
      <c r="C197" s="39"/>
      <c r="D197" s="39"/>
      <c r="E197" s="39"/>
      <c r="F197" s="39"/>
      <c r="G197" s="39"/>
    </row>
    <row r="198" spans="2:7">
      <c r="B198" s="39"/>
      <c r="C198" s="39"/>
      <c r="D198" s="39"/>
      <c r="E198" s="39"/>
      <c r="F198" s="39"/>
      <c r="G198" s="39"/>
    </row>
    <row r="199" spans="2:7">
      <c r="B199" s="39"/>
      <c r="C199" s="39"/>
      <c r="D199" s="39"/>
      <c r="E199" s="39"/>
      <c r="F199" s="39"/>
      <c r="G199" s="39"/>
    </row>
    <row r="200" spans="2:7">
      <c r="B200" s="39"/>
      <c r="C200" s="39"/>
      <c r="D200" s="39"/>
      <c r="E200" s="39"/>
      <c r="F200" s="39"/>
      <c r="G200" s="39"/>
    </row>
    <row r="201" spans="2:7">
      <c r="B201" s="39"/>
      <c r="C201" s="39"/>
      <c r="D201" s="39"/>
      <c r="E201" s="39"/>
      <c r="F201" s="39"/>
      <c r="G201" s="39"/>
    </row>
    <row r="202" spans="2:7">
      <c r="B202" s="39"/>
      <c r="C202" s="39"/>
      <c r="D202" s="39"/>
      <c r="E202" s="39"/>
      <c r="F202" s="39"/>
      <c r="G202" s="39"/>
    </row>
    <row r="203" spans="2:7">
      <c r="B203" s="39"/>
      <c r="C203" s="39"/>
      <c r="D203" s="39"/>
      <c r="E203" s="39"/>
      <c r="F203" s="39"/>
      <c r="G203" s="39"/>
    </row>
    <row r="204" spans="2:7">
      <c r="B204" s="39"/>
      <c r="C204" s="39"/>
      <c r="D204" s="39"/>
      <c r="E204" s="39"/>
      <c r="F204" s="39"/>
      <c r="G204" s="39"/>
    </row>
    <row r="205" spans="2:7">
      <c r="B205" s="39"/>
      <c r="C205" s="39"/>
      <c r="D205" s="39"/>
      <c r="E205" s="39"/>
      <c r="F205" s="39"/>
      <c r="G205" s="39"/>
    </row>
    <row r="206" spans="2:7">
      <c r="B206" s="39"/>
      <c r="C206" s="39"/>
      <c r="D206" s="39"/>
      <c r="E206" s="39"/>
      <c r="F206" s="39"/>
      <c r="G206" s="39"/>
    </row>
    <row r="207" spans="2:7">
      <c r="B207" s="39"/>
      <c r="C207" s="39"/>
      <c r="D207" s="39"/>
      <c r="E207" s="39"/>
      <c r="F207" s="39"/>
      <c r="G207" s="39"/>
    </row>
    <row r="208" spans="2:7">
      <c r="B208" s="39"/>
      <c r="C208" s="39"/>
      <c r="D208" s="39"/>
      <c r="E208" s="39"/>
      <c r="F208" s="39"/>
      <c r="G208" s="39"/>
    </row>
    <row r="209" spans="2:7">
      <c r="B209" s="39"/>
      <c r="C209" s="39"/>
      <c r="D209" s="39"/>
      <c r="E209" s="39"/>
      <c r="F209" s="39"/>
      <c r="G209" s="39"/>
    </row>
    <row r="210" spans="2:7">
      <c r="B210" s="39"/>
      <c r="C210" s="39"/>
      <c r="D210" s="39"/>
      <c r="E210" s="39"/>
      <c r="F210" s="39"/>
      <c r="G210" s="39"/>
    </row>
    <row r="211" spans="2:7">
      <c r="B211" s="39"/>
      <c r="C211" s="39"/>
      <c r="D211" s="39"/>
      <c r="E211" s="39"/>
      <c r="F211" s="39"/>
      <c r="G211" s="39"/>
    </row>
    <row r="212" spans="2:7">
      <c r="B212" s="39"/>
      <c r="C212" s="39"/>
      <c r="D212" s="39"/>
      <c r="E212" s="39"/>
      <c r="F212" s="39"/>
      <c r="G212" s="39"/>
    </row>
    <row r="213" spans="2:7">
      <c r="B213" s="39"/>
      <c r="C213" s="39"/>
      <c r="D213" s="39"/>
      <c r="E213" s="39"/>
      <c r="F213" s="39"/>
      <c r="G213" s="39"/>
    </row>
    <row r="214" spans="2:7">
      <c r="B214" s="39"/>
      <c r="C214" s="39"/>
      <c r="D214" s="39"/>
      <c r="E214" s="39"/>
      <c r="F214" s="39"/>
      <c r="G214" s="39"/>
    </row>
    <row r="215" spans="2:7">
      <c r="B215" s="39"/>
      <c r="C215" s="39"/>
      <c r="D215" s="39"/>
      <c r="E215" s="39"/>
      <c r="F215" s="39"/>
      <c r="G215" s="39"/>
    </row>
    <row r="216" spans="2:7">
      <c r="B216" s="39"/>
      <c r="C216" s="39"/>
      <c r="D216" s="39"/>
      <c r="E216" s="39"/>
      <c r="F216" s="39"/>
      <c r="G216" s="39"/>
    </row>
    <row r="217" spans="2:7">
      <c r="B217" s="39"/>
      <c r="C217" s="39"/>
      <c r="D217" s="39"/>
      <c r="E217" s="39"/>
      <c r="F217" s="39"/>
      <c r="G217" s="39"/>
    </row>
    <row r="218" spans="2:7">
      <c r="B218" s="39"/>
      <c r="C218" s="39"/>
      <c r="D218" s="39"/>
      <c r="E218" s="39"/>
      <c r="F218" s="39"/>
      <c r="G218" s="39"/>
    </row>
    <row r="219" spans="2:7">
      <c r="B219" s="39"/>
      <c r="C219" s="39"/>
      <c r="D219" s="39"/>
      <c r="E219" s="39"/>
      <c r="F219" s="39"/>
      <c r="G219" s="39"/>
    </row>
    <row r="220" spans="2:7">
      <c r="B220" s="39"/>
      <c r="C220" s="39"/>
      <c r="D220" s="39"/>
      <c r="E220" s="39"/>
      <c r="F220" s="39"/>
      <c r="G220" s="39"/>
    </row>
    <row r="221" spans="2:7">
      <c r="B221" s="39"/>
      <c r="C221" s="39"/>
      <c r="D221" s="39"/>
      <c r="E221" s="39"/>
      <c r="F221" s="39"/>
      <c r="G221" s="39"/>
    </row>
    <row r="222" spans="2:7">
      <c r="B222" s="39"/>
      <c r="C222" s="39"/>
      <c r="D222" s="39"/>
      <c r="E222" s="39"/>
      <c r="F222" s="39"/>
      <c r="G222" s="39"/>
    </row>
    <row r="223" spans="2:7">
      <c r="B223" s="39"/>
      <c r="C223" s="39"/>
      <c r="D223" s="39"/>
      <c r="E223" s="39"/>
      <c r="F223" s="39"/>
      <c r="G223" s="39"/>
    </row>
    <row r="224" spans="2:7">
      <c r="B224" s="39"/>
      <c r="C224" s="39"/>
      <c r="D224" s="39"/>
      <c r="E224" s="39"/>
      <c r="F224" s="39"/>
      <c r="G224" s="39"/>
    </row>
    <row r="225" spans="2:7">
      <c r="B225" s="39"/>
      <c r="C225" s="39"/>
      <c r="D225" s="39"/>
      <c r="E225" s="39"/>
      <c r="F225" s="39"/>
      <c r="G225" s="39"/>
    </row>
    <row r="226" spans="2:7">
      <c r="B226" s="39"/>
      <c r="C226" s="39"/>
      <c r="D226" s="39"/>
      <c r="E226" s="39"/>
      <c r="F226" s="39"/>
      <c r="G226" s="39"/>
    </row>
    <row r="227" spans="2:7">
      <c r="B227" s="39"/>
      <c r="C227" s="39"/>
      <c r="D227" s="39"/>
      <c r="E227" s="39"/>
      <c r="F227" s="39"/>
      <c r="G227" s="39"/>
    </row>
    <row r="228" spans="2:7">
      <c r="B228" s="39"/>
      <c r="C228" s="39"/>
      <c r="D228" s="39"/>
      <c r="E228" s="39"/>
      <c r="F228" s="39"/>
      <c r="G228" s="39"/>
    </row>
    <row r="229" spans="2:7">
      <c r="B229" s="39"/>
      <c r="C229" s="39"/>
      <c r="D229" s="39"/>
      <c r="E229" s="39"/>
      <c r="F229" s="39"/>
      <c r="G229" s="39"/>
    </row>
    <row r="230" spans="2:7">
      <c r="B230" s="39"/>
      <c r="C230" s="39"/>
      <c r="D230" s="39"/>
      <c r="E230" s="39"/>
      <c r="F230" s="39"/>
      <c r="G230" s="39"/>
    </row>
    <row r="231" spans="2:7">
      <c r="B231" s="39"/>
      <c r="C231" s="39"/>
      <c r="D231" s="39"/>
      <c r="E231" s="39"/>
      <c r="F231" s="39"/>
      <c r="G231" s="39"/>
    </row>
    <row r="232" spans="2:7">
      <c r="B232" s="39"/>
      <c r="C232" s="39"/>
      <c r="D232" s="39"/>
      <c r="E232" s="39"/>
      <c r="F232" s="39"/>
      <c r="G232" s="39"/>
    </row>
    <row r="233" spans="2:7">
      <c r="B233" s="39"/>
      <c r="C233" s="39"/>
      <c r="D233" s="39"/>
      <c r="E233" s="39"/>
      <c r="F233" s="39"/>
      <c r="G233" s="39"/>
    </row>
    <row r="234" spans="2:7">
      <c r="B234" s="39"/>
      <c r="C234" s="39"/>
      <c r="D234" s="39"/>
      <c r="E234" s="39"/>
      <c r="F234" s="39"/>
      <c r="G234" s="39"/>
    </row>
    <row r="235" spans="2:7">
      <c r="B235" s="39"/>
      <c r="C235" s="39"/>
      <c r="D235" s="39"/>
      <c r="E235" s="39"/>
      <c r="F235" s="39"/>
      <c r="G235" s="39"/>
    </row>
    <row r="236" spans="2:7">
      <c r="B236" s="39"/>
      <c r="C236" s="39"/>
      <c r="D236" s="39"/>
      <c r="E236" s="39"/>
      <c r="F236" s="39"/>
      <c r="G236" s="39"/>
    </row>
    <row r="237" spans="2:7">
      <c r="B237" s="39"/>
      <c r="C237" s="39"/>
      <c r="D237" s="39"/>
      <c r="E237" s="39"/>
      <c r="F237" s="39"/>
      <c r="G237" s="39"/>
    </row>
    <row r="238" spans="2:7">
      <c r="B238" s="39"/>
      <c r="C238" s="39"/>
      <c r="D238" s="39"/>
      <c r="E238" s="39"/>
      <c r="F238" s="39"/>
      <c r="G238" s="39"/>
    </row>
    <row r="239" spans="2:7">
      <c r="B239" s="39"/>
      <c r="C239" s="39"/>
      <c r="D239" s="39"/>
      <c r="E239" s="39"/>
      <c r="F239" s="39"/>
      <c r="G239" s="39"/>
    </row>
    <row r="240" spans="2:7">
      <c r="B240" s="39"/>
      <c r="C240" s="39"/>
      <c r="D240" s="39"/>
      <c r="E240" s="39"/>
      <c r="F240" s="39"/>
      <c r="G240" s="39"/>
    </row>
    <row r="241" spans="2:7">
      <c r="B241" s="39"/>
      <c r="C241" s="39"/>
      <c r="D241" s="39"/>
      <c r="E241" s="39"/>
      <c r="F241" s="39"/>
      <c r="G241" s="39"/>
    </row>
    <row r="242" spans="2:7">
      <c r="B242" s="39"/>
      <c r="C242" s="39"/>
      <c r="D242" s="39"/>
      <c r="E242" s="39"/>
      <c r="F242" s="39"/>
      <c r="G242" s="39"/>
    </row>
    <row r="243" spans="2:7">
      <c r="B243" s="39"/>
      <c r="C243" s="39"/>
      <c r="D243" s="39"/>
      <c r="E243" s="39"/>
      <c r="F243" s="39"/>
      <c r="G243" s="39"/>
    </row>
    <row r="244" spans="2:7">
      <c r="B244" s="39"/>
      <c r="C244" s="39"/>
      <c r="D244" s="39"/>
      <c r="E244" s="39"/>
      <c r="F244" s="39"/>
      <c r="G244" s="39"/>
    </row>
    <row r="245" spans="2:7">
      <c r="B245" s="39"/>
      <c r="C245" s="39"/>
      <c r="D245" s="39"/>
      <c r="E245" s="39"/>
      <c r="F245" s="39"/>
      <c r="G245" s="39"/>
    </row>
    <row r="246" spans="2:7">
      <c r="B246" s="39"/>
      <c r="C246" s="39"/>
      <c r="D246" s="39"/>
      <c r="E246" s="39"/>
      <c r="F246" s="39"/>
      <c r="G246" s="39"/>
    </row>
    <row r="247" spans="2:7">
      <c r="B247" s="39"/>
      <c r="C247" s="39"/>
      <c r="D247" s="39"/>
      <c r="E247" s="39"/>
      <c r="F247" s="39"/>
      <c r="G247" s="39"/>
    </row>
    <row r="248" spans="2:7">
      <c r="B248" s="39"/>
      <c r="C248" s="39"/>
      <c r="D248" s="39"/>
      <c r="E248" s="39"/>
      <c r="F248" s="39"/>
      <c r="G248" s="39"/>
    </row>
    <row r="249" spans="2:7">
      <c r="B249" s="39"/>
      <c r="C249" s="39"/>
      <c r="D249" s="39"/>
      <c r="E249" s="39"/>
      <c r="F249" s="39"/>
      <c r="G249" s="39"/>
    </row>
    <row r="250" spans="2:7">
      <c r="B250" s="39"/>
      <c r="C250" s="39"/>
      <c r="D250" s="39"/>
      <c r="E250" s="39"/>
      <c r="F250" s="39"/>
      <c r="G250" s="39"/>
    </row>
    <row r="251" spans="2:7">
      <c r="B251" s="39"/>
      <c r="C251" s="39"/>
      <c r="D251" s="39"/>
      <c r="E251" s="39"/>
      <c r="F251" s="39"/>
      <c r="G251" s="39"/>
    </row>
    <row r="252" spans="2:7">
      <c r="B252" s="39"/>
      <c r="C252" s="39"/>
      <c r="D252" s="39"/>
      <c r="E252" s="39"/>
      <c r="F252" s="39"/>
      <c r="G252" s="39"/>
    </row>
    <row r="253" spans="2:7">
      <c r="B253" s="39"/>
      <c r="C253" s="39"/>
      <c r="D253" s="39"/>
      <c r="E253" s="39"/>
      <c r="F253" s="39"/>
      <c r="G253" s="39"/>
    </row>
    <row r="254" spans="2:7">
      <c r="B254" s="39"/>
      <c r="C254" s="39"/>
      <c r="D254" s="39"/>
      <c r="E254" s="39"/>
      <c r="F254" s="39"/>
      <c r="G254" s="39"/>
    </row>
    <row r="255" spans="2:7">
      <c r="B255" s="39"/>
      <c r="C255" s="39"/>
      <c r="D255" s="39"/>
      <c r="E255" s="39"/>
      <c r="F255" s="39"/>
      <c r="G255" s="39"/>
    </row>
    <row r="256" spans="2:7">
      <c r="B256" s="39"/>
      <c r="C256" s="39"/>
      <c r="D256" s="39"/>
      <c r="E256" s="39"/>
      <c r="F256" s="39"/>
      <c r="G256" s="39"/>
    </row>
    <row r="257" spans="2:7">
      <c r="B257" s="39"/>
      <c r="C257" s="39"/>
      <c r="D257" s="39"/>
      <c r="E257" s="39"/>
      <c r="F257" s="39"/>
      <c r="G257" s="39"/>
    </row>
    <row r="258" spans="2:7">
      <c r="B258" s="39"/>
      <c r="C258" s="39"/>
      <c r="D258" s="39"/>
      <c r="E258" s="39"/>
      <c r="F258" s="39"/>
      <c r="G258" s="39"/>
    </row>
    <row r="259" spans="2:7">
      <c r="B259" s="39"/>
      <c r="C259" s="39"/>
      <c r="D259" s="39"/>
      <c r="E259" s="39"/>
      <c r="F259" s="39"/>
      <c r="G259" s="39"/>
    </row>
    <row r="260" spans="2:7">
      <c r="B260" s="39"/>
      <c r="C260" s="39"/>
      <c r="D260" s="39"/>
      <c r="E260" s="39"/>
      <c r="F260" s="39"/>
      <c r="G260" s="39"/>
    </row>
    <row r="261" spans="2:7">
      <c r="B261" s="39"/>
      <c r="C261" s="39"/>
      <c r="D261" s="39"/>
      <c r="E261" s="39"/>
      <c r="F261" s="39"/>
      <c r="G261" s="39"/>
    </row>
    <row r="262" spans="2:7">
      <c r="B262" s="39"/>
      <c r="C262" s="39"/>
      <c r="D262" s="39"/>
      <c r="E262" s="39"/>
      <c r="F262" s="39"/>
      <c r="G262" s="39"/>
    </row>
    <row r="263" spans="2:7">
      <c r="B263" s="39"/>
      <c r="C263" s="39"/>
      <c r="D263" s="39"/>
      <c r="E263" s="39"/>
      <c r="F263" s="39"/>
      <c r="G263" s="39"/>
    </row>
    <row r="264" spans="2:7">
      <c r="B264" s="39"/>
      <c r="C264" s="39"/>
      <c r="D264" s="39"/>
      <c r="E264" s="39"/>
      <c r="F264" s="39"/>
      <c r="G264" s="39"/>
    </row>
    <row r="265" spans="2:7">
      <c r="B265" s="39"/>
      <c r="C265" s="39"/>
      <c r="D265" s="39"/>
      <c r="E265" s="39"/>
      <c r="F265" s="39"/>
      <c r="G265" s="39"/>
    </row>
    <row r="266" spans="2:7">
      <c r="B266" s="39"/>
      <c r="C266" s="39"/>
      <c r="D266" s="39"/>
      <c r="E266" s="39"/>
      <c r="F266" s="39"/>
      <c r="G266" s="39"/>
    </row>
    <row r="267" spans="2:7">
      <c r="B267" s="39"/>
      <c r="C267" s="39"/>
      <c r="D267" s="39"/>
      <c r="E267" s="39"/>
      <c r="F267" s="39"/>
      <c r="G267" s="39"/>
    </row>
    <row r="268" spans="2:7">
      <c r="B268" s="39"/>
      <c r="C268" s="39"/>
      <c r="D268" s="39"/>
      <c r="E268" s="39"/>
      <c r="F268" s="39"/>
      <c r="G268" s="39"/>
    </row>
    <row r="269" spans="2:7">
      <c r="B269" s="39"/>
      <c r="C269" s="39"/>
      <c r="D269" s="39"/>
      <c r="E269" s="39"/>
      <c r="F269" s="39"/>
      <c r="G269" s="39"/>
    </row>
    <row r="270" spans="2:7">
      <c r="B270" s="39"/>
      <c r="C270" s="39"/>
      <c r="D270" s="39"/>
      <c r="E270" s="39"/>
      <c r="F270" s="39"/>
      <c r="G270" s="39"/>
    </row>
    <row r="271" spans="2:7">
      <c r="B271" s="39"/>
      <c r="C271" s="39"/>
      <c r="D271" s="39"/>
      <c r="E271" s="39"/>
      <c r="F271" s="39"/>
      <c r="G271" s="39"/>
    </row>
    <row r="272" spans="2:7">
      <c r="B272" s="39"/>
      <c r="C272" s="39"/>
      <c r="D272" s="39"/>
      <c r="E272" s="39"/>
      <c r="F272" s="39"/>
      <c r="G272" s="39"/>
    </row>
    <row r="273" spans="2:7">
      <c r="B273" s="39"/>
      <c r="C273" s="39"/>
      <c r="D273" s="39"/>
      <c r="E273" s="39"/>
      <c r="F273" s="39"/>
      <c r="G273" s="39"/>
    </row>
    <row r="274" spans="2:7">
      <c r="B274" s="39"/>
      <c r="C274" s="39"/>
      <c r="D274" s="39"/>
      <c r="E274" s="39"/>
      <c r="F274" s="39"/>
      <c r="G274" s="39"/>
    </row>
    <row r="275" spans="2:7">
      <c r="B275" s="39"/>
      <c r="C275" s="39"/>
      <c r="D275" s="39"/>
      <c r="E275" s="39"/>
      <c r="F275" s="39"/>
      <c r="G275" s="39"/>
    </row>
    <row r="276" spans="2:7">
      <c r="B276" s="39"/>
      <c r="C276" s="39"/>
      <c r="D276" s="39"/>
      <c r="E276" s="39"/>
      <c r="F276" s="39"/>
      <c r="G276" s="39"/>
    </row>
    <row r="277" spans="2:7">
      <c r="B277" s="39"/>
      <c r="C277" s="39"/>
      <c r="D277" s="39"/>
      <c r="E277" s="39"/>
      <c r="F277" s="39"/>
      <c r="G277" s="39"/>
    </row>
    <row r="278" spans="2:7">
      <c r="B278" s="39"/>
      <c r="C278" s="39"/>
      <c r="D278" s="39"/>
      <c r="E278" s="39"/>
      <c r="F278" s="39"/>
      <c r="G278" s="39"/>
    </row>
    <row r="279" spans="2:7">
      <c r="B279" s="39"/>
      <c r="C279" s="39"/>
      <c r="D279" s="39"/>
      <c r="E279" s="39"/>
      <c r="F279" s="39"/>
      <c r="G279" s="39"/>
    </row>
    <row r="280" spans="2:7">
      <c r="B280" s="39"/>
      <c r="C280" s="39"/>
      <c r="D280" s="39"/>
      <c r="E280" s="39"/>
      <c r="F280" s="39"/>
      <c r="G280" s="39"/>
    </row>
    <row r="281" spans="2:7">
      <c r="B281" s="39"/>
      <c r="C281" s="39"/>
      <c r="D281" s="39"/>
      <c r="E281" s="39"/>
      <c r="F281" s="39"/>
      <c r="G281" s="39"/>
    </row>
    <row r="282" spans="2:7">
      <c r="B282" s="39"/>
      <c r="C282" s="39"/>
      <c r="D282" s="39"/>
      <c r="E282" s="39"/>
      <c r="F282" s="39"/>
      <c r="G282" s="39"/>
    </row>
    <row r="283" spans="2:7">
      <c r="B283" s="39"/>
      <c r="C283" s="39"/>
      <c r="D283" s="39"/>
      <c r="E283" s="39"/>
      <c r="F283" s="39"/>
      <c r="G283" s="39"/>
    </row>
    <row r="284" spans="2:7">
      <c r="B284" s="39"/>
      <c r="C284" s="39"/>
      <c r="D284" s="39"/>
      <c r="E284" s="39"/>
      <c r="F284" s="39"/>
      <c r="G284" s="39"/>
    </row>
    <row r="285" spans="2:7">
      <c r="B285" s="39"/>
      <c r="C285" s="39"/>
      <c r="D285" s="39"/>
      <c r="E285" s="39"/>
      <c r="F285" s="39"/>
      <c r="G285" s="39"/>
    </row>
    <row r="286" spans="2:7">
      <c r="B286" s="39"/>
      <c r="C286" s="39"/>
      <c r="D286" s="39"/>
      <c r="E286" s="39"/>
      <c r="F286" s="39"/>
      <c r="G286" s="39"/>
    </row>
    <row r="287" spans="2:7">
      <c r="B287" s="39"/>
      <c r="C287" s="39"/>
      <c r="D287" s="39"/>
      <c r="E287" s="39"/>
      <c r="F287" s="39"/>
      <c r="G287" s="39"/>
    </row>
    <row r="288" spans="2:7">
      <c r="B288" s="39"/>
      <c r="C288" s="39"/>
      <c r="D288" s="39"/>
      <c r="E288" s="39"/>
      <c r="F288" s="39"/>
      <c r="G288" s="39"/>
    </row>
    <row r="289" spans="2:7">
      <c r="B289" s="39"/>
      <c r="C289" s="39"/>
      <c r="D289" s="39"/>
      <c r="E289" s="39"/>
      <c r="F289" s="39"/>
      <c r="G289" s="39"/>
    </row>
    <row r="290" spans="2:7">
      <c r="B290" s="39"/>
      <c r="C290" s="39"/>
      <c r="D290" s="39"/>
      <c r="E290" s="39"/>
      <c r="F290" s="39"/>
      <c r="G290" s="39"/>
    </row>
    <row r="291" spans="2:7">
      <c r="B291" s="39"/>
      <c r="C291" s="39"/>
      <c r="D291" s="39"/>
      <c r="E291" s="39"/>
      <c r="F291" s="39"/>
      <c r="G291" s="39"/>
    </row>
    <row r="292" spans="2:7">
      <c r="B292" s="39"/>
      <c r="C292" s="39"/>
      <c r="D292" s="39"/>
      <c r="E292" s="39"/>
      <c r="F292" s="39"/>
      <c r="G292" s="39"/>
    </row>
    <row r="293" spans="2:7">
      <c r="B293" s="39"/>
      <c r="C293" s="39"/>
      <c r="D293" s="39"/>
      <c r="E293" s="39"/>
      <c r="F293" s="39"/>
      <c r="G293" s="39"/>
    </row>
    <row r="294" spans="2:7">
      <c r="B294" s="39"/>
      <c r="C294" s="39"/>
      <c r="D294" s="39"/>
      <c r="E294" s="39"/>
      <c r="F294" s="39"/>
      <c r="G294" s="39"/>
    </row>
    <row r="295" spans="2:7">
      <c r="B295" s="39"/>
      <c r="C295" s="39"/>
      <c r="D295" s="39"/>
      <c r="E295" s="39"/>
      <c r="F295" s="39"/>
      <c r="G295" s="39"/>
    </row>
    <row r="296" spans="2:7">
      <c r="B296" s="39"/>
      <c r="C296" s="39"/>
      <c r="D296" s="39"/>
      <c r="E296" s="39"/>
      <c r="F296" s="39"/>
      <c r="G296" s="39"/>
    </row>
    <row r="297" spans="2:7">
      <c r="B297" s="39"/>
      <c r="C297" s="39"/>
      <c r="D297" s="39"/>
      <c r="E297" s="39"/>
      <c r="F297" s="39"/>
      <c r="G297" s="39"/>
    </row>
    <row r="298" spans="2:7">
      <c r="B298" s="39"/>
      <c r="C298" s="39"/>
      <c r="D298" s="39"/>
      <c r="E298" s="39"/>
      <c r="F298" s="39"/>
      <c r="G298" s="39"/>
    </row>
    <row r="299" spans="2:7">
      <c r="B299" s="39"/>
      <c r="C299" s="39"/>
      <c r="D299" s="39"/>
      <c r="E299" s="39"/>
      <c r="F299" s="39"/>
      <c r="G299" s="39"/>
    </row>
    <row r="300" spans="2:7">
      <c r="B300" s="39"/>
      <c r="C300" s="39"/>
      <c r="D300" s="39"/>
      <c r="E300" s="39"/>
      <c r="F300" s="39"/>
      <c r="G300" s="39"/>
    </row>
    <row r="301" spans="2:7">
      <c r="B301" s="39"/>
      <c r="C301" s="39"/>
      <c r="D301" s="39"/>
      <c r="E301" s="39"/>
      <c r="F301" s="39"/>
      <c r="G301" s="39"/>
    </row>
    <row r="302" spans="2:7">
      <c r="B302" s="39"/>
      <c r="C302" s="39"/>
      <c r="D302" s="39"/>
      <c r="E302" s="39"/>
      <c r="F302" s="39"/>
      <c r="G302" s="39"/>
    </row>
    <row r="303" spans="2:7">
      <c r="B303" s="39"/>
      <c r="C303" s="39"/>
      <c r="D303" s="39"/>
      <c r="E303" s="39"/>
      <c r="F303" s="39"/>
      <c r="G303" s="39"/>
    </row>
    <row r="304" spans="2:7">
      <c r="B304" s="39"/>
      <c r="C304" s="39"/>
      <c r="D304" s="39"/>
      <c r="E304" s="39"/>
      <c r="F304" s="39"/>
      <c r="G304" s="39"/>
    </row>
    <row r="305" spans="2:7">
      <c r="B305" s="39"/>
      <c r="C305" s="39"/>
      <c r="D305" s="39"/>
      <c r="E305" s="39"/>
      <c r="F305" s="39"/>
      <c r="G305" s="39"/>
    </row>
    <row r="306" spans="2:7">
      <c r="B306" s="39"/>
      <c r="C306" s="39"/>
      <c r="D306" s="39"/>
      <c r="E306" s="39"/>
      <c r="F306" s="39"/>
      <c r="G306" s="39"/>
    </row>
    <row r="307" spans="2:7">
      <c r="B307" s="39"/>
      <c r="C307" s="39"/>
      <c r="D307" s="39"/>
      <c r="E307" s="39"/>
      <c r="F307" s="39"/>
      <c r="G307" s="39"/>
    </row>
    <row r="308" spans="2:7">
      <c r="B308" s="39"/>
      <c r="C308" s="39"/>
      <c r="D308" s="39"/>
      <c r="E308" s="39"/>
      <c r="F308" s="39"/>
      <c r="G308" s="39"/>
    </row>
    <row r="309" spans="2:7">
      <c r="B309" s="39"/>
      <c r="C309" s="39"/>
      <c r="D309" s="39"/>
      <c r="E309" s="39"/>
      <c r="F309" s="39"/>
      <c r="G309" s="39"/>
    </row>
    <row r="310" spans="2:7">
      <c r="B310" s="39"/>
      <c r="C310" s="39"/>
      <c r="D310" s="39"/>
      <c r="E310" s="39"/>
      <c r="F310" s="39"/>
      <c r="G310" s="39"/>
    </row>
    <row r="311" spans="2:7">
      <c r="B311" s="39"/>
      <c r="C311" s="39"/>
      <c r="D311" s="39"/>
      <c r="E311" s="39"/>
      <c r="F311" s="39"/>
      <c r="G311" s="39"/>
    </row>
    <row r="312" spans="2:7">
      <c r="B312" s="39"/>
      <c r="C312" s="39"/>
      <c r="D312" s="39"/>
      <c r="E312" s="39"/>
      <c r="F312" s="39"/>
      <c r="G312" s="39"/>
    </row>
    <row r="313" spans="2:7">
      <c r="B313" s="39"/>
      <c r="C313" s="39"/>
      <c r="D313" s="39"/>
      <c r="E313" s="39"/>
      <c r="F313" s="39"/>
      <c r="G313" s="39"/>
    </row>
    <row r="314" spans="2:7">
      <c r="B314" s="39"/>
      <c r="C314" s="39"/>
      <c r="D314" s="39"/>
      <c r="E314" s="39"/>
      <c r="F314" s="39"/>
      <c r="G314" s="39"/>
    </row>
    <row r="315" spans="2:7">
      <c r="B315" s="39"/>
      <c r="C315" s="39"/>
      <c r="D315" s="39"/>
      <c r="E315" s="39"/>
      <c r="F315" s="39"/>
      <c r="G315" s="39"/>
    </row>
    <row r="316" spans="2:7">
      <c r="B316" s="39"/>
      <c r="C316" s="39"/>
      <c r="D316" s="39"/>
      <c r="E316" s="39"/>
      <c r="F316" s="39"/>
      <c r="G316" s="39"/>
    </row>
    <row r="317" spans="2:7">
      <c r="B317" s="39"/>
      <c r="C317" s="39"/>
      <c r="D317" s="39"/>
      <c r="E317" s="39"/>
      <c r="F317" s="39"/>
      <c r="G317" s="39"/>
    </row>
    <row r="318" spans="2:7">
      <c r="B318" s="39"/>
      <c r="C318" s="39"/>
      <c r="D318" s="39"/>
      <c r="E318" s="39"/>
      <c r="F318" s="39"/>
      <c r="G318" s="39"/>
    </row>
    <row r="319" spans="2:7">
      <c r="B319" s="39"/>
      <c r="C319" s="39"/>
      <c r="D319" s="39"/>
      <c r="E319" s="39"/>
      <c r="F319" s="39"/>
      <c r="G319" s="39"/>
    </row>
    <row r="320" spans="2:7">
      <c r="B320" s="39"/>
      <c r="C320" s="39"/>
      <c r="D320" s="39"/>
      <c r="E320" s="39"/>
      <c r="F320" s="39"/>
      <c r="G320" s="39"/>
    </row>
    <row r="321" spans="2:7">
      <c r="B321" s="39"/>
      <c r="C321" s="39"/>
      <c r="D321" s="39"/>
      <c r="E321" s="39"/>
      <c r="F321" s="39"/>
      <c r="G321" s="39"/>
    </row>
    <row r="322" spans="2:7">
      <c r="B322" s="39"/>
      <c r="C322" s="39"/>
      <c r="D322" s="39"/>
      <c r="E322" s="39"/>
      <c r="F322" s="39"/>
      <c r="G322" s="39"/>
    </row>
    <row r="323" spans="2:7">
      <c r="B323" s="39"/>
      <c r="C323" s="39"/>
      <c r="D323" s="39"/>
      <c r="E323" s="39"/>
      <c r="F323" s="39"/>
      <c r="G323" s="39"/>
    </row>
    <row r="324" spans="2:7">
      <c r="B324" s="39"/>
      <c r="C324" s="39"/>
      <c r="D324" s="39"/>
      <c r="E324" s="39"/>
      <c r="F324" s="39"/>
      <c r="G324" s="39"/>
    </row>
    <row r="325" spans="2:7">
      <c r="B325" s="39"/>
      <c r="C325" s="39"/>
      <c r="D325" s="39"/>
      <c r="E325" s="39"/>
      <c r="F325" s="39"/>
      <c r="G325" s="39"/>
    </row>
    <row r="326" spans="2:7">
      <c r="B326" s="39"/>
      <c r="C326" s="39"/>
      <c r="D326" s="39"/>
      <c r="E326" s="39"/>
      <c r="F326" s="39"/>
      <c r="G326" s="39"/>
    </row>
    <row r="327" spans="2:7">
      <c r="B327" s="39"/>
      <c r="C327" s="39"/>
      <c r="D327" s="39"/>
      <c r="E327" s="39"/>
      <c r="F327" s="39"/>
      <c r="G327" s="39"/>
    </row>
    <row r="328" spans="2:7">
      <c r="B328" s="39"/>
      <c r="C328" s="39"/>
      <c r="D328" s="39"/>
      <c r="E328" s="39"/>
      <c r="F328" s="39"/>
      <c r="G328" s="39"/>
    </row>
    <row r="329" spans="2:7">
      <c r="B329" s="39"/>
      <c r="C329" s="39"/>
      <c r="D329" s="39"/>
      <c r="E329" s="39"/>
      <c r="F329" s="39"/>
      <c r="G329" s="39"/>
    </row>
    <row r="330" spans="2:7">
      <c r="B330" s="39"/>
      <c r="C330" s="39"/>
      <c r="D330" s="39"/>
      <c r="E330" s="39"/>
      <c r="F330" s="39"/>
      <c r="G330" s="39"/>
    </row>
    <row r="331" spans="2:7">
      <c r="B331" s="39"/>
      <c r="C331" s="39"/>
      <c r="D331" s="39"/>
      <c r="E331" s="39"/>
      <c r="F331" s="39"/>
      <c r="G331" s="39"/>
    </row>
    <row r="332" spans="2:7">
      <c r="B332" s="39"/>
      <c r="C332" s="39"/>
      <c r="D332" s="39"/>
      <c r="E332" s="39"/>
      <c r="F332" s="39"/>
      <c r="G332" s="39"/>
    </row>
    <row r="333" spans="2:7">
      <c r="B333" s="39"/>
      <c r="C333" s="39"/>
      <c r="D333" s="39"/>
      <c r="E333" s="39"/>
      <c r="F333" s="39"/>
      <c r="G333" s="39"/>
    </row>
    <row r="334" spans="2:7">
      <c r="B334" s="39"/>
      <c r="C334" s="39"/>
      <c r="D334" s="39"/>
      <c r="E334" s="39"/>
      <c r="F334" s="39"/>
      <c r="G334" s="39"/>
    </row>
    <row r="335" spans="2:7">
      <c r="B335" s="39"/>
      <c r="C335" s="39"/>
      <c r="D335" s="39"/>
      <c r="E335" s="39"/>
      <c r="F335" s="39"/>
      <c r="G335" s="39"/>
    </row>
    <row r="336" spans="2:7">
      <c r="B336" s="39"/>
      <c r="C336" s="39"/>
      <c r="D336" s="39"/>
      <c r="E336" s="39"/>
      <c r="F336" s="39"/>
      <c r="G336" s="39"/>
    </row>
    <row r="337" spans="2:7">
      <c r="B337" s="39"/>
      <c r="C337" s="39"/>
      <c r="D337" s="39"/>
      <c r="E337" s="39"/>
      <c r="F337" s="39"/>
      <c r="G337" s="39"/>
    </row>
    <row r="338" spans="2:7">
      <c r="B338" s="39"/>
      <c r="C338" s="39"/>
      <c r="D338" s="39"/>
      <c r="E338" s="39"/>
      <c r="F338" s="39"/>
      <c r="G338" s="39"/>
    </row>
    <row r="339" spans="2:7">
      <c r="B339" s="39"/>
      <c r="C339" s="39"/>
      <c r="D339" s="39"/>
      <c r="E339" s="39"/>
      <c r="F339" s="39"/>
      <c r="G339" s="39"/>
    </row>
    <row r="340" spans="2:7">
      <c r="B340" s="39"/>
      <c r="C340" s="39"/>
      <c r="D340" s="39"/>
      <c r="E340" s="39"/>
      <c r="F340" s="39"/>
      <c r="G340" s="39"/>
    </row>
    <row r="341" spans="2:7">
      <c r="B341" s="39"/>
      <c r="C341" s="39"/>
      <c r="D341" s="39"/>
      <c r="E341" s="39"/>
      <c r="F341" s="39"/>
      <c r="G341" s="39"/>
    </row>
    <row r="342" spans="2:7">
      <c r="B342" s="39"/>
      <c r="C342" s="39"/>
      <c r="D342" s="39"/>
      <c r="E342" s="39"/>
      <c r="F342" s="39"/>
      <c r="G342" s="39"/>
    </row>
    <row r="343" spans="2:7">
      <c r="B343" s="39"/>
      <c r="C343" s="39"/>
      <c r="D343" s="39"/>
      <c r="E343" s="39"/>
      <c r="F343" s="39"/>
      <c r="G343" s="39"/>
    </row>
    <row r="344" spans="2:7">
      <c r="B344" s="39"/>
      <c r="C344" s="39"/>
      <c r="D344" s="39"/>
      <c r="E344" s="39"/>
      <c r="F344" s="39"/>
      <c r="G344" s="39"/>
    </row>
    <row r="345" spans="2:7">
      <c r="B345" s="39"/>
      <c r="C345" s="39"/>
      <c r="D345" s="39"/>
      <c r="E345" s="39"/>
      <c r="F345" s="39"/>
      <c r="G345" s="39"/>
    </row>
    <row r="346" spans="2:7">
      <c r="B346" s="39"/>
      <c r="C346" s="39"/>
      <c r="D346" s="39"/>
      <c r="E346" s="39"/>
      <c r="F346" s="39"/>
      <c r="G346" s="39"/>
    </row>
    <row r="347" spans="2:7">
      <c r="B347" s="39"/>
      <c r="C347" s="39"/>
      <c r="D347" s="39"/>
      <c r="E347" s="39"/>
      <c r="F347" s="39"/>
      <c r="G347" s="39"/>
    </row>
    <row r="348" spans="2:7">
      <c r="B348" s="39"/>
      <c r="C348" s="39"/>
      <c r="D348" s="39"/>
      <c r="E348" s="39"/>
      <c r="F348" s="39"/>
      <c r="G348" s="39"/>
    </row>
    <row r="349" spans="2:7">
      <c r="B349" s="39"/>
      <c r="C349" s="39"/>
      <c r="D349" s="39"/>
      <c r="E349" s="39"/>
      <c r="F349" s="39"/>
      <c r="G349" s="39"/>
    </row>
    <row r="350" spans="2:7">
      <c r="B350" s="39"/>
      <c r="C350" s="39"/>
      <c r="D350" s="39"/>
      <c r="E350" s="39"/>
      <c r="F350" s="39"/>
      <c r="G350" s="39"/>
    </row>
    <row r="351" spans="2:7">
      <c r="B351" s="39"/>
      <c r="C351" s="39"/>
      <c r="D351" s="39"/>
      <c r="E351" s="39"/>
      <c r="F351" s="39"/>
      <c r="G351" s="39"/>
    </row>
    <row r="352" spans="2:7">
      <c r="B352" s="39"/>
      <c r="C352" s="39"/>
      <c r="D352" s="39"/>
      <c r="E352" s="39"/>
      <c r="F352" s="39"/>
      <c r="G352" s="39"/>
    </row>
    <row r="353" spans="2:7">
      <c r="B353" s="39"/>
      <c r="C353" s="39"/>
      <c r="D353" s="39"/>
      <c r="E353" s="39"/>
      <c r="F353" s="39"/>
      <c r="G353" s="39"/>
    </row>
    <row r="354" spans="2:7">
      <c r="B354" s="39"/>
      <c r="C354" s="39"/>
      <c r="D354" s="39"/>
      <c r="E354" s="39"/>
      <c r="F354" s="39"/>
      <c r="G354" s="39"/>
    </row>
    <row r="355" spans="2:7">
      <c r="B355" s="39"/>
      <c r="C355" s="39"/>
      <c r="D355" s="39"/>
      <c r="E355" s="39"/>
      <c r="F355" s="39"/>
      <c r="G355" s="39"/>
    </row>
    <row r="356" spans="2:7">
      <c r="B356" s="39"/>
      <c r="C356" s="39"/>
      <c r="D356" s="39"/>
      <c r="E356" s="39"/>
      <c r="F356" s="39"/>
      <c r="G356" s="39"/>
    </row>
    <row r="357" spans="2:7">
      <c r="B357" s="39"/>
      <c r="C357" s="39"/>
      <c r="D357" s="39"/>
      <c r="E357" s="39"/>
      <c r="F357" s="39"/>
      <c r="G357" s="39"/>
    </row>
    <row r="358" spans="2:7">
      <c r="B358" s="39"/>
      <c r="C358" s="39"/>
      <c r="D358" s="39"/>
      <c r="E358" s="39"/>
      <c r="F358" s="39"/>
      <c r="G358" s="39"/>
    </row>
    <row r="359" spans="2:7">
      <c r="B359" s="39"/>
      <c r="C359" s="39"/>
      <c r="D359" s="39"/>
      <c r="E359" s="39"/>
      <c r="F359" s="39"/>
      <c r="G359" s="39"/>
    </row>
    <row r="360" spans="2:7">
      <c r="B360" s="39"/>
      <c r="C360" s="39"/>
      <c r="D360" s="39"/>
      <c r="E360" s="39"/>
      <c r="F360" s="39"/>
      <c r="G360" s="39"/>
    </row>
    <row r="361" spans="2:7">
      <c r="B361" s="39"/>
      <c r="C361" s="39"/>
      <c r="D361" s="39"/>
      <c r="E361" s="39"/>
      <c r="F361" s="39"/>
      <c r="G361" s="39"/>
    </row>
    <row r="362" spans="2:7">
      <c r="B362" s="39"/>
      <c r="C362" s="39"/>
      <c r="D362" s="39"/>
      <c r="E362" s="39"/>
      <c r="F362" s="39"/>
      <c r="G362" s="39"/>
    </row>
    <row r="363" spans="2:7">
      <c r="B363" s="39"/>
      <c r="C363" s="39"/>
      <c r="D363" s="39"/>
      <c r="E363" s="39"/>
      <c r="F363" s="39"/>
      <c r="G363" s="39"/>
    </row>
    <row r="364" spans="2:7">
      <c r="B364" s="39"/>
      <c r="C364" s="39"/>
      <c r="D364" s="39"/>
      <c r="E364" s="39"/>
      <c r="F364" s="39"/>
      <c r="G364" s="39"/>
    </row>
    <row r="365" spans="2:7">
      <c r="B365" s="39"/>
      <c r="C365" s="39"/>
      <c r="D365" s="39"/>
      <c r="E365" s="39"/>
      <c r="F365" s="39"/>
      <c r="G365" s="39"/>
    </row>
    <row r="366" spans="2:7">
      <c r="B366" s="39"/>
      <c r="C366" s="39"/>
      <c r="D366" s="39"/>
      <c r="E366" s="39"/>
      <c r="F366" s="39"/>
      <c r="G366" s="39"/>
    </row>
    <row r="367" spans="2:7">
      <c r="B367" s="39"/>
      <c r="C367" s="39"/>
      <c r="D367" s="39"/>
      <c r="E367" s="39"/>
      <c r="F367" s="39"/>
      <c r="G367" s="39"/>
    </row>
    <row r="368" spans="2:7">
      <c r="B368" s="39"/>
      <c r="C368" s="39"/>
      <c r="D368" s="39"/>
      <c r="E368" s="39"/>
      <c r="F368" s="39"/>
      <c r="G368" s="39"/>
    </row>
    <row r="369" spans="2:7">
      <c r="B369" s="39"/>
      <c r="C369" s="39"/>
      <c r="D369" s="39"/>
      <c r="E369" s="39"/>
      <c r="F369" s="39"/>
      <c r="G369" s="39"/>
    </row>
    <row r="370" spans="2:7">
      <c r="B370" s="39"/>
      <c r="C370" s="39"/>
      <c r="D370" s="39"/>
      <c r="E370" s="39"/>
      <c r="F370" s="39"/>
      <c r="G370" s="39"/>
    </row>
    <row r="371" spans="2:7">
      <c r="B371" s="39"/>
      <c r="C371" s="39"/>
      <c r="D371" s="39"/>
      <c r="E371" s="39"/>
      <c r="F371" s="39"/>
      <c r="G371" s="39"/>
    </row>
    <row r="372" spans="2:7">
      <c r="B372" s="39"/>
      <c r="C372" s="39"/>
      <c r="D372" s="39"/>
      <c r="E372" s="39"/>
      <c r="F372" s="39"/>
      <c r="G372" s="39"/>
    </row>
    <row r="373" spans="2:7">
      <c r="B373" s="39"/>
      <c r="C373" s="39"/>
      <c r="D373" s="39"/>
      <c r="E373" s="39"/>
      <c r="F373" s="39"/>
      <c r="G373" s="39"/>
    </row>
    <row r="374" spans="2:7">
      <c r="B374" s="39"/>
      <c r="C374" s="39"/>
      <c r="D374" s="39"/>
      <c r="E374" s="39"/>
      <c r="F374" s="39"/>
      <c r="G374" s="39"/>
    </row>
    <row r="375" spans="2:7">
      <c r="B375" s="39"/>
      <c r="C375" s="39"/>
      <c r="D375" s="39"/>
      <c r="E375" s="39"/>
      <c r="F375" s="39"/>
      <c r="G375" s="39"/>
    </row>
    <row r="376" spans="2:7">
      <c r="B376" s="39"/>
      <c r="C376" s="39"/>
      <c r="D376" s="39"/>
      <c r="E376" s="39"/>
      <c r="F376" s="39"/>
      <c r="G376" s="39"/>
    </row>
    <row r="377" spans="2:7">
      <c r="B377" s="39"/>
      <c r="C377" s="39"/>
      <c r="D377" s="39"/>
      <c r="E377" s="39"/>
      <c r="F377" s="39"/>
      <c r="G377" s="39"/>
    </row>
    <row r="378" spans="2:7">
      <c r="B378" s="39"/>
      <c r="C378" s="39"/>
      <c r="D378" s="39"/>
      <c r="E378" s="39"/>
      <c r="F378" s="39"/>
      <c r="G378" s="39"/>
    </row>
    <row r="379" spans="2:7">
      <c r="B379" s="39"/>
      <c r="C379" s="39"/>
      <c r="D379" s="39"/>
      <c r="E379" s="39"/>
      <c r="F379" s="39"/>
      <c r="G379" s="39"/>
    </row>
    <row r="380" spans="2:7">
      <c r="B380" s="39"/>
      <c r="C380" s="39"/>
      <c r="D380" s="39"/>
      <c r="E380" s="39"/>
      <c r="F380" s="39"/>
      <c r="G380" s="39"/>
    </row>
    <row r="381" spans="2:7">
      <c r="B381" s="39"/>
      <c r="C381" s="39"/>
      <c r="D381" s="39"/>
      <c r="E381" s="39"/>
      <c r="F381" s="39"/>
      <c r="G381" s="39"/>
    </row>
    <row r="382" spans="2:7">
      <c r="B382" s="39"/>
      <c r="C382" s="39"/>
      <c r="D382" s="39"/>
      <c r="E382" s="39"/>
      <c r="F382" s="39"/>
      <c r="G382" s="39"/>
    </row>
    <row r="383" spans="2:7">
      <c r="B383" s="39"/>
      <c r="C383" s="39"/>
      <c r="D383" s="39"/>
      <c r="E383" s="39"/>
      <c r="F383" s="39"/>
      <c r="G383" s="39"/>
    </row>
    <row r="384" spans="2:7">
      <c r="B384" s="39"/>
      <c r="C384" s="39"/>
      <c r="D384" s="39"/>
      <c r="E384" s="39"/>
      <c r="F384" s="39"/>
      <c r="G384" s="39"/>
    </row>
    <row r="385" spans="2:7">
      <c r="B385" s="39"/>
      <c r="C385" s="39"/>
      <c r="D385" s="39"/>
      <c r="E385" s="39"/>
      <c r="F385" s="39"/>
      <c r="G385" s="39"/>
    </row>
    <row r="386" spans="2:7">
      <c r="B386" s="39"/>
      <c r="C386" s="39"/>
      <c r="D386" s="39"/>
      <c r="E386" s="39"/>
      <c r="F386" s="39"/>
      <c r="G386" s="39"/>
    </row>
    <row r="387" spans="2:7">
      <c r="B387" s="39"/>
      <c r="C387" s="39"/>
      <c r="D387" s="39"/>
      <c r="E387" s="39"/>
      <c r="F387" s="39"/>
      <c r="G387" s="39"/>
    </row>
    <row r="388" spans="2:7">
      <c r="B388" s="39"/>
      <c r="C388" s="39"/>
      <c r="D388" s="39"/>
      <c r="E388" s="39"/>
      <c r="F388" s="39"/>
      <c r="G388" s="39"/>
    </row>
    <row r="389" spans="2:7">
      <c r="B389" s="39"/>
      <c r="C389" s="39"/>
      <c r="D389" s="39"/>
      <c r="E389" s="39"/>
      <c r="F389" s="39"/>
      <c r="G389" s="39"/>
    </row>
    <row r="390" spans="2:7">
      <c r="B390" s="39"/>
      <c r="C390" s="39"/>
      <c r="D390" s="39"/>
      <c r="E390" s="39"/>
      <c r="F390" s="39"/>
      <c r="G390" s="39"/>
    </row>
    <row r="391" spans="2:7">
      <c r="B391" s="39"/>
      <c r="C391" s="39"/>
      <c r="D391" s="39"/>
      <c r="E391" s="39"/>
      <c r="F391" s="39"/>
      <c r="G391" s="39"/>
    </row>
    <row r="392" spans="2:7">
      <c r="B392" s="39"/>
      <c r="C392" s="39"/>
      <c r="D392" s="39"/>
      <c r="E392" s="39"/>
      <c r="F392" s="39"/>
      <c r="G392" s="39"/>
    </row>
    <row r="393" spans="2:7">
      <c r="B393" s="39"/>
      <c r="C393" s="39"/>
      <c r="D393" s="39"/>
      <c r="E393" s="39"/>
      <c r="F393" s="39"/>
      <c r="G393" s="39"/>
    </row>
    <row r="394" spans="2:7">
      <c r="B394" s="39"/>
      <c r="C394" s="39"/>
      <c r="D394" s="39"/>
      <c r="E394" s="39"/>
      <c r="F394" s="39"/>
      <c r="G394" s="39"/>
    </row>
    <row r="395" spans="2:7">
      <c r="B395" s="39"/>
      <c r="C395" s="39"/>
      <c r="D395" s="39"/>
      <c r="E395" s="39"/>
      <c r="F395" s="39"/>
      <c r="G395" s="39"/>
    </row>
    <row r="396" spans="2:7">
      <c r="B396" s="39"/>
      <c r="C396" s="39"/>
      <c r="D396" s="39"/>
      <c r="E396" s="39"/>
      <c r="F396" s="39"/>
      <c r="G396" s="39"/>
    </row>
    <row r="397" spans="2:7">
      <c r="B397" s="39"/>
      <c r="C397" s="39"/>
      <c r="D397" s="39"/>
      <c r="E397" s="39"/>
      <c r="F397" s="39"/>
      <c r="G397" s="39"/>
    </row>
    <row r="398" spans="2:7">
      <c r="B398" s="39"/>
      <c r="C398" s="39"/>
      <c r="D398" s="39"/>
      <c r="E398" s="39"/>
      <c r="F398" s="39"/>
      <c r="G398" s="39"/>
    </row>
    <row r="399" spans="2:7">
      <c r="B399" s="39"/>
      <c r="C399" s="39"/>
      <c r="D399" s="39"/>
      <c r="E399" s="39"/>
      <c r="F399" s="39"/>
      <c r="G399" s="39"/>
    </row>
    <row r="400" spans="2:7">
      <c r="B400" s="39"/>
      <c r="C400" s="39"/>
      <c r="D400" s="39"/>
      <c r="E400" s="39"/>
      <c r="F400" s="39"/>
      <c r="G400" s="39"/>
    </row>
    <row r="401" spans="2:7">
      <c r="B401" s="39"/>
      <c r="C401" s="39"/>
      <c r="D401" s="39"/>
      <c r="E401" s="39"/>
      <c r="F401" s="39"/>
      <c r="G401" s="39"/>
    </row>
    <row r="402" spans="2:7">
      <c r="B402" s="39"/>
      <c r="C402" s="39"/>
      <c r="D402" s="39"/>
      <c r="E402" s="39"/>
      <c r="F402" s="39"/>
      <c r="G402" s="39"/>
    </row>
    <row r="403" spans="2:7">
      <c r="B403" s="39"/>
      <c r="C403" s="39"/>
      <c r="D403" s="39"/>
      <c r="E403" s="39"/>
      <c r="F403" s="39"/>
      <c r="G403" s="39"/>
    </row>
    <row r="404" spans="2:7">
      <c r="B404" s="39"/>
      <c r="C404" s="39"/>
      <c r="D404" s="39"/>
      <c r="E404" s="39"/>
      <c r="F404" s="39"/>
      <c r="G404" s="39"/>
    </row>
    <row r="405" spans="2:7">
      <c r="B405" s="39"/>
      <c r="C405" s="39"/>
      <c r="D405" s="39"/>
      <c r="E405" s="39"/>
      <c r="F405" s="39"/>
      <c r="G405" s="39"/>
    </row>
    <row r="406" spans="2:7">
      <c r="B406" s="39"/>
      <c r="C406" s="39"/>
      <c r="D406" s="39"/>
      <c r="E406" s="39"/>
      <c r="F406" s="39"/>
      <c r="G406" s="39"/>
    </row>
    <row r="407" spans="2:7">
      <c r="B407" s="39"/>
      <c r="C407" s="39"/>
      <c r="D407" s="39"/>
      <c r="E407" s="39"/>
      <c r="F407" s="39"/>
      <c r="G407" s="39"/>
    </row>
    <row r="408" spans="2:7">
      <c r="B408" s="39"/>
      <c r="C408" s="39"/>
      <c r="D408" s="39"/>
      <c r="E408" s="39"/>
      <c r="F408" s="39"/>
      <c r="G408" s="39"/>
    </row>
    <row r="409" spans="2:7">
      <c r="B409" s="39"/>
      <c r="C409" s="39"/>
      <c r="D409" s="39"/>
      <c r="E409" s="39"/>
      <c r="F409" s="39"/>
      <c r="G409" s="39"/>
    </row>
    <row r="410" spans="2:7">
      <c r="B410" s="39"/>
      <c r="C410" s="39"/>
      <c r="D410" s="39"/>
      <c r="E410" s="39"/>
      <c r="F410" s="39"/>
      <c r="G410" s="39"/>
    </row>
    <row r="411" spans="2:7">
      <c r="B411" s="39"/>
      <c r="C411" s="39"/>
      <c r="D411" s="39"/>
      <c r="E411" s="39"/>
      <c r="F411" s="39"/>
      <c r="G411" s="39"/>
    </row>
    <row r="412" spans="2:7">
      <c r="B412" s="39"/>
      <c r="C412" s="39"/>
      <c r="D412" s="39"/>
      <c r="E412" s="39"/>
      <c r="F412" s="39"/>
      <c r="G412" s="39"/>
    </row>
    <row r="413" spans="2:7">
      <c r="B413" s="39"/>
      <c r="C413" s="39"/>
      <c r="D413" s="39"/>
      <c r="E413" s="39"/>
      <c r="F413" s="39"/>
      <c r="G413" s="39"/>
    </row>
    <row r="414" spans="2:7">
      <c r="B414" s="39"/>
      <c r="C414" s="39"/>
      <c r="D414" s="39"/>
      <c r="E414" s="39"/>
      <c r="F414" s="39"/>
      <c r="G414" s="39"/>
    </row>
    <row r="415" spans="2:7">
      <c r="B415" s="39"/>
      <c r="C415" s="39"/>
      <c r="D415" s="39"/>
      <c r="E415" s="39"/>
      <c r="F415" s="39"/>
      <c r="G415" s="39"/>
    </row>
    <row r="416" spans="2:7">
      <c r="B416" s="39"/>
      <c r="C416" s="39"/>
      <c r="D416" s="39"/>
      <c r="E416" s="39"/>
      <c r="F416" s="39"/>
      <c r="G416" s="39"/>
    </row>
    <row r="417" spans="2:7">
      <c r="B417" s="39"/>
      <c r="C417" s="39"/>
      <c r="D417" s="39"/>
      <c r="E417" s="39"/>
      <c r="F417" s="39"/>
      <c r="G417" s="39"/>
    </row>
    <row r="418" spans="2:7">
      <c r="B418" s="39"/>
      <c r="C418" s="39"/>
      <c r="D418" s="39"/>
      <c r="E418" s="39"/>
      <c r="F418" s="39"/>
      <c r="G418" s="39"/>
    </row>
    <row r="419" spans="2:7">
      <c r="B419" s="39"/>
      <c r="C419" s="39"/>
      <c r="D419" s="39"/>
      <c r="E419" s="39"/>
      <c r="F419" s="39"/>
      <c r="G419" s="39"/>
    </row>
    <row r="420" spans="2:7">
      <c r="B420" s="39"/>
      <c r="C420" s="39"/>
      <c r="D420" s="39"/>
      <c r="E420" s="39"/>
      <c r="F420" s="39"/>
      <c r="G420" s="39"/>
    </row>
    <row r="421" spans="2:7">
      <c r="B421" s="39"/>
      <c r="C421" s="39"/>
      <c r="D421" s="39"/>
      <c r="E421" s="39"/>
      <c r="F421" s="39"/>
      <c r="G421" s="39"/>
    </row>
    <row r="422" spans="2:7">
      <c r="B422" s="39"/>
      <c r="C422" s="39"/>
      <c r="D422" s="39"/>
      <c r="E422" s="39"/>
      <c r="F422" s="39"/>
      <c r="G422" s="39"/>
    </row>
    <row r="423" spans="2:7">
      <c r="B423" s="39"/>
      <c r="C423" s="39"/>
      <c r="D423" s="39"/>
      <c r="E423" s="39"/>
      <c r="F423" s="39"/>
      <c r="G423" s="39"/>
    </row>
  </sheetData>
  <mergeCells count="2">
    <mergeCell ref="B18:C18"/>
    <mergeCell ref="B19:C19"/>
  </mergeCells>
  <pageMargins left="0.75" right="0.75" top="1" bottom="1" header="0.5" footer="0.5"/>
  <pageSetup scale="61" orientation="portrait" r:id="rId1"/>
  <headerFooter alignWithMargins="0"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6"/>
  <sheetViews>
    <sheetView topLeftCell="A28" zoomScale="85" zoomScaleNormal="85" workbookViewId="0">
      <selection activeCell="G7" sqref="G7"/>
    </sheetView>
  </sheetViews>
  <sheetFormatPr defaultColWidth="9.1796875" defaultRowHeight="13"/>
  <cols>
    <col min="1" max="1" width="27" style="8" customWidth="1"/>
    <col min="2" max="7" width="20.7265625" style="7" customWidth="1"/>
    <col min="8" max="8" width="21.54296875" style="7" customWidth="1"/>
    <col min="9" max="9" width="20.7265625" style="7" customWidth="1"/>
    <col min="10" max="16384" width="9.1796875" style="7"/>
  </cols>
  <sheetData>
    <row r="1" spans="1:9">
      <c r="B1" s="2"/>
      <c r="C1" s="2"/>
      <c r="D1" s="2"/>
      <c r="E1" s="3"/>
      <c r="F1" s="3"/>
      <c r="G1" s="3"/>
      <c r="H1" s="3"/>
      <c r="I1" s="3"/>
    </row>
    <row r="2" spans="1:9" ht="15">
      <c r="B2" s="34"/>
      <c r="C2" s="34"/>
      <c r="D2" s="4" t="s">
        <v>0</v>
      </c>
      <c r="E2" s="34"/>
      <c r="F2" s="34"/>
      <c r="G2" s="10"/>
      <c r="H2" s="10"/>
      <c r="I2" s="10"/>
    </row>
    <row r="3" spans="1:9" ht="15.5">
      <c r="B3" s="2"/>
      <c r="C3" s="2"/>
      <c r="D3" s="38"/>
      <c r="E3" s="2"/>
      <c r="F3" s="2"/>
      <c r="G3" s="3"/>
      <c r="H3" s="3"/>
      <c r="I3" s="3"/>
    </row>
    <row r="4" spans="1:9" ht="15">
      <c r="B4" s="2"/>
      <c r="C4" s="2"/>
      <c r="D4" s="4"/>
      <c r="E4" s="34"/>
      <c r="F4" s="34"/>
      <c r="G4" s="34"/>
      <c r="H4" s="3"/>
      <c r="I4" s="35"/>
    </row>
    <row r="5" spans="1:9" ht="15">
      <c r="A5" s="36"/>
      <c r="B5" s="34"/>
      <c r="C5" s="34"/>
      <c r="D5" s="4"/>
      <c r="E5" s="34"/>
      <c r="F5" s="34"/>
      <c r="G5" s="35"/>
      <c r="H5" s="34"/>
      <c r="I5" s="35"/>
    </row>
    <row r="6" spans="1:9" ht="15">
      <c r="A6" s="36"/>
      <c r="B6" s="34"/>
      <c r="C6" s="34"/>
      <c r="D6" s="4"/>
      <c r="E6" s="34"/>
      <c r="F6" s="34"/>
      <c r="G6" s="35"/>
      <c r="H6" s="34"/>
      <c r="I6" s="35"/>
    </row>
    <row r="7" spans="1:9" ht="15">
      <c r="A7" s="36"/>
      <c r="B7" s="34"/>
      <c r="C7" s="34"/>
      <c r="D7" s="4"/>
      <c r="E7" s="34"/>
      <c r="F7" s="34"/>
      <c r="G7" s="23"/>
      <c r="H7" s="34"/>
      <c r="I7" s="23"/>
    </row>
    <row r="8" spans="1:9" ht="13.5" thickBot="1">
      <c r="A8" s="16"/>
      <c r="B8" s="37"/>
      <c r="C8" s="5"/>
      <c r="D8" s="5"/>
      <c r="E8" s="6"/>
      <c r="F8" s="6"/>
      <c r="G8" s="6"/>
      <c r="H8" s="6"/>
      <c r="I8" s="6"/>
    </row>
    <row r="9" spans="1:9" ht="13.5" thickTop="1"/>
    <row r="10" spans="1:9">
      <c r="A10" s="8" t="s">
        <v>15</v>
      </c>
      <c r="B10" s="11" t="s">
        <v>188</v>
      </c>
      <c r="C10" s="12"/>
      <c r="D10" s="12"/>
      <c r="E10" s="9"/>
      <c r="F10" s="9"/>
      <c r="G10" s="9"/>
      <c r="H10" s="9"/>
      <c r="I10" s="9"/>
    </row>
    <row r="11" spans="1:9">
      <c r="A11" s="8" t="s">
        <v>16</v>
      </c>
      <c r="B11" s="11" t="s">
        <v>184</v>
      </c>
      <c r="C11" s="3"/>
      <c r="D11" s="22" t="s">
        <v>25</v>
      </c>
      <c r="E11" s="11"/>
      <c r="F11" s="9"/>
      <c r="G11" s="9"/>
      <c r="H11" s="9"/>
      <c r="I11" s="9"/>
    </row>
    <row r="12" spans="1:9">
      <c r="A12" s="8" t="s">
        <v>17</v>
      </c>
      <c r="B12" s="11" t="s">
        <v>185</v>
      </c>
      <c r="C12" s="3"/>
      <c r="D12" s="3"/>
      <c r="F12" s="9"/>
      <c r="G12" s="9"/>
      <c r="H12" s="9"/>
      <c r="I12" s="9"/>
    </row>
    <row r="13" spans="1:9">
      <c r="A13" s="8" t="s">
        <v>18</v>
      </c>
      <c r="B13" s="11" t="s">
        <v>186</v>
      </c>
      <c r="E13" s="11"/>
      <c r="F13" s="9"/>
      <c r="G13" s="9"/>
      <c r="H13" s="9"/>
      <c r="I13" s="9"/>
    </row>
    <row r="14" spans="1:9">
      <c r="A14" s="8" t="s">
        <v>1</v>
      </c>
      <c r="B14" s="11" t="s">
        <v>187</v>
      </c>
      <c r="C14" s="22"/>
      <c r="D14" s="22"/>
      <c r="E14" s="11"/>
      <c r="F14" s="8"/>
      <c r="G14" s="8"/>
      <c r="H14" s="8"/>
      <c r="I14" s="8"/>
    </row>
    <row r="15" spans="1:9">
      <c r="A15" s="8" t="s">
        <v>19</v>
      </c>
      <c r="B15" s="27">
        <v>45915</v>
      </c>
      <c r="C15" s="11"/>
      <c r="D15" s="11"/>
      <c r="E15" s="9"/>
      <c r="F15" s="9"/>
      <c r="G15" s="9"/>
      <c r="H15" s="9"/>
      <c r="I15" s="9"/>
    </row>
    <row r="16" spans="1:9">
      <c r="A16" s="8" t="s">
        <v>20</v>
      </c>
      <c r="B16" s="27">
        <v>46072</v>
      </c>
      <c r="C16" s="12" t="s">
        <v>191</v>
      </c>
      <c r="D16" s="11"/>
      <c r="E16" s="11"/>
      <c r="F16" s="12"/>
      <c r="G16" s="12"/>
      <c r="H16" s="12"/>
      <c r="I16" s="12"/>
    </row>
    <row r="17" spans="1:10" ht="13.5" thickBot="1">
      <c r="A17" s="16"/>
      <c r="B17" s="16"/>
      <c r="C17" s="16"/>
      <c r="D17" s="16"/>
      <c r="E17" s="1"/>
      <c r="F17" s="1"/>
      <c r="G17" s="1"/>
      <c r="H17" s="1"/>
      <c r="I17" s="1"/>
    </row>
    <row r="18" spans="1:10" s="15" customFormat="1" ht="13.5" thickTop="1">
      <c r="A18" s="8" t="s">
        <v>23</v>
      </c>
      <c r="B18" s="113" t="s">
        <v>12</v>
      </c>
      <c r="C18" s="113"/>
      <c r="D18" s="17" t="s">
        <v>29</v>
      </c>
      <c r="E18" s="13" t="s">
        <v>27</v>
      </c>
      <c r="F18" s="24"/>
      <c r="G18" s="19" t="s">
        <v>4</v>
      </c>
      <c r="H18" s="19" t="s">
        <v>5</v>
      </c>
      <c r="I18" s="19" t="s">
        <v>6</v>
      </c>
      <c r="J18" s="15" t="s">
        <v>192</v>
      </c>
    </row>
    <row r="19" spans="1:10" s="15" customFormat="1">
      <c r="A19" s="8" t="s">
        <v>2</v>
      </c>
      <c r="B19" s="114" t="s">
        <v>22</v>
      </c>
      <c r="C19" s="114"/>
      <c r="D19" s="17" t="s">
        <v>26</v>
      </c>
      <c r="E19" s="13" t="s">
        <v>28</v>
      </c>
      <c r="F19" s="17" t="s">
        <v>13</v>
      </c>
      <c r="G19" s="8" t="s">
        <v>7</v>
      </c>
      <c r="H19" s="8"/>
      <c r="I19" s="8"/>
    </row>
    <row r="20" spans="1:10" s="15" customFormat="1">
      <c r="A20" s="8" t="s">
        <v>21</v>
      </c>
      <c r="B20" s="13" t="s">
        <v>9</v>
      </c>
      <c r="C20" s="13" t="s">
        <v>10</v>
      </c>
      <c r="D20" s="17" t="s">
        <v>14</v>
      </c>
      <c r="E20" s="13" t="s">
        <v>11</v>
      </c>
      <c r="F20" s="17" t="s">
        <v>189</v>
      </c>
      <c r="H20" s="8"/>
      <c r="I20" s="8"/>
    </row>
    <row r="21" spans="1:10" s="15" customFormat="1">
      <c r="A21" s="8" t="s">
        <v>3</v>
      </c>
      <c r="B21" s="13" t="s">
        <v>8</v>
      </c>
      <c r="C21" s="13" t="s">
        <v>8</v>
      </c>
      <c r="D21" s="18" t="s">
        <v>8</v>
      </c>
      <c r="E21" s="13" t="s">
        <v>8</v>
      </c>
      <c r="F21" s="17" t="s">
        <v>190</v>
      </c>
    </row>
    <row r="22" spans="1:10" s="15" customFormat="1">
      <c r="A22" s="8" t="s">
        <v>24</v>
      </c>
      <c r="B22" s="13">
        <v>0.01</v>
      </c>
      <c r="C22" s="13">
        <v>0.01</v>
      </c>
      <c r="D22" s="17">
        <v>0.1</v>
      </c>
      <c r="E22" s="13"/>
      <c r="F22" s="14"/>
    </row>
    <row r="23" spans="1:10" s="15" customFormat="1">
      <c r="A23" s="8"/>
      <c r="B23" s="13"/>
      <c r="C23" s="13"/>
      <c r="D23" s="17"/>
      <c r="E23" s="13"/>
      <c r="F23" s="21"/>
    </row>
    <row r="24" spans="1:10">
      <c r="A24" s="8">
        <v>1</v>
      </c>
      <c r="B24" s="20">
        <v>0.25</v>
      </c>
      <c r="C24" s="20">
        <v>4.7</v>
      </c>
      <c r="D24" s="29" t="s">
        <v>30</v>
      </c>
      <c r="E24" s="30"/>
      <c r="F24" s="28">
        <v>2.0300000000000002E-2</v>
      </c>
      <c r="G24" s="9" t="s">
        <v>31</v>
      </c>
      <c r="H24" s="25">
        <v>45805</v>
      </c>
      <c r="I24" s="26">
        <v>0.51666666666666672</v>
      </c>
      <c r="J24" s="7">
        <f t="shared" ref="J24:J87" si="0">F24*1000/(PI()*((7.62/2)^2))</f>
        <v>0.44513958222463001</v>
      </c>
    </row>
    <row r="25" spans="1:10">
      <c r="A25" s="8">
        <v>2</v>
      </c>
      <c r="B25" s="20">
        <v>0.16</v>
      </c>
      <c r="C25" s="20">
        <v>2.87</v>
      </c>
      <c r="D25" s="31">
        <v>5.9</v>
      </c>
      <c r="E25" s="30"/>
      <c r="F25" s="28">
        <v>3.7999999999999999E-2</v>
      </c>
      <c r="G25" s="9" t="s">
        <v>32</v>
      </c>
      <c r="H25" s="25">
        <v>45805</v>
      </c>
      <c r="I25" s="26">
        <v>0.51666666666666672</v>
      </c>
      <c r="J25" s="7">
        <f t="shared" si="0"/>
        <v>0.83326621303132709</v>
      </c>
    </row>
    <row r="26" spans="1:10">
      <c r="A26" s="8">
        <v>3</v>
      </c>
      <c r="B26" s="20">
        <v>0.19</v>
      </c>
      <c r="C26" s="20">
        <v>3.5</v>
      </c>
      <c r="D26" s="32" t="s">
        <v>30</v>
      </c>
      <c r="E26" s="30"/>
      <c r="F26" s="28">
        <v>3.8600000000000002E-2</v>
      </c>
      <c r="G26" s="9" t="s">
        <v>33</v>
      </c>
      <c r="H26" s="25">
        <v>45805</v>
      </c>
      <c r="I26" s="26">
        <v>0.51666666666666672</v>
      </c>
      <c r="J26" s="7">
        <f t="shared" si="0"/>
        <v>0.84642304797392698</v>
      </c>
    </row>
    <row r="27" spans="1:10">
      <c r="A27" s="8">
        <v>4</v>
      </c>
      <c r="B27" s="20">
        <v>0.17</v>
      </c>
      <c r="C27" s="20">
        <v>3.27</v>
      </c>
      <c r="D27" s="32" t="s">
        <v>30</v>
      </c>
      <c r="E27" s="30"/>
      <c r="F27" s="28">
        <v>4.5599999999999995E-2</v>
      </c>
      <c r="G27" s="9" t="s">
        <v>34</v>
      </c>
      <c r="H27" s="25">
        <v>45805</v>
      </c>
      <c r="I27" s="26">
        <v>0.51666666666666672</v>
      </c>
      <c r="J27" s="7">
        <f t="shared" si="0"/>
        <v>0.99991945563759232</v>
      </c>
    </row>
    <row r="28" spans="1:10">
      <c r="A28" s="8">
        <v>5</v>
      </c>
      <c r="B28" s="20">
        <v>0.22</v>
      </c>
      <c r="C28" s="20">
        <v>4.5</v>
      </c>
      <c r="D28" s="32" t="s">
        <v>30</v>
      </c>
      <c r="E28" s="30"/>
      <c r="F28" s="28">
        <v>3.2199999999999999E-2</v>
      </c>
      <c r="G28" s="9" t="s">
        <v>35</v>
      </c>
      <c r="H28" s="25">
        <v>45805</v>
      </c>
      <c r="I28" s="26">
        <v>0.51666666666666672</v>
      </c>
      <c r="J28" s="7">
        <f t="shared" si="0"/>
        <v>0.70608347525286141</v>
      </c>
    </row>
    <row r="29" spans="1:10">
      <c r="A29" s="8">
        <v>6</v>
      </c>
      <c r="B29" s="20">
        <v>0.19</v>
      </c>
      <c r="C29" s="20">
        <v>3.82</v>
      </c>
      <c r="D29" s="32" t="s">
        <v>30</v>
      </c>
      <c r="E29" s="30"/>
      <c r="F29" s="28">
        <v>4.0299999999999996E-2</v>
      </c>
      <c r="G29" s="9" t="s">
        <v>36</v>
      </c>
      <c r="H29" s="25">
        <v>45805</v>
      </c>
      <c r="I29" s="26">
        <v>0.51666666666666672</v>
      </c>
      <c r="J29" s="7">
        <f t="shared" si="0"/>
        <v>0.88370074697795997</v>
      </c>
    </row>
    <row r="30" spans="1:10">
      <c r="A30" s="8">
        <v>7</v>
      </c>
      <c r="B30" s="20">
        <v>0.19</v>
      </c>
      <c r="C30" s="20">
        <v>3.57</v>
      </c>
      <c r="D30" s="31">
        <v>5.8</v>
      </c>
      <c r="E30" s="30"/>
      <c r="F30" s="28">
        <v>3.9299999999999995E-2</v>
      </c>
      <c r="G30" s="9" t="s">
        <v>37</v>
      </c>
      <c r="H30" s="25">
        <v>45805</v>
      </c>
      <c r="I30" s="26">
        <v>0.51666666666666672</v>
      </c>
      <c r="J30" s="7">
        <f t="shared" si="0"/>
        <v>0.86177268874029345</v>
      </c>
    </row>
    <row r="31" spans="1:10">
      <c r="A31" s="8">
        <v>8</v>
      </c>
      <c r="B31" s="20">
        <v>0.13</v>
      </c>
      <c r="C31" s="20">
        <v>2.46</v>
      </c>
      <c r="D31" s="32" t="s">
        <v>30</v>
      </c>
      <c r="E31" s="30"/>
      <c r="F31" s="28">
        <v>4.5100000000000001E-2</v>
      </c>
      <c r="G31" s="9" t="s">
        <v>38</v>
      </c>
      <c r="H31" s="25">
        <v>45805</v>
      </c>
      <c r="I31" s="26">
        <v>0.51666666666666672</v>
      </c>
      <c r="J31" s="7">
        <f t="shared" si="0"/>
        <v>0.98895542651875923</v>
      </c>
    </row>
    <row r="32" spans="1:10">
      <c r="A32" s="8">
        <v>9</v>
      </c>
      <c r="B32" s="20">
        <v>0.17</v>
      </c>
      <c r="C32" s="20">
        <v>3.09</v>
      </c>
      <c r="D32" s="32" t="s">
        <v>30</v>
      </c>
      <c r="E32" s="33">
        <v>5.0000000000000001E-3</v>
      </c>
      <c r="F32" s="28">
        <v>4.3299999999999998E-2</v>
      </c>
      <c r="G32" s="9" t="s">
        <v>39</v>
      </c>
      <c r="H32" s="25">
        <v>45805</v>
      </c>
      <c r="I32" s="26">
        <v>0.51666666666666672</v>
      </c>
      <c r="J32" s="7">
        <f t="shared" si="0"/>
        <v>0.94948492169095944</v>
      </c>
    </row>
    <row r="33" spans="1:10">
      <c r="A33" s="8">
        <v>10</v>
      </c>
      <c r="B33" s="20">
        <v>0.18</v>
      </c>
      <c r="C33" s="20">
        <v>3.63</v>
      </c>
      <c r="D33" s="32" t="s">
        <v>30</v>
      </c>
      <c r="E33" s="30"/>
      <c r="F33" s="28">
        <v>4.7299999999999995E-2</v>
      </c>
      <c r="G33" s="9" t="s">
        <v>40</v>
      </c>
      <c r="H33" s="25">
        <v>45805</v>
      </c>
      <c r="I33" s="26">
        <v>0.51666666666666672</v>
      </c>
      <c r="J33" s="7">
        <f t="shared" si="0"/>
        <v>1.0371971546416254</v>
      </c>
    </row>
    <row r="34" spans="1:10">
      <c r="A34" s="8">
        <v>11</v>
      </c>
      <c r="B34" s="20">
        <v>0.14000000000000001</v>
      </c>
      <c r="C34" s="20">
        <v>2.64</v>
      </c>
      <c r="D34" s="32" t="s">
        <v>30</v>
      </c>
      <c r="E34" s="30"/>
      <c r="F34" s="28">
        <v>9.9500000000000005E-2</v>
      </c>
      <c r="G34" s="9" t="s">
        <v>41</v>
      </c>
      <c r="H34" s="25">
        <v>45805</v>
      </c>
      <c r="I34" s="26">
        <v>0.51666666666666672</v>
      </c>
      <c r="J34" s="7">
        <f t="shared" si="0"/>
        <v>2.1818417946478168</v>
      </c>
    </row>
    <row r="35" spans="1:10">
      <c r="A35" s="8">
        <v>12</v>
      </c>
      <c r="B35" s="20">
        <v>0.18</v>
      </c>
      <c r="C35" s="20">
        <v>3.05</v>
      </c>
      <c r="D35" s="31">
        <v>5.7</v>
      </c>
      <c r="E35" s="30"/>
      <c r="F35" s="28">
        <v>8.8899999999999993E-2</v>
      </c>
      <c r="G35" s="9" t="s">
        <v>42</v>
      </c>
      <c r="H35" s="25">
        <v>45805</v>
      </c>
      <c r="I35" s="26">
        <v>0.51666666666666672</v>
      </c>
      <c r="J35" s="7">
        <f t="shared" si="0"/>
        <v>1.9494043773285519</v>
      </c>
    </row>
    <row r="36" spans="1:10">
      <c r="A36" s="8">
        <v>13</v>
      </c>
      <c r="B36" s="20">
        <v>0.11</v>
      </c>
      <c r="C36" s="20">
        <v>1.81</v>
      </c>
      <c r="D36" s="32" t="s">
        <v>30</v>
      </c>
      <c r="E36" s="30"/>
      <c r="F36" s="28">
        <v>0.10009999999999999</v>
      </c>
      <c r="G36" s="9" t="s">
        <v>43</v>
      </c>
      <c r="H36" s="25">
        <v>45805</v>
      </c>
      <c r="I36" s="26">
        <v>0.51666666666666672</v>
      </c>
      <c r="J36" s="7">
        <f t="shared" si="0"/>
        <v>2.1949986295904167</v>
      </c>
    </row>
    <row r="37" spans="1:10">
      <c r="A37" s="8">
        <v>14</v>
      </c>
      <c r="B37" s="20">
        <v>7.0000000000000007E-2</v>
      </c>
      <c r="C37" s="20">
        <v>1.31</v>
      </c>
      <c r="D37" s="32" t="s">
        <v>30</v>
      </c>
      <c r="E37" s="30"/>
      <c r="F37" s="28">
        <v>0.1105</v>
      </c>
      <c r="G37" s="9" t="s">
        <v>44</v>
      </c>
      <c r="H37" s="25">
        <v>45805</v>
      </c>
      <c r="I37" s="26">
        <v>0.51666666666666672</v>
      </c>
      <c r="J37" s="7">
        <f t="shared" si="0"/>
        <v>2.4230504352621485</v>
      </c>
    </row>
    <row r="38" spans="1:10">
      <c r="A38" s="8">
        <v>15</v>
      </c>
      <c r="B38" s="20">
        <v>0.08</v>
      </c>
      <c r="C38" s="20">
        <v>1.56</v>
      </c>
      <c r="D38" s="32" t="s">
        <v>30</v>
      </c>
      <c r="E38" s="30"/>
      <c r="F38" s="28">
        <v>0.1138</v>
      </c>
      <c r="G38" s="9" t="s">
        <v>45</v>
      </c>
      <c r="H38" s="25">
        <v>45805</v>
      </c>
      <c r="I38" s="26">
        <v>0.51666666666666672</v>
      </c>
      <c r="J38" s="7">
        <f t="shared" si="0"/>
        <v>2.4954130274464479</v>
      </c>
    </row>
    <row r="39" spans="1:10">
      <c r="A39" s="8">
        <v>16</v>
      </c>
      <c r="B39" s="20">
        <v>0.13</v>
      </c>
      <c r="C39" s="20">
        <v>2.17</v>
      </c>
      <c r="D39" s="32" t="s">
        <v>30</v>
      </c>
      <c r="E39" s="30"/>
      <c r="F39" s="28">
        <v>9.8699999999999996E-2</v>
      </c>
      <c r="G39" s="9" t="s">
        <v>46</v>
      </c>
      <c r="H39" s="25">
        <v>45805</v>
      </c>
      <c r="I39" s="26">
        <v>0.51666666666666672</v>
      </c>
      <c r="J39" s="7">
        <f t="shared" si="0"/>
        <v>2.1642993480576838</v>
      </c>
    </row>
    <row r="40" spans="1:10">
      <c r="A40" s="8">
        <v>17</v>
      </c>
      <c r="B40" s="20">
        <v>0.09</v>
      </c>
      <c r="C40" s="20">
        <v>1.69</v>
      </c>
      <c r="D40" s="31">
        <v>3.7</v>
      </c>
      <c r="E40" s="30"/>
      <c r="F40" s="28">
        <v>0.1013</v>
      </c>
      <c r="G40" s="9" t="s">
        <v>47</v>
      </c>
      <c r="H40" s="25">
        <v>45805</v>
      </c>
      <c r="I40" s="26">
        <v>0.51666666666666672</v>
      </c>
      <c r="J40" s="7">
        <f t="shared" si="0"/>
        <v>2.2213122994756165</v>
      </c>
    </row>
    <row r="41" spans="1:10">
      <c r="A41" s="8">
        <v>18</v>
      </c>
      <c r="B41" s="20">
        <v>7.0000000000000007E-2</v>
      </c>
      <c r="C41" s="20">
        <v>1.41</v>
      </c>
      <c r="D41" s="32" t="s">
        <v>30</v>
      </c>
      <c r="E41" s="33">
        <v>4.0000000000000001E-3</v>
      </c>
      <c r="F41" s="28">
        <v>0.108</v>
      </c>
      <c r="G41" s="9" t="s">
        <v>48</v>
      </c>
      <c r="H41" s="25">
        <v>45805</v>
      </c>
      <c r="I41" s="26">
        <v>0.51666666666666672</v>
      </c>
      <c r="J41" s="7">
        <f t="shared" si="0"/>
        <v>2.3682302896679821</v>
      </c>
    </row>
    <row r="42" spans="1:10">
      <c r="A42" s="8">
        <v>19</v>
      </c>
      <c r="B42" s="20">
        <v>0.1</v>
      </c>
      <c r="C42" s="20">
        <v>1.97</v>
      </c>
      <c r="D42" s="32" t="s">
        <v>30</v>
      </c>
      <c r="E42" s="30"/>
      <c r="F42" s="28">
        <v>0.1087</v>
      </c>
      <c r="G42" s="9" t="s">
        <v>49</v>
      </c>
      <c r="H42" s="25">
        <v>45805</v>
      </c>
      <c r="I42" s="26">
        <v>0.51666666666666672</v>
      </c>
      <c r="J42" s="7">
        <f t="shared" si="0"/>
        <v>2.3835799304343488</v>
      </c>
    </row>
    <row r="43" spans="1:10">
      <c r="A43" s="8">
        <v>20</v>
      </c>
      <c r="B43" s="20">
        <v>0.1</v>
      </c>
      <c r="C43" s="20">
        <v>1.76</v>
      </c>
      <c r="D43" s="32" t="s">
        <v>30</v>
      </c>
      <c r="E43" s="30"/>
      <c r="F43" s="28">
        <v>0.10439999999999999</v>
      </c>
      <c r="G43" s="9" t="s">
        <v>50</v>
      </c>
      <c r="H43" s="25">
        <v>45805</v>
      </c>
      <c r="I43" s="26">
        <v>0.51666666666666672</v>
      </c>
      <c r="J43" s="7">
        <f t="shared" si="0"/>
        <v>2.2892892800123827</v>
      </c>
    </row>
    <row r="44" spans="1:10">
      <c r="A44" s="8">
        <v>21</v>
      </c>
      <c r="B44" s="20">
        <v>7.0000000000000007E-2</v>
      </c>
      <c r="C44" s="20">
        <v>1.05</v>
      </c>
      <c r="D44" s="32" t="s">
        <v>30</v>
      </c>
      <c r="E44" s="30"/>
      <c r="F44" s="28">
        <v>0.12319999999999999</v>
      </c>
      <c r="G44" s="9" t="s">
        <v>51</v>
      </c>
      <c r="H44" s="25">
        <v>45805</v>
      </c>
      <c r="I44" s="26">
        <v>0.51666666666666672</v>
      </c>
      <c r="J44" s="7">
        <f t="shared" si="0"/>
        <v>2.7015367748805126</v>
      </c>
    </row>
    <row r="45" spans="1:10">
      <c r="A45" s="8">
        <v>22</v>
      </c>
      <c r="B45" s="20">
        <v>0.12</v>
      </c>
      <c r="C45" s="20">
        <v>1.85</v>
      </c>
      <c r="D45" s="31">
        <v>3.9</v>
      </c>
      <c r="E45" s="30"/>
      <c r="F45" s="28">
        <v>0.1033</v>
      </c>
      <c r="G45" s="9" t="s">
        <v>52</v>
      </c>
      <c r="H45" s="25">
        <v>45805</v>
      </c>
      <c r="I45" s="26">
        <v>0.51666666666666672</v>
      </c>
      <c r="J45" s="7">
        <f t="shared" si="0"/>
        <v>2.2651684159509498</v>
      </c>
    </row>
    <row r="46" spans="1:10">
      <c r="A46" s="8">
        <v>23</v>
      </c>
      <c r="B46" s="20">
        <v>0.12</v>
      </c>
      <c r="C46" s="20">
        <v>2.14</v>
      </c>
      <c r="D46" s="32" t="s">
        <v>30</v>
      </c>
      <c r="E46" s="30"/>
      <c r="F46" s="28">
        <v>0.1024</v>
      </c>
      <c r="G46" s="9" t="s">
        <v>53</v>
      </c>
      <c r="H46" s="25">
        <v>45805</v>
      </c>
      <c r="I46" s="26">
        <v>0.51666666666666672</v>
      </c>
      <c r="J46" s="7">
        <f t="shared" si="0"/>
        <v>2.2454331635370499</v>
      </c>
    </row>
    <row r="47" spans="1:10">
      <c r="A47" s="8">
        <v>24</v>
      </c>
      <c r="B47" s="20">
        <v>0.09</v>
      </c>
      <c r="C47" s="20">
        <v>1.27</v>
      </c>
      <c r="D47" s="32" t="s">
        <v>30</v>
      </c>
      <c r="E47" s="30"/>
      <c r="F47" s="28">
        <v>0.11550000000000001</v>
      </c>
      <c r="G47" s="9" t="s">
        <v>54</v>
      </c>
      <c r="H47" s="25">
        <v>45805</v>
      </c>
      <c r="I47" s="26">
        <v>0.51666666666666672</v>
      </c>
      <c r="J47" s="7">
        <f t="shared" si="0"/>
        <v>2.5326907264504808</v>
      </c>
    </row>
    <row r="48" spans="1:10">
      <c r="A48" s="8">
        <v>25</v>
      </c>
      <c r="B48" s="20">
        <v>7.0000000000000007E-2</v>
      </c>
      <c r="C48" s="20">
        <v>1.04</v>
      </c>
      <c r="D48" s="32" t="s">
        <v>30</v>
      </c>
      <c r="E48" s="30"/>
      <c r="F48" s="28">
        <v>0.11649999999999999</v>
      </c>
      <c r="G48" s="9" t="s">
        <v>55</v>
      </c>
      <c r="H48" s="25">
        <v>45805</v>
      </c>
      <c r="I48" s="26">
        <v>0.51666666666666672</v>
      </c>
      <c r="J48" s="7">
        <f t="shared" si="0"/>
        <v>2.554618784688147</v>
      </c>
    </row>
    <row r="49" spans="1:10">
      <c r="A49" s="8">
        <v>26</v>
      </c>
      <c r="B49" s="20">
        <v>0.11</v>
      </c>
      <c r="C49" s="20">
        <v>1.82</v>
      </c>
      <c r="D49" s="32" t="s">
        <v>30</v>
      </c>
      <c r="E49" s="30"/>
      <c r="F49" s="28">
        <v>9.98E-2</v>
      </c>
      <c r="G49" s="9" t="s">
        <v>56</v>
      </c>
      <c r="H49" s="25">
        <v>45805</v>
      </c>
      <c r="I49" s="26">
        <v>0.51666666666666672</v>
      </c>
      <c r="J49" s="7">
        <f t="shared" si="0"/>
        <v>2.1884202121191167</v>
      </c>
    </row>
    <row r="50" spans="1:10">
      <c r="A50" s="8">
        <v>27</v>
      </c>
      <c r="B50" s="20">
        <v>0.09</v>
      </c>
      <c r="C50" s="20">
        <v>1.3</v>
      </c>
      <c r="D50" s="31">
        <v>2.9</v>
      </c>
      <c r="E50" s="33">
        <v>4.0000000000000001E-3</v>
      </c>
      <c r="F50" s="28">
        <v>0.1085</v>
      </c>
      <c r="G50" s="9" t="s">
        <v>57</v>
      </c>
      <c r="H50" s="25">
        <v>45805</v>
      </c>
      <c r="I50" s="26">
        <v>0.51666666666666672</v>
      </c>
      <c r="J50" s="7">
        <f t="shared" si="0"/>
        <v>2.3791943187868152</v>
      </c>
    </row>
    <row r="51" spans="1:10">
      <c r="A51" s="8">
        <v>28</v>
      </c>
      <c r="B51" s="20">
        <v>0.13</v>
      </c>
      <c r="C51" s="20">
        <v>1.98</v>
      </c>
      <c r="D51" s="32" t="s">
        <v>30</v>
      </c>
      <c r="E51" s="30"/>
      <c r="F51" s="28">
        <v>0.1017</v>
      </c>
      <c r="G51" s="9" t="s">
        <v>58</v>
      </c>
      <c r="H51" s="25">
        <v>45805</v>
      </c>
      <c r="I51" s="26">
        <v>0.51666666666666672</v>
      </c>
      <c r="J51" s="7">
        <f t="shared" si="0"/>
        <v>2.2300835227706832</v>
      </c>
    </row>
    <row r="52" spans="1:10">
      <c r="A52" s="8">
        <v>29</v>
      </c>
      <c r="B52" s="20">
        <v>0.12</v>
      </c>
      <c r="C52" s="20">
        <v>1.26</v>
      </c>
      <c r="D52" s="32" t="s">
        <v>30</v>
      </c>
      <c r="E52" s="30"/>
      <c r="F52" s="28">
        <v>6.8900000000000003E-2</v>
      </c>
      <c r="G52" s="9" t="s">
        <v>59</v>
      </c>
      <c r="H52" s="25">
        <v>45805</v>
      </c>
      <c r="I52" s="26">
        <v>0.44583333333333336</v>
      </c>
      <c r="J52" s="7">
        <f t="shared" si="0"/>
        <v>1.510843212575222</v>
      </c>
    </row>
    <row r="53" spans="1:10">
      <c r="A53" s="8">
        <v>30</v>
      </c>
      <c r="B53" s="20">
        <v>0.11</v>
      </c>
      <c r="C53" s="20">
        <v>1.23</v>
      </c>
      <c r="D53" s="31">
        <v>2.6</v>
      </c>
      <c r="E53" s="30"/>
      <c r="F53" s="28">
        <v>4.2900000000000008E-2</v>
      </c>
      <c r="G53" s="9" t="s">
        <v>60</v>
      </c>
      <c r="H53" s="25">
        <v>45805</v>
      </c>
      <c r="I53" s="26">
        <v>0.44583333333333336</v>
      </c>
      <c r="J53" s="7">
        <f t="shared" si="0"/>
        <v>0.94071369839589303</v>
      </c>
    </row>
    <row r="54" spans="1:10">
      <c r="A54" s="8">
        <v>31</v>
      </c>
      <c r="B54" s="20">
        <v>0.11</v>
      </c>
      <c r="C54" s="20">
        <v>1.28</v>
      </c>
      <c r="D54" s="32" t="s">
        <v>30</v>
      </c>
      <c r="E54" s="30"/>
      <c r="F54" s="28">
        <v>6.3100000000000003E-2</v>
      </c>
      <c r="G54" s="9" t="s">
        <v>61</v>
      </c>
      <c r="H54" s="25">
        <v>45805</v>
      </c>
      <c r="I54" s="26">
        <v>0.44583333333333336</v>
      </c>
      <c r="J54" s="7">
        <f t="shared" si="0"/>
        <v>1.3836604747967562</v>
      </c>
    </row>
    <row r="55" spans="1:10">
      <c r="A55" s="8">
        <v>32</v>
      </c>
      <c r="B55" s="20">
        <v>0.1</v>
      </c>
      <c r="C55" s="20">
        <v>1.1499999999999999</v>
      </c>
      <c r="D55" s="32" t="s">
        <v>30</v>
      </c>
      <c r="E55" s="30"/>
      <c r="F55" s="28">
        <v>4.3800000000000006E-2</v>
      </c>
      <c r="G55" s="9" t="s">
        <v>62</v>
      </c>
      <c r="H55" s="25">
        <v>45805</v>
      </c>
      <c r="I55" s="26">
        <v>0.44583333333333336</v>
      </c>
      <c r="J55" s="7">
        <f t="shared" si="0"/>
        <v>0.96044895080979287</v>
      </c>
    </row>
    <row r="56" spans="1:10">
      <c r="A56" s="8">
        <v>33</v>
      </c>
      <c r="B56" s="20">
        <v>0.1</v>
      </c>
      <c r="C56" s="20">
        <v>1.23</v>
      </c>
      <c r="D56" s="32" t="s">
        <v>30</v>
      </c>
      <c r="E56" s="30"/>
      <c r="F56" s="28">
        <v>6.9500000000000006E-2</v>
      </c>
      <c r="G56" s="9" t="s">
        <v>63</v>
      </c>
      <c r="H56" s="25">
        <v>45805</v>
      </c>
      <c r="I56" s="26">
        <v>0.44583333333333336</v>
      </c>
      <c r="J56" s="7">
        <f t="shared" si="0"/>
        <v>1.5240000475178219</v>
      </c>
    </row>
    <row r="57" spans="1:10">
      <c r="A57" s="8">
        <v>34</v>
      </c>
      <c r="B57" s="20">
        <v>0.09</v>
      </c>
      <c r="C57" s="20">
        <v>1.19</v>
      </c>
      <c r="D57" s="32" t="s">
        <v>30</v>
      </c>
      <c r="E57" s="30"/>
      <c r="F57" s="28">
        <v>5.8900000000000001E-2</v>
      </c>
      <c r="G57" s="9" t="s">
        <v>64</v>
      </c>
      <c r="H57" s="25">
        <v>45805</v>
      </c>
      <c r="I57" s="26">
        <v>0.44583333333333336</v>
      </c>
      <c r="J57" s="7">
        <f t="shared" si="0"/>
        <v>1.291562630198557</v>
      </c>
    </row>
    <row r="58" spans="1:10">
      <c r="A58" s="8">
        <v>35</v>
      </c>
      <c r="B58" s="20">
        <v>0.1</v>
      </c>
      <c r="C58" s="20">
        <v>1.45</v>
      </c>
      <c r="D58" s="31">
        <v>2.9</v>
      </c>
      <c r="E58" s="30"/>
      <c r="F58" s="28">
        <v>5.3800000000000001E-2</v>
      </c>
      <c r="G58" s="9" t="s">
        <v>65</v>
      </c>
      <c r="H58" s="25">
        <v>45805</v>
      </c>
      <c r="I58" s="26">
        <v>0.44583333333333336</v>
      </c>
      <c r="J58" s="7">
        <f t="shared" si="0"/>
        <v>1.1797295331864577</v>
      </c>
    </row>
    <row r="59" spans="1:10">
      <c r="A59" s="8">
        <v>36</v>
      </c>
      <c r="B59" s="20">
        <v>0.1</v>
      </c>
      <c r="C59" s="20">
        <v>1.37</v>
      </c>
      <c r="D59" s="32" t="s">
        <v>30</v>
      </c>
      <c r="E59" s="33">
        <v>3.0000000000000001E-3</v>
      </c>
      <c r="F59" s="28">
        <v>5.3199999999999997E-2</v>
      </c>
      <c r="G59" s="9" t="s">
        <v>66</v>
      </c>
      <c r="H59" s="25">
        <v>45805</v>
      </c>
      <c r="I59" s="26">
        <v>0.44583333333333336</v>
      </c>
      <c r="J59" s="7">
        <f t="shared" si="0"/>
        <v>1.1665726982438578</v>
      </c>
    </row>
    <row r="60" spans="1:10">
      <c r="A60" s="8">
        <v>37</v>
      </c>
      <c r="B60" s="20">
        <v>0.1</v>
      </c>
      <c r="C60" s="20">
        <v>1.62</v>
      </c>
      <c r="D60" s="32" t="s">
        <v>30</v>
      </c>
      <c r="E60" s="30"/>
      <c r="F60" s="28">
        <v>5.4200000000000005E-2</v>
      </c>
      <c r="G60" s="9" t="s">
        <v>67</v>
      </c>
      <c r="H60" s="25">
        <v>45805</v>
      </c>
      <c r="I60" s="26">
        <v>0.44583333333333336</v>
      </c>
      <c r="J60" s="7">
        <f t="shared" si="0"/>
        <v>1.1885007564815244</v>
      </c>
    </row>
    <row r="61" spans="1:10">
      <c r="A61" s="8">
        <v>38</v>
      </c>
      <c r="B61" s="20">
        <v>0.09</v>
      </c>
      <c r="C61" s="20">
        <v>1.46</v>
      </c>
      <c r="D61" s="32" t="s">
        <v>30</v>
      </c>
      <c r="E61" s="30"/>
      <c r="F61" s="28">
        <v>6.4500000000000002E-2</v>
      </c>
      <c r="G61" s="9" t="s">
        <v>68</v>
      </c>
      <c r="H61" s="25">
        <v>45805</v>
      </c>
      <c r="I61" s="26">
        <v>0.44583333333333336</v>
      </c>
      <c r="J61" s="7">
        <f t="shared" si="0"/>
        <v>1.4143597563294894</v>
      </c>
    </row>
    <row r="62" spans="1:10">
      <c r="A62" s="8">
        <v>39</v>
      </c>
      <c r="B62" s="20">
        <v>0.13</v>
      </c>
      <c r="C62" s="20">
        <v>2.2599999999999998</v>
      </c>
      <c r="D62" s="32" t="s">
        <v>30</v>
      </c>
      <c r="E62" s="30"/>
      <c r="F62" s="28">
        <v>0.10260000000000001</v>
      </c>
      <c r="G62" s="9" t="s">
        <v>69</v>
      </c>
      <c r="H62" s="25">
        <v>45805</v>
      </c>
      <c r="I62" s="26">
        <v>0.44583333333333336</v>
      </c>
      <c r="J62" s="7">
        <f t="shared" si="0"/>
        <v>2.2498187751845831</v>
      </c>
    </row>
    <row r="63" spans="1:10">
      <c r="A63" s="8">
        <v>40</v>
      </c>
      <c r="B63" s="20">
        <v>0.11</v>
      </c>
      <c r="C63" s="20">
        <v>1.64</v>
      </c>
      <c r="D63" s="31">
        <v>3.2</v>
      </c>
      <c r="E63" s="30"/>
      <c r="F63" s="28">
        <v>0.1065</v>
      </c>
      <c r="G63" s="9" t="s">
        <v>70</v>
      </c>
      <c r="H63" s="25">
        <v>45805</v>
      </c>
      <c r="I63" s="26">
        <v>0.44583333333333336</v>
      </c>
      <c r="J63" s="7">
        <f t="shared" si="0"/>
        <v>2.3353382023114824</v>
      </c>
    </row>
    <row r="64" spans="1:10">
      <c r="A64" s="8">
        <v>41</v>
      </c>
      <c r="B64" s="20">
        <v>0.1</v>
      </c>
      <c r="C64" s="20">
        <v>1.62</v>
      </c>
      <c r="D64" s="32" t="s">
        <v>30</v>
      </c>
      <c r="E64" s="30"/>
      <c r="F64" s="28">
        <v>0.12660000000000002</v>
      </c>
      <c r="G64" s="9" t="s">
        <v>71</v>
      </c>
      <c r="H64" s="25">
        <v>45805</v>
      </c>
      <c r="I64" s="26">
        <v>0.44583333333333336</v>
      </c>
      <c r="J64" s="7">
        <f t="shared" si="0"/>
        <v>2.7760921728885797</v>
      </c>
    </row>
    <row r="65" spans="1:10">
      <c r="A65" s="8">
        <v>42</v>
      </c>
      <c r="B65" s="20">
        <v>0.05</v>
      </c>
      <c r="C65" s="20">
        <v>0.54</v>
      </c>
      <c r="D65" s="32" t="s">
        <v>30</v>
      </c>
      <c r="E65" s="30"/>
      <c r="F65" s="28">
        <v>0.1691</v>
      </c>
      <c r="G65" s="9" t="s">
        <v>72</v>
      </c>
      <c r="H65" s="25">
        <v>45805</v>
      </c>
      <c r="I65" s="26">
        <v>0.44583333333333336</v>
      </c>
      <c r="J65" s="7">
        <f t="shared" si="0"/>
        <v>3.7080346479894053</v>
      </c>
    </row>
    <row r="66" spans="1:10">
      <c r="A66" s="8">
        <v>43</v>
      </c>
      <c r="B66" s="20">
        <v>0.05</v>
      </c>
      <c r="C66" s="20">
        <v>0.54</v>
      </c>
      <c r="D66" s="32" t="s">
        <v>30</v>
      </c>
      <c r="E66" s="30"/>
      <c r="F66" s="28">
        <v>0.14989999999999998</v>
      </c>
      <c r="G66" s="9" t="s">
        <v>73</v>
      </c>
      <c r="H66" s="25">
        <v>45805</v>
      </c>
      <c r="I66" s="26">
        <v>0.44583333333333336</v>
      </c>
      <c r="J66" s="7">
        <f t="shared" si="0"/>
        <v>3.2870159298262083</v>
      </c>
    </row>
    <row r="67" spans="1:10">
      <c r="A67" s="8">
        <v>44</v>
      </c>
      <c r="B67" s="20">
        <v>0.06</v>
      </c>
      <c r="C67" s="20">
        <v>0.71</v>
      </c>
      <c r="D67" s="32" t="s">
        <v>30</v>
      </c>
      <c r="E67" s="30"/>
      <c r="F67" s="28">
        <v>0.1691</v>
      </c>
      <c r="G67" s="9" t="s">
        <v>74</v>
      </c>
      <c r="H67" s="25">
        <v>45805</v>
      </c>
      <c r="I67" s="26">
        <v>0.44583333333333336</v>
      </c>
      <c r="J67" s="7">
        <f t="shared" si="0"/>
        <v>3.7080346479894053</v>
      </c>
    </row>
    <row r="68" spans="1:10">
      <c r="A68" s="8">
        <v>45</v>
      </c>
      <c r="B68" s="20">
        <v>0.06</v>
      </c>
      <c r="C68" s="20">
        <v>0.86</v>
      </c>
      <c r="D68" s="31">
        <v>2</v>
      </c>
      <c r="E68" s="33">
        <v>2E-3</v>
      </c>
      <c r="F68" s="28">
        <v>0.18059999999999998</v>
      </c>
      <c r="G68" s="9" t="s">
        <v>75</v>
      </c>
      <c r="H68" s="25">
        <v>45805</v>
      </c>
      <c r="I68" s="26">
        <v>0.44583333333333336</v>
      </c>
      <c r="J68" s="7">
        <f t="shared" si="0"/>
        <v>3.9602073177225701</v>
      </c>
    </row>
    <row r="69" spans="1:10">
      <c r="A69" s="8">
        <v>46</v>
      </c>
      <c r="B69" s="20">
        <v>0.06</v>
      </c>
      <c r="C69" s="20">
        <v>0.81</v>
      </c>
      <c r="D69" s="32" t="s">
        <v>30</v>
      </c>
      <c r="E69" s="30"/>
      <c r="F69" s="28">
        <v>0.17579999999999998</v>
      </c>
      <c r="G69" s="9" t="s">
        <v>76</v>
      </c>
      <c r="H69" s="25">
        <v>45805</v>
      </c>
      <c r="I69" s="26">
        <v>0.44583333333333336</v>
      </c>
      <c r="J69" s="7">
        <f t="shared" si="0"/>
        <v>3.8549526381817705</v>
      </c>
    </row>
    <row r="70" spans="1:10">
      <c r="A70" s="8">
        <v>47</v>
      </c>
      <c r="B70" s="20">
        <v>0.04</v>
      </c>
      <c r="C70" s="20">
        <v>0.39</v>
      </c>
      <c r="D70" s="32" t="s">
        <v>30</v>
      </c>
      <c r="E70" s="30"/>
      <c r="F70" s="28">
        <v>0.18270000000000003</v>
      </c>
      <c r="G70" s="9" t="s">
        <v>77</v>
      </c>
      <c r="H70" s="25">
        <v>45805</v>
      </c>
      <c r="I70" s="26">
        <v>0.44583333333333336</v>
      </c>
      <c r="J70" s="7">
        <f t="shared" si="0"/>
        <v>4.0062562400216706</v>
      </c>
    </row>
    <row r="71" spans="1:10">
      <c r="A71" s="8">
        <v>48</v>
      </c>
      <c r="B71" s="20">
        <v>0.04</v>
      </c>
      <c r="C71" s="20">
        <v>0.41</v>
      </c>
      <c r="D71" s="32" t="s">
        <v>30</v>
      </c>
      <c r="E71" s="30"/>
      <c r="F71" s="28">
        <v>0.17879999999999999</v>
      </c>
      <c r="G71" s="9" t="s">
        <v>78</v>
      </c>
      <c r="H71" s="25">
        <v>45805</v>
      </c>
      <c r="I71" s="26">
        <v>0.44583333333333336</v>
      </c>
      <c r="J71" s="7">
        <f t="shared" si="0"/>
        <v>3.9207368128947699</v>
      </c>
    </row>
    <row r="72" spans="1:10">
      <c r="A72" s="8">
        <v>49</v>
      </c>
      <c r="B72" s="20">
        <v>0.06</v>
      </c>
      <c r="C72" s="20">
        <v>0.7</v>
      </c>
      <c r="D72" s="32" t="s">
        <v>30</v>
      </c>
      <c r="E72" s="30"/>
      <c r="F72" s="28">
        <v>0.17110000000000003</v>
      </c>
      <c r="G72" s="9" t="s">
        <v>79</v>
      </c>
      <c r="H72" s="25">
        <v>45805</v>
      </c>
      <c r="I72" s="26">
        <v>0.44583333333333336</v>
      </c>
      <c r="J72" s="7">
        <f t="shared" si="0"/>
        <v>3.751890764464739</v>
      </c>
    </row>
    <row r="73" spans="1:10">
      <c r="A73" s="8">
        <v>50</v>
      </c>
      <c r="B73" s="20">
        <v>0.05</v>
      </c>
      <c r="C73" s="20">
        <v>0.59</v>
      </c>
      <c r="D73" s="31">
        <v>1.3</v>
      </c>
      <c r="E73" s="30"/>
      <c r="F73" s="28">
        <v>0.17150000000000001</v>
      </c>
      <c r="G73" s="9" t="s">
        <v>80</v>
      </c>
      <c r="H73" s="25">
        <v>45805</v>
      </c>
      <c r="I73" s="26">
        <v>0.44583333333333336</v>
      </c>
      <c r="J73" s="7">
        <f t="shared" si="0"/>
        <v>3.7606619877598049</v>
      </c>
    </row>
    <row r="74" spans="1:10">
      <c r="A74" s="8">
        <v>51</v>
      </c>
      <c r="B74" s="20">
        <v>0.1</v>
      </c>
      <c r="C74" s="20">
        <v>1.1100000000000001</v>
      </c>
      <c r="D74" s="32" t="s">
        <v>30</v>
      </c>
      <c r="E74" s="30"/>
      <c r="F74" s="28">
        <v>3.7399999999999996E-2</v>
      </c>
      <c r="G74" s="9" t="s">
        <v>81</v>
      </c>
      <c r="H74" s="25">
        <v>45805</v>
      </c>
      <c r="I74" s="26">
        <v>0.47986111111111113</v>
      </c>
      <c r="J74" s="7">
        <f t="shared" si="0"/>
        <v>0.82010937808872708</v>
      </c>
    </row>
    <row r="75" spans="1:10">
      <c r="A75" s="8">
        <v>52</v>
      </c>
      <c r="B75" s="20">
        <v>0.11</v>
      </c>
      <c r="C75" s="20">
        <v>1.45</v>
      </c>
      <c r="D75" s="31">
        <v>2.7</v>
      </c>
      <c r="E75" s="30"/>
      <c r="F75" s="28">
        <v>4.0400000000000005E-2</v>
      </c>
      <c r="G75" s="9" t="s">
        <v>82</v>
      </c>
      <c r="H75" s="25">
        <v>45805</v>
      </c>
      <c r="I75" s="26">
        <v>0.47986111111111113</v>
      </c>
      <c r="J75" s="7">
        <f t="shared" si="0"/>
        <v>0.88589355280172677</v>
      </c>
    </row>
    <row r="76" spans="1:10">
      <c r="A76" s="8">
        <v>53</v>
      </c>
      <c r="B76" s="20">
        <v>0.1</v>
      </c>
      <c r="C76" s="20">
        <v>1.34</v>
      </c>
      <c r="D76" s="32" t="s">
        <v>30</v>
      </c>
      <c r="E76" s="30"/>
      <c r="F76" s="28">
        <v>4.7E-2</v>
      </c>
      <c r="G76" s="9" t="s">
        <v>83</v>
      </c>
      <c r="H76" s="25">
        <v>45805</v>
      </c>
      <c r="I76" s="26">
        <v>0.47986111111111113</v>
      </c>
      <c r="J76" s="7">
        <f t="shared" si="0"/>
        <v>1.0306187371703255</v>
      </c>
    </row>
    <row r="77" spans="1:10">
      <c r="A77" s="8">
        <v>54</v>
      </c>
      <c r="B77" s="20">
        <v>0.11</v>
      </c>
      <c r="C77" s="20">
        <v>1.43</v>
      </c>
      <c r="D77" s="32" t="s">
        <v>30</v>
      </c>
      <c r="E77" s="33">
        <v>1.2E-2</v>
      </c>
      <c r="F77" s="28">
        <v>4.5399999999999996E-2</v>
      </c>
      <c r="G77" s="9" t="s">
        <v>84</v>
      </c>
      <c r="H77" s="25">
        <v>45805</v>
      </c>
      <c r="I77" s="26">
        <v>0.47986111111111113</v>
      </c>
      <c r="J77" s="7">
        <f t="shared" si="0"/>
        <v>0.99553384399005918</v>
      </c>
    </row>
    <row r="78" spans="1:10">
      <c r="A78" s="8">
        <v>55</v>
      </c>
      <c r="B78" s="20">
        <v>0.1</v>
      </c>
      <c r="C78" s="20">
        <v>1.28</v>
      </c>
      <c r="D78" s="32" t="s">
        <v>30</v>
      </c>
      <c r="E78" s="30"/>
      <c r="F78" s="28">
        <v>4.4600000000000001E-2</v>
      </c>
      <c r="G78" s="9" t="s">
        <v>85</v>
      </c>
      <c r="H78" s="25">
        <v>45805</v>
      </c>
      <c r="I78" s="26">
        <v>0.47986111111111113</v>
      </c>
      <c r="J78" s="7">
        <f t="shared" si="0"/>
        <v>0.97799139739992602</v>
      </c>
    </row>
    <row r="79" spans="1:10">
      <c r="A79" s="8">
        <v>56</v>
      </c>
      <c r="B79" s="20">
        <v>0.1</v>
      </c>
      <c r="C79" s="20">
        <v>1.23</v>
      </c>
      <c r="D79" s="32" t="s">
        <v>30</v>
      </c>
      <c r="E79" s="30"/>
      <c r="F79" s="28">
        <v>3.9900000000000005E-2</v>
      </c>
      <c r="G79" s="9" t="s">
        <v>86</v>
      </c>
      <c r="H79" s="25">
        <v>45805</v>
      </c>
      <c r="I79" s="26">
        <v>0.47986111111111113</v>
      </c>
      <c r="J79" s="7">
        <f t="shared" si="0"/>
        <v>0.87492952368289356</v>
      </c>
    </row>
    <row r="80" spans="1:10">
      <c r="A80" s="8">
        <v>57</v>
      </c>
      <c r="B80" s="20">
        <v>0.1</v>
      </c>
      <c r="C80" s="20">
        <v>1.1499999999999999</v>
      </c>
      <c r="D80" s="31">
        <v>2.5</v>
      </c>
      <c r="E80" s="30"/>
      <c r="F80" s="28">
        <v>5.1699999999999996E-2</v>
      </c>
      <c r="G80" s="9" t="s">
        <v>87</v>
      </c>
      <c r="H80" s="25">
        <v>45805</v>
      </c>
      <c r="I80" s="26">
        <v>0.47986111111111113</v>
      </c>
      <c r="J80" s="7">
        <f t="shared" si="0"/>
        <v>1.1336806108873581</v>
      </c>
    </row>
    <row r="81" spans="1:10">
      <c r="A81" s="8">
        <v>58</v>
      </c>
      <c r="B81" s="20">
        <v>0.09</v>
      </c>
      <c r="C81" s="20">
        <v>1.07</v>
      </c>
      <c r="D81" s="32" t="s">
        <v>30</v>
      </c>
      <c r="E81" s="30"/>
      <c r="F81" s="28">
        <v>5.0099999999999999E-2</v>
      </c>
      <c r="G81" s="9" t="s">
        <v>88</v>
      </c>
      <c r="H81" s="25">
        <v>45805</v>
      </c>
      <c r="I81" s="26">
        <v>0.47986111111111113</v>
      </c>
      <c r="J81" s="7">
        <f t="shared" si="0"/>
        <v>1.0985957177070917</v>
      </c>
    </row>
    <row r="82" spans="1:10">
      <c r="A82" s="8">
        <v>59</v>
      </c>
      <c r="B82" s="20">
        <v>0.09</v>
      </c>
      <c r="C82" s="20">
        <v>1.06</v>
      </c>
      <c r="D82" s="32" t="s">
        <v>30</v>
      </c>
      <c r="E82" s="30"/>
      <c r="F82" s="28">
        <v>0.04</v>
      </c>
      <c r="G82" s="9" t="s">
        <v>89</v>
      </c>
      <c r="H82" s="25">
        <v>45805</v>
      </c>
      <c r="I82" s="26">
        <v>0.47986111111111113</v>
      </c>
      <c r="J82" s="7">
        <f t="shared" si="0"/>
        <v>0.87712232950666003</v>
      </c>
    </row>
    <row r="83" spans="1:10">
      <c r="A83" s="8">
        <v>60</v>
      </c>
      <c r="B83" s="20">
        <v>0.09</v>
      </c>
      <c r="C83" s="20">
        <v>1.06</v>
      </c>
      <c r="D83" s="32" t="s">
        <v>30</v>
      </c>
      <c r="E83" s="30"/>
      <c r="F83" s="28">
        <v>5.6500000000000002E-2</v>
      </c>
      <c r="G83" s="9" t="s">
        <v>90</v>
      </c>
      <c r="H83" s="25">
        <v>45805</v>
      </c>
      <c r="I83" s="26">
        <v>0.47986111111111113</v>
      </c>
      <c r="J83" s="7">
        <f t="shared" si="0"/>
        <v>1.2389352904281574</v>
      </c>
    </row>
    <row r="84" spans="1:10">
      <c r="A84" s="8">
        <v>61</v>
      </c>
      <c r="B84" s="20">
        <v>0.08</v>
      </c>
      <c r="C84" s="20">
        <v>0.96</v>
      </c>
      <c r="D84" s="32" t="s">
        <v>30</v>
      </c>
      <c r="E84" s="30"/>
      <c r="F84" s="28">
        <v>0.1182</v>
      </c>
      <c r="G84" s="9" t="s">
        <v>91</v>
      </c>
      <c r="H84" s="25">
        <v>45805</v>
      </c>
      <c r="I84" s="26">
        <v>0.47986111111111113</v>
      </c>
      <c r="J84" s="7">
        <f t="shared" si="0"/>
        <v>2.5918964836921807</v>
      </c>
    </row>
    <row r="85" spans="1:10">
      <c r="A85" s="8">
        <v>62</v>
      </c>
      <c r="B85" s="20">
        <v>0.09</v>
      </c>
      <c r="C85" s="20">
        <v>1.1000000000000001</v>
      </c>
      <c r="D85" s="31">
        <v>2.4</v>
      </c>
      <c r="E85" s="30"/>
      <c r="F85" s="28">
        <v>0.11550000000000001</v>
      </c>
      <c r="G85" s="9" t="s">
        <v>92</v>
      </c>
      <c r="H85" s="25">
        <v>45805</v>
      </c>
      <c r="I85" s="26">
        <v>0.47986111111111113</v>
      </c>
      <c r="J85" s="7">
        <f t="shared" si="0"/>
        <v>2.5326907264504808</v>
      </c>
    </row>
    <row r="86" spans="1:10">
      <c r="A86" s="8">
        <v>63</v>
      </c>
      <c r="B86" s="20">
        <v>0.11</v>
      </c>
      <c r="C86" s="20">
        <v>1.64</v>
      </c>
      <c r="D86" s="32" t="s">
        <v>30</v>
      </c>
      <c r="E86" s="33">
        <v>3.0000000000000001E-3</v>
      </c>
      <c r="F86" s="28">
        <v>0.11459999999999999</v>
      </c>
      <c r="G86" s="9" t="s">
        <v>93</v>
      </c>
      <c r="H86" s="25">
        <v>45805</v>
      </c>
      <c r="I86" s="26">
        <v>0.47986111111111113</v>
      </c>
      <c r="J86" s="7">
        <f t="shared" si="0"/>
        <v>2.5129554740365809</v>
      </c>
    </row>
    <row r="87" spans="1:10">
      <c r="A87" s="8">
        <v>64</v>
      </c>
      <c r="B87" s="20">
        <v>0.09</v>
      </c>
      <c r="C87" s="20">
        <v>1.36</v>
      </c>
      <c r="D87" s="32" t="s">
        <v>30</v>
      </c>
      <c r="E87" s="30"/>
      <c r="F87" s="28">
        <v>0.11609999999999999</v>
      </c>
      <c r="G87" s="9" t="s">
        <v>94</v>
      </c>
      <c r="H87" s="25">
        <v>45805</v>
      </c>
      <c r="I87" s="26">
        <v>0.47986111111111113</v>
      </c>
      <c r="J87" s="7">
        <f t="shared" si="0"/>
        <v>2.5458475613930807</v>
      </c>
    </row>
    <row r="88" spans="1:10">
      <c r="A88" s="8">
        <v>65</v>
      </c>
      <c r="B88" s="20">
        <v>7.0000000000000007E-2</v>
      </c>
      <c r="C88" s="20">
        <v>0.96</v>
      </c>
      <c r="D88" s="32" t="s">
        <v>30</v>
      </c>
      <c r="E88" s="30"/>
      <c r="F88" s="28">
        <v>0.12520000000000001</v>
      </c>
      <c r="G88" s="9" t="s">
        <v>95</v>
      </c>
      <c r="H88" s="25">
        <v>45805</v>
      </c>
      <c r="I88" s="26">
        <v>0.47986111111111113</v>
      </c>
      <c r="J88" s="7">
        <f t="shared" ref="J88:J151" si="1">F88*1000/(PI()*((7.62/2)^2))</f>
        <v>2.7453928913558459</v>
      </c>
    </row>
    <row r="89" spans="1:10">
      <c r="A89" s="8">
        <v>66</v>
      </c>
      <c r="B89" s="20">
        <v>7.0000000000000007E-2</v>
      </c>
      <c r="C89" s="20">
        <v>0.98</v>
      </c>
      <c r="D89" s="32" t="s">
        <v>30</v>
      </c>
      <c r="E89" s="30"/>
      <c r="F89" s="28">
        <v>0.14349999999999999</v>
      </c>
      <c r="G89" s="9" t="s">
        <v>96</v>
      </c>
      <c r="H89" s="25">
        <v>45805</v>
      </c>
      <c r="I89" s="26">
        <v>0.47986111111111113</v>
      </c>
      <c r="J89" s="7">
        <f t="shared" si="1"/>
        <v>3.146676357105143</v>
      </c>
    </row>
    <row r="90" spans="1:10">
      <c r="A90" s="8">
        <v>67</v>
      </c>
      <c r="B90" s="20">
        <v>0.08</v>
      </c>
      <c r="C90" s="20">
        <v>0.91</v>
      </c>
      <c r="D90" s="31">
        <v>1.9</v>
      </c>
      <c r="E90" s="30"/>
      <c r="F90" s="28">
        <v>0.12130000000000001</v>
      </c>
      <c r="G90" s="9" t="s">
        <v>97</v>
      </c>
      <c r="H90" s="25">
        <v>45805</v>
      </c>
      <c r="I90" s="26">
        <v>0.47986111111111113</v>
      </c>
      <c r="J90" s="7">
        <f t="shared" si="1"/>
        <v>2.659873464228947</v>
      </c>
    </row>
    <row r="91" spans="1:10">
      <c r="A91" s="8">
        <v>68</v>
      </c>
      <c r="B91" s="20">
        <v>7.0000000000000007E-2</v>
      </c>
      <c r="C91" s="20">
        <v>0.92</v>
      </c>
      <c r="D91" s="32" t="s">
        <v>30</v>
      </c>
      <c r="E91" s="30"/>
      <c r="F91" s="28">
        <v>0.12329999999999998</v>
      </c>
      <c r="G91" s="9" t="s">
        <v>98</v>
      </c>
      <c r="H91" s="25">
        <v>45805</v>
      </c>
      <c r="I91" s="26">
        <v>0.47986111111111113</v>
      </c>
      <c r="J91" s="7">
        <f t="shared" si="1"/>
        <v>2.7037295807042794</v>
      </c>
    </row>
    <row r="92" spans="1:10">
      <c r="A92" s="8">
        <v>69</v>
      </c>
      <c r="B92" s="20">
        <v>0.08</v>
      </c>
      <c r="C92" s="20">
        <v>1.32</v>
      </c>
      <c r="D92" s="32" t="s">
        <v>30</v>
      </c>
      <c r="E92" s="30"/>
      <c r="F92" s="28">
        <v>0.11699999999999998</v>
      </c>
      <c r="G92" s="9" t="s">
        <v>99</v>
      </c>
      <c r="H92" s="25">
        <v>45805</v>
      </c>
      <c r="I92" s="26">
        <v>0.47986111111111113</v>
      </c>
      <c r="J92" s="7">
        <f t="shared" si="1"/>
        <v>2.5655828138069805</v>
      </c>
    </row>
    <row r="93" spans="1:10">
      <c r="A93" s="8">
        <v>70</v>
      </c>
      <c r="B93" s="20">
        <v>0.08</v>
      </c>
      <c r="C93" s="20">
        <v>1.1299999999999999</v>
      </c>
      <c r="D93" s="32" t="s">
        <v>30</v>
      </c>
      <c r="E93" s="30"/>
      <c r="F93" s="28">
        <v>0.11070000000000001</v>
      </c>
      <c r="G93" s="9" t="s">
        <v>100</v>
      </c>
      <c r="H93" s="25">
        <v>45805</v>
      </c>
      <c r="I93" s="26">
        <v>0.47986111111111113</v>
      </c>
      <c r="J93" s="7">
        <f t="shared" si="1"/>
        <v>2.4274360469096816</v>
      </c>
    </row>
    <row r="94" spans="1:10">
      <c r="A94" s="8">
        <v>71</v>
      </c>
      <c r="B94" s="20">
        <v>7.0000000000000007E-2</v>
      </c>
      <c r="C94" s="20">
        <v>0.86</v>
      </c>
      <c r="D94" s="32" t="s">
        <v>30</v>
      </c>
      <c r="E94" s="30"/>
      <c r="F94" s="28">
        <v>0.13040000000000002</v>
      </c>
      <c r="G94" s="9" t="s">
        <v>101</v>
      </c>
      <c r="H94" s="25">
        <v>45805</v>
      </c>
      <c r="I94" s="26">
        <v>0.47986111111111113</v>
      </c>
      <c r="J94" s="7">
        <f t="shared" si="1"/>
        <v>2.8594187941917117</v>
      </c>
    </row>
    <row r="95" spans="1:10">
      <c r="A95" s="8">
        <v>72</v>
      </c>
      <c r="B95" s="20">
        <v>7.0000000000000007E-2</v>
      </c>
      <c r="C95" s="20">
        <v>0.98</v>
      </c>
      <c r="D95" s="31">
        <v>1.9</v>
      </c>
      <c r="E95" s="33">
        <v>2E-3</v>
      </c>
      <c r="F95" s="28">
        <v>0.1285</v>
      </c>
      <c r="G95" s="9" t="s">
        <v>102</v>
      </c>
      <c r="H95" s="25">
        <v>45805</v>
      </c>
      <c r="I95" s="26">
        <v>0.47986111111111113</v>
      </c>
      <c r="J95" s="7">
        <f t="shared" si="1"/>
        <v>2.8177554835401453</v>
      </c>
    </row>
    <row r="96" spans="1:10">
      <c r="A96" s="8">
        <v>73</v>
      </c>
      <c r="B96" s="20">
        <v>7.0000000000000007E-2</v>
      </c>
      <c r="C96" s="20">
        <v>0.91</v>
      </c>
      <c r="D96" s="32" t="s">
        <v>30</v>
      </c>
      <c r="E96" s="30"/>
      <c r="F96" s="28">
        <v>0.12770000000000001</v>
      </c>
      <c r="G96" s="9" t="s">
        <v>103</v>
      </c>
      <c r="H96" s="25">
        <v>45805</v>
      </c>
      <c r="I96" s="26">
        <v>0.47986111111111113</v>
      </c>
      <c r="J96" s="7">
        <f t="shared" si="1"/>
        <v>2.8002130369500122</v>
      </c>
    </row>
    <row r="97" spans="1:10">
      <c r="A97" s="8">
        <v>74</v>
      </c>
      <c r="B97" s="20">
        <v>7.0000000000000007E-2</v>
      </c>
      <c r="C97" s="20">
        <v>1.05</v>
      </c>
      <c r="D97" s="32" t="s">
        <v>30</v>
      </c>
      <c r="E97" s="30"/>
      <c r="F97" s="28">
        <v>0.1399</v>
      </c>
      <c r="G97" s="9" t="s">
        <v>104</v>
      </c>
      <c r="H97" s="25">
        <v>45805</v>
      </c>
      <c r="I97" s="26">
        <v>0.47986111111111113</v>
      </c>
      <c r="J97" s="7">
        <f t="shared" si="1"/>
        <v>3.0677353474495437</v>
      </c>
    </row>
    <row r="98" spans="1:10">
      <c r="A98" s="8">
        <v>75</v>
      </c>
      <c r="B98" s="20">
        <v>0.08</v>
      </c>
      <c r="C98" s="20">
        <v>1.31</v>
      </c>
      <c r="D98" s="32" t="s">
        <v>30</v>
      </c>
      <c r="E98" s="30"/>
      <c r="F98" s="28">
        <v>0.13020000000000001</v>
      </c>
      <c r="G98" s="9" t="s">
        <v>105</v>
      </c>
      <c r="H98" s="25">
        <v>45805</v>
      </c>
      <c r="I98" s="26">
        <v>0.47986111111111113</v>
      </c>
      <c r="J98" s="7">
        <f t="shared" si="1"/>
        <v>2.855033182544179</v>
      </c>
    </row>
    <row r="99" spans="1:10">
      <c r="A99" s="8">
        <v>76</v>
      </c>
      <c r="B99" s="20">
        <v>7.0000000000000007E-2</v>
      </c>
      <c r="C99" s="20">
        <v>1</v>
      </c>
      <c r="D99" s="32" t="s">
        <v>30</v>
      </c>
      <c r="E99" s="30"/>
      <c r="F99" s="28">
        <v>0.13300000000000001</v>
      </c>
      <c r="G99" s="9" t="s">
        <v>106</v>
      </c>
      <c r="H99" s="25">
        <v>45805</v>
      </c>
      <c r="I99" s="26">
        <v>0.47986111111111113</v>
      </c>
      <c r="J99" s="7">
        <f t="shared" si="1"/>
        <v>2.9164317456096449</v>
      </c>
    </row>
    <row r="100" spans="1:10">
      <c r="A100" s="8">
        <v>77</v>
      </c>
      <c r="B100" s="20">
        <v>7.0000000000000007E-2</v>
      </c>
      <c r="C100" s="20">
        <v>1</v>
      </c>
      <c r="D100" s="31">
        <v>2</v>
      </c>
      <c r="E100" s="30"/>
      <c r="F100" s="28">
        <v>0.14120000000000002</v>
      </c>
      <c r="G100" s="9" t="s">
        <v>107</v>
      </c>
      <c r="H100" s="25">
        <v>45805</v>
      </c>
      <c r="I100" s="26">
        <v>0.47986111111111113</v>
      </c>
      <c r="J100" s="7">
        <f t="shared" si="1"/>
        <v>3.0962418231585103</v>
      </c>
    </row>
    <row r="101" spans="1:10">
      <c r="A101" s="8">
        <v>78</v>
      </c>
      <c r="B101" s="20">
        <v>0.08</v>
      </c>
      <c r="C101" s="20">
        <v>1.37</v>
      </c>
      <c r="D101" s="32" t="s">
        <v>30</v>
      </c>
      <c r="E101" s="30"/>
      <c r="F101" s="28">
        <v>0.12310000000000001</v>
      </c>
      <c r="G101" s="9" t="s">
        <v>108</v>
      </c>
      <c r="H101" s="25">
        <v>45805</v>
      </c>
      <c r="I101" s="26">
        <v>0.47986111111111113</v>
      </c>
      <c r="J101" s="7">
        <f t="shared" si="1"/>
        <v>2.6993439690567467</v>
      </c>
    </row>
    <row r="102" spans="1:10">
      <c r="A102" s="8">
        <v>79</v>
      </c>
      <c r="B102" s="20">
        <v>7.0000000000000007E-2</v>
      </c>
      <c r="C102" s="20">
        <v>1.2</v>
      </c>
      <c r="D102" s="32" t="s">
        <v>30</v>
      </c>
      <c r="E102" s="30"/>
      <c r="F102" s="28">
        <v>0.14169999999999999</v>
      </c>
      <c r="G102" s="9" t="s">
        <v>109</v>
      </c>
      <c r="H102" s="25">
        <v>45805</v>
      </c>
      <c r="I102" s="26">
        <v>0.47986111111111113</v>
      </c>
      <c r="J102" s="7">
        <f t="shared" si="1"/>
        <v>3.1072058522773429</v>
      </c>
    </row>
    <row r="103" spans="1:10">
      <c r="A103" s="8">
        <v>80</v>
      </c>
      <c r="B103" s="20">
        <v>7.0000000000000007E-2</v>
      </c>
      <c r="C103" s="20">
        <v>1.36</v>
      </c>
      <c r="D103" s="32" t="s">
        <v>30</v>
      </c>
      <c r="E103" s="30"/>
      <c r="F103" s="28">
        <v>0.12959999999999999</v>
      </c>
      <c r="G103" s="9" t="s">
        <v>110</v>
      </c>
      <c r="H103" s="25">
        <v>45805</v>
      </c>
      <c r="I103" s="26">
        <v>0.47986111111111113</v>
      </c>
      <c r="J103" s="7">
        <f t="shared" si="1"/>
        <v>2.8418763476015783</v>
      </c>
    </row>
    <row r="104" spans="1:10">
      <c r="A104" s="8">
        <v>81</v>
      </c>
      <c r="B104" s="20">
        <v>0.08</v>
      </c>
      <c r="C104" s="20">
        <v>1.88</v>
      </c>
      <c r="D104" s="32" t="s">
        <v>30</v>
      </c>
      <c r="E104" s="33">
        <v>3.0000000000000001E-3</v>
      </c>
      <c r="F104" s="28">
        <v>0.1197</v>
      </c>
      <c r="G104" s="9" t="s">
        <v>111</v>
      </c>
      <c r="H104" s="25">
        <v>45805</v>
      </c>
      <c r="I104" s="26">
        <v>0.47986111111111113</v>
      </c>
      <c r="J104" s="7">
        <f t="shared" si="1"/>
        <v>2.6247885710486805</v>
      </c>
    </row>
    <row r="105" spans="1:10">
      <c r="A105" s="8">
        <v>82</v>
      </c>
      <c r="B105" s="20">
        <v>7.0000000000000007E-2</v>
      </c>
      <c r="C105" s="20">
        <v>1.32</v>
      </c>
      <c r="D105" s="31">
        <v>2.2999999999999998</v>
      </c>
      <c r="E105" s="30"/>
      <c r="F105" s="28">
        <v>0.14220000000000002</v>
      </c>
      <c r="G105" s="9" t="s">
        <v>112</v>
      </c>
      <c r="H105" s="25">
        <v>45805</v>
      </c>
      <c r="I105" s="26">
        <v>0.47986111111111113</v>
      </c>
      <c r="J105" s="7">
        <f t="shared" si="1"/>
        <v>3.1181698813961769</v>
      </c>
    </row>
    <row r="106" spans="1:10">
      <c r="A106" s="8">
        <v>83</v>
      </c>
      <c r="B106" s="20">
        <v>0.06</v>
      </c>
      <c r="C106" s="20">
        <v>0.96</v>
      </c>
      <c r="D106" s="32" t="s">
        <v>30</v>
      </c>
      <c r="E106" s="30"/>
      <c r="F106" s="28">
        <v>0.25490000000000002</v>
      </c>
      <c r="G106" s="9" t="s">
        <v>113</v>
      </c>
      <c r="H106" s="25">
        <v>45805</v>
      </c>
      <c r="I106" s="26">
        <v>0.47986111111111113</v>
      </c>
      <c r="J106" s="7">
        <f t="shared" si="1"/>
        <v>5.5894620447811914</v>
      </c>
    </row>
    <row r="107" spans="1:10">
      <c r="A107" s="8">
        <v>84</v>
      </c>
      <c r="B107" s="20">
        <v>0.38</v>
      </c>
      <c r="C107" s="20">
        <v>3.96</v>
      </c>
      <c r="D107" s="32" t="s">
        <v>30</v>
      </c>
      <c r="E107" s="30"/>
      <c r="F107" s="28">
        <v>2.4399999999999998E-2</v>
      </c>
      <c r="G107" s="9" t="s">
        <v>114</v>
      </c>
      <c r="H107" s="25">
        <v>45805</v>
      </c>
      <c r="I107" s="26">
        <v>0.4152777777777778</v>
      </c>
      <c r="J107" s="7">
        <f t="shared" si="1"/>
        <v>0.53504462099906258</v>
      </c>
    </row>
    <row r="108" spans="1:10">
      <c r="A108" s="8">
        <v>85</v>
      </c>
      <c r="B108" s="20">
        <v>0.24</v>
      </c>
      <c r="C108" s="20">
        <v>3.09</v>
      </c>
      <c r="D108" s="31">
        <v>5.3</v>
      </c>
      <c r="E108" s="30"/>
      <c r="F108" s="28">
        <v>4.3299999999999998E-2</v>
      </c>
      <c r="G108" s="9" t="s">
        <v>115</v>
      </c>
      <c r="H108" s="25">
        <v>45805</v>
      </c>
      <c r="I108" s="26">
        <v>0.4152777777777778</v>
      </c>
      <c r="J108" s="7">
        <f t="shared" si="1"/>
        <v>0.94948492169095944</v>
      </c>
    </row>
    <row r="109" spans="1:10">
      <c r="A109" s="8">
        <v>86</v>
      </c>
      <c r="B109" s="20">
        <v>0.2</v>
      </c>
      <c r="C109" s="20">
        <v>3.36</v>
      </c>
      <c r="D109" s="32" t="s">
        <v>30</v>
      </c>
      <c r="E109" s="30"/>
      <c r="F109" s="28">
        <v>3.5499999999999997E-2</v>
      </c>
      <c r="G109" s="9" t="s">
        <v>116</v>
      </c>
      <c r="H109" s="25">
        <v>45805</v>
      </c>
      <c r="I109" s="26">
        <v>0.4152777777777778</v>
      </c>
      <c r="J109" s="7">
        <f t="shared" si="1"/>
        <v>0.77844606743716083</v>
      </c>
    </row>
    <row r="110" spans="1:10">
      <c r="A110" s="8">
        <v>87</v>
      </c>
      <c r="B110" s="20">
        <v>0.19</v>
      </c>
      <c r="C110" s="20">
        <v>3.19</v>
      </c>
      <c r="D110" s="32" t="s">
        <v>30</v>
      </c>
      <c r="E110" s="30"/>
      <c r="F110" s="28">
        <v>3.6600000000000001E-2</v>
      </c>
      <c r="G110" s="9" t="s">
        <v>117</v>
      </c>
      <c r="H110" s="25">
        <v>45805</v>
      </c>
      <c r="I110" s="26">
        <v>0.4152777777777778</v>
      </c>
      <c r="J110" s="7">
        <f t="shared" si="1"/>
        <v>0.80256693149859404</v>
      </c>
    </row>
    <row r="111" spans="1:10">
      <c r="A111" s="8">
        <v>88</v>
      </c>
      <c r="B111" s="20">
        <v>0.17</v>
      </c>
      <c r="C111" s="20">
        <v>2.93</v>
      </c>
      <c r="D111" s="32" t="s">
        <v>30</v>
      </c>
      <c r="E111" s="30"/>
      <c r="F111" s="28">
        <v>4.1000000000000002E-2</v>
      </c>
      <c r="G111" s="9" t="s">
        <v>118</v>
      </c>
      <c r="H111" s="25">
        <v>45805</v>
      </c>
      <c r="I111" s="26">
        <v>0.4152777777777778</v>
      </c>
      <c r="J111" s="7">
        <f t="shared" si="1"/>
        <v>0.89905038774432655</v>
      </c>
    </row>
    <row r="112" spans="1:10">
      <c r="A112" s="8">
        <v>89</v>
      </c>
      <c r="B112" s="20">
        <v>0.23</v>
      </c>
      <c r="C112" s="20">
        <v>4.13</v>
      </c>
      <c r="D112" s="32" t="s">
        <v>30</v>
      </c>
      <c r="E112" s="30"/>
      <c r="F112" s="28">
        <v>3.1299999999999994E-2</v>
      </c>
      <c r="G112" s="9" t="s">
        <v>119</v>
      </c>
      <c r="H112" s="25">
        <v>45805</v>
      </c>
      <c r="I112" s="26">
        <v>0.4152777777777778</v>
      </c>
      <c r="J112" s="7">
        <f t="shared" si="1"/>
        <v>0.68634822283896135</v>
      </c>
    </row>
    <row r="113" spans="1:10">
      <c r="A113" s="8">
        <v>90</v>
      </c>
      <c r="B113" s="20">
        <v>0.28000000000000003</v>
      </c>
      <c r="C113" s="20">
        <v>4.76</v>
      </c>
      <c r="D113" s="31">
        <v>9.4</v>
      </c>
      <c r="E113" s="33">
        <v>5.0000000000000001E-3</v>
      </c>
      <c r="F113" s="28">
        <v>2.7199999999999998E-2</v>
      </c>
      <c r="G113" s="9" t="s">
        <v>120</v>
      </c>
      <c r="H113" s="25">
        <v>45805</v>
      </c>
      <c r="I113" s="26">
        <v>0.4152777777777778</v>
      </c>
      <c r="J113" s="7">
        <f t="shared" si="1"/>
        <v>0.59644318406452879</v>
      </c>
    </row>
    <row r="114" spans="1:10">
      <c r="A114" s="8">
        <v>91</v>
      </c>
      <c r="B114" s="20">
        <v>0.18</v>
      </c>
      <c r="C114" s="20">
        <v>3.39</v>
      </c>
      <c r="D114" s="32" t="s">
        <v>30</v>
      </c>
      <c r="E114" s="30"/>
      <c r="F114" s="28">
        <v>4.1799999999999997E-2</v>
      </c>
      <c r="G114" s="9" t="s">
        <v>121</v>
      </c>
      <c r="H114" s="25">
        <v>45805</v>
      </c>
      <c r="I114" s="26">
        <v>0.4152777777777778</v>
      </c>
      <c r="J114" s="7">
        <f t="shared" si="1"/>
        <v>0.91659283433445971</v>
      </c>
    </row>
    <row r="115" spans="1:10">
      <c r="A115" s="8">
        <v>92</v>
      </c>
      <c r="B115" s="20">
        <v>0.24</v>
      </c>
      <c r="C115" s="20">
        <v>4.4800000000000004</v>
      </c>
      <c r="D115" s="32" t="s">
        <v>30</v>
      </c>
      <c r="E115" s="30"/>
      <c r="F115" s="28">
        <v>3.3500000000000002E-2</v>
      </c>
      <c r="G115" s="9" t="s">
        <v>122</v>
      </c>
      <c r="H115" s="25">
        <v>45805</v>
      </c>
      <c r="I115" s="26">
        <v>0.4152777777777778</v>
      </c>
      <c r="J115" s="7">
        <f t="shared" si="1"/>
        <v>0.73458995096182778</v>
      </c>
    </row>
    <row r="116" spans="1:10">
      <c r="A116" s="8">
        <v>93</v>
      </c>
      <c r="B116" s="20">
        <v>0.22</v>
      </c>
      <c r="C116" s="20">
        <v>3.84</v>
      </c>
      <c r="D116" s="32" t="s">
        <v>30</v>
      </c>
      <c r="E116" s="30"/>
      <c r="F116" s="28">
        <v>3.6200000000000003E-2</v>
      </c>
      <c r="G116" s="9" t="s">
        <v>123</v>
      </c>
      <c r="H116" s="25">
        <v>45805</v>
      </c>
      <c r="I116" s="26">
        <v>0.4152777777777778</v>
      </c>
      <c r="J116" s="7">
        <f t="shared" si="1"/>
        <v>0.79379570820352741</v>
      </c>
    </row>
    <row r="117" spans="1:10">
      <c r="A117" s="8">
        <v>94</v>
      </c>
      <c r="B117" s="20">
        <v>0.21</v>
      </c>
      <c r="C117" s="20">
        <v>3.59</v>
      </c>
      <c r="D117" s="32" t="s">
        <v>30</v>
      </c>
      <c r="E117" s="30"/>
      <c r="F117" s="28">
        <v>6.7400000000000002E-2</v>
      </c>
      <c r="G117" s="9" t="s">
        <v>124</v>
      </c>
      <c r="H117" s="25">
        <v>45805</v>
      </c>
      <c r="I117" s="26">
        <v>0.4152777777777778</v>
      </c>
      <c r="J117" s="7">
        <f t="shared" si="1"/>
        <v>1.4779511252187223</v>
      </c>
    </row>
    <row r="118" spans="1:10">
      <c r="A118" s="8">
        <v>95</v>
      </c>
      <c r="B118" s="20">
        <v>0.23</v>
      </c>
      <c r="C118" s="20">
        <v>3.61</v>
      </c>
      <c r="D118" s="31">
        <v>7.4</v>
      </c>
      <c r="E118" s="30"/>
      <c r="F118" s="28">
        <v>6.6599999999999993E-2</v>
      </c>
      <c r="G118" s="9" t="s">
        <v>125</v>
      </c>
      <c r="H118" s="25">
        <v>45805</v>
      </c>
      <c r="I118" s="26">
        <v>0.4152777777777778</v>
      </c>
      <c r="J118" s="7">
        <f t="shared" si="1"/>
        <v>1.4604086786285888</v>
      </c>
    </row>
    <row r="119" spans="1:10">
      <c r="A119" s="8">
        <v>96</v>
      </c>
      <c r="B119" s="20">
        <v>0.19</v>
      </c>
      <c r="C119" s="20">
        <v>3.05</v>
      </c>
      <c r="D119" s="32" t="s">
        <v>30</v>
      </c>
      <c r="E119" s="30"/>
      <c r="F119" s="28">
        <v>7.1599999999999997E-2</v>
      </c>
      <c r="G119" s="9" t="s">
        <v>126</v>
      </c>
      <c r="H119" s="25">
        <v>45805</v>
      </c>
      <c r="I119" s="26">
        <v>0.4152777777777778</v>
      </c>
      <c r="J119" s="7">
        <f t="shared" si="1"/>
        <v>1.5700489698169213</v>
      </c>
    </row>
    <row r="120" spans="1:10">
      <c r="A120" s="8">
        <v>97</v>
      </c>
      <c r="B120" s="20">
        <v>0.19</v>
      </c>
      <c r="C120" s="20">
        <v>3.07</v>
      </c>
      <c r="D120" s="32" t="s">
        <v>30</v>
      </c>
      <c r="E120" s="30"/>
      <c r="F120" s="28">
        <v>7.3200000000000001E-2</v>
      </c>
      <c r="G120" s="9" t="s">
        <v>127</v>
      </c>
      <c r="H120" s="25">
        <v>45805</v>
      </c>
      <c r="I120" s="26">
        <v>0.4152777777777778</v>
      </c>
      <c r="J120" s="7">
        <f t="shared" si="1"/>
        <v>1.6051338629971881</v>
      </c>
    </row>
    <row r="121" spans="1:10">
      <c r="A121" s="8">
        <v>98</v>
      </c>
      <c r="B121" s="20">
        <v>0.23</v>
      </c>
      <c r="C121" s="20">
        <v>3.66</v>
      </c>
      <c r="D121" s="32" t="s">
        <v>30</v>
      </c>
      <c r="E121" s="30"/>
      <c r="F121" s="28">
        <v>8.0500000000000002E-2</v>
      </c>
      <c r="G121" s="9" t="s">
        <v>128</v>
      </c>
      <c r="H121" s="25">
        <v>45805</v>
      </c>
      <c r="I121" s="26">
        <v>0.4152777777777778</v>
      </c>
      <c r="J121" s="7">
        <f t="shared" si="1"/>
        <v>1.7652086881321534</v>
      </c>
    </row>
    <row r="122" spans="1:10">
      <c r="A122" s="8">
        <v>99</v>
      </c>
      <c r="B122" s="20">
        <v>0.22</v>
      </c>
      <c r="C122" s="20">
        <v>3.49</v>
      </c>
      <c r="D122" s="32" t="s">
        <v>30</v>
      </c>
      <c r="E122" s="33">
        <v>5.0000000000000001E-3</v>
      </c>
      <c r="F122" s="28">
        <v>7.1599999999999997E-2</v>
      </c>
      <c r="G122" s="9" t="s">
        <v>129</v>
      </c>
      <c r="H122" s="25">
        <v>45805</v>
      </c>
      <c r="I122" s="26">
        <v>0.4152777777777778</v>
      </c>
      <c r="J122" s="7">
        <f t="shared" si="1"/>
        <v>1.5700489698169213</v>
      </c>
    </row>
    <row r="123" spans="1:10">
      <c r="A123" s="8">
        <v>100</v>
      </c>
      <c r="B123" s="20">
        <v>0.14000000000000001</v>
      </c>
      <c r="C123" s="20">
        <v>2.41</v>
      </c>
      <c r="D123" s="31">
        <v>4.5999999999999996</v>
      </c>
      <c r="E123" s="30"/>
      <c r="F123" s="28">
        <v>9.9199999999999983E-2</v>
      </c>
      <c r="G123" s="9" t="s">
        <v>130</v>
      </c>
      <c r="H123" s="25">
        <v>45805</v>
      </c>
      <c r="I123" s="26">
        <v>0.4152777777777778</v>
      </c>
      <c r="J123" s="7">
        <f t="shared" si="1"/>
        <v>2.1752633771765169</v>
      </c>
    </row>
    <row r="124" spans="1:10">
      <c r="A124" s="8">
        <v>101</v>
      </c>
      <c r="B124" s="20">
        <v>0.17</v>
      </c>
      <c r="C124" s="20">
        <v>2.7</v>
      </c>
      <c r="D124" s="32" t="s">
        <v>30</v>
      </c>
      <c r="E124" s="30"/>
      <c r="F124" s="28">
        <v>0.11560000000000001</v>
      </c>
      <c r="G124" s="9" t="s">
        <v>131</v>
      </c>
      <c r="H124" s="25">
        <v>45805</v>
      </c>
      <c r="I124" s="26">
        <v>0.4152777777777778</v>
      </c>
      <c r="J124" s="7">
        <f t="shared" si="1"/>
        <v>2.5348835322742476</v>
      </c>
    </row>
    <row r="125" spans="1:10">
      <c r="A125" s="8">
        <v>102</v>
      </c>
      <c r="B125" s="20">
        <v>0.12</v>
      </c>
      <c r="C125" s="20">
        <v>1.85</v>
      </c>
      <c r="D125" s="32" t="s">
        <v>30</v>
      </c>
      <c r="E125" s="30"/>
      <c r="F125" s="28">
        <v>9.7899999999999987E-2</v>
      </c>
      <c r="G125" s="9" t="s">
        <v>132</v>
      </c>
      <c r="H125" s="25">
        <v>45805</v>
      </c>
      <c r="I125" s="26">
        <v>0.4152777777777778</v>
      </c>
      <c r="J125" s="7">
        <f t="shared" si="1"/>
        <v>2.1467569014675503</v>
      </c>
    </row>
    <row r="126" spans="1:10">
      <c r="A126" s="8">
        <v>103</v>
      </c>
      <c r="B126" s="20">
        <v>0.09</v>
      </c>
      <c r="C126" s="20">
        <v>1.28</v>
      </c>
      <c r="D126" s="32" t="s">
        <v>30</v>
      </c>
      <c r="E126" s="30"/>
      <c r="F126" s="28">
        <v>0.1099</v>
      </c>
      <c r="G126" s="9" t="s">
        <v>133</v>
      </c>
      <c r="H126" s="25">
        <v>45805</v>
      </c>
      <c r="I126" s="26">
        <v>0.4152777777777778</v>
      </c>
      <c r="J126" s="7">
        <f t="shared" si="1"/>
        <v>2.4098936003195481</v>
      </c>
    </row>
    <row r="127" spans="1:10">
      <c r="A127" s="8">
        <v>104</v>
      </c>
      <c r="B127" s="20">
        <v>7.0000000000000007E-2</v>
      </c>
      <c r="C127" s="20">
        <v>0.91</v>
      </c>
      <c r="D127" s="32" t="s">
        <v>30</v>
      </c>
      <c r="E127" s="30"/>
      <c r="F127" s="28">
        <v>0.10010000000000001</v>
      </c>
      <c r="G127" s="9" t="s">
        <v>134</v>
      </c>
      <c r="H127" s="25">
        <v>45805</v>
      </c>
      <c r="I127" s="26">
        <v>0.4152777777777778</v>
      </c>
      <c r="J127" s="7">
        <f t="shared" si="1"/>
        <v>2.1949986295904171</v>
      </c>
    </row>
    <row r="128" spans="1:10">
      <c r="A128" s="8">
        <v>105</v>
      </c>
      <c r="B128" s="20">
        <v>0.05</v>
      </c>
      <c r="C128" s="20">
        <v>0.68</v>
      </c>
      <c r="D128" s="31">
        <v>1.8</v>
      </c>
      <c r="E128" s="30"/>
      <c r="F128" s="28">
        <v>0.14939999999999998</v>
      </c>
      <c r="G128" s="9" t="s">
        <v>135</v>
      </c>
      <c r="H128" s="25">
        <v>45805</v>
      </c>
      <c r="I128" s="26">
        <v>0.4152777777777778</v>
      </c>
      <c r="J128" s="7">
        <f t="shared" si="1"/>
        <v>3.2760519007073747</v>
      </c>
    </row>
    <row r="129" spans="1:10">
      <c r="A129" s="8">
        <v>106</v>
      </c>
      <c r="B129" s="20">
        <v>0.11</v>
      </c>
      <c r="C129" s="20">
        <v>1.64</v>
      </c>
      <c r="D129" s="32" t="s">
        <v>30</v>
      </c>
      <c r="E129" s="30"/>
      <c r="F129" s="28">
        <v>5.4700000000000006E-2</v>
      </c>
      <c r="G129" s="9" t="s">
        <v>136</v>
      </c>
      <c r="H129" s="25">
        <v>45805</v>
      </c>
      <c r="I129" s="26">
        <v>0.4152777777777778</v>
      </c>
      <c r="J129" s="7">
        <f t="shared" si="1"/>
        <v>1.1994647856003577</v>
      </c>
    </row>
    <row r="130" spans="1:10">
      <c r="A130" s="8">
        <v>107</v>
      </c>
      <c r="B130" s="20">
        <v>0.28000000000000003</v>
      </c>
      <c r="C130" s="20">
        <v>4.5199999999999996</v>
      </c>
      <c r="D130" s="32" t="s">
        <v>30</v>
      </c>
      <c r="E130" s="30"/>
      <c r="F130" s="28">
        <v>3.4299999999999997E-2</v>
      </c>
      <c r="G130" s="9" t="s">
        <v>137</v>
      </c>
      <c r="H130" s="25">
        <v>45805</v>
      </c>
      <c r="I130" s="26">
        <v>0.42499999999999999</v>
      </c>
      <c r="J130" s="7">
        <f t="shared" si="1"/>
        <v>0.75213239755196093</v>
      </c>
    </row>
    <row r="131" spans="1:10">
      <c r="A131" s="8">
        <v>108</v>
      </c>
      <c r="B131" s="20">
        <v>0.2</v>
      </c>
      <c r="C131" s="20">
        <v>3.81</v>
      </c>
      <c r="D131" s="31">
        <v>7.2</v>
      </c>
      <c r="E131" s="33">
        <v>5.0000000000000001E-3</v>
      </c>
      <c r="F131" s="28">
        <v>2.6200000000000005E-2</v>
      </c>
      <c r="G131" s="9" t="s">
        <v>138</v>
      </c>
      <c r="H131" s="25">
        <v>45805</v>
      </c>
      <c r="I131" s="26">
        <v>0.42499999999999999</v>
      </c>
      <c r="J131" s="7">
        <f t="shared" si="1"/>
        <v>0.57451512582686237</v>
      </c>
    </row>
    <row r="132" spans="1:10">
      <c r="A132" s="8">
        <v>109</v>
      </c>
      <c r="B132" s="20">
        <v>0.25</v>
      </c>
      <c r="C132" s="20">
        <v>4.8</v>
      </c>
      <c r="D132" s="32" t="s">
        <v>30</v>
      </c>
      <c r="E132" s="30"/>
      <c r="F132" s="28">
        <v>3.0000000000000002E-2</v>
      </c>
      <c r="G132" s="9" t="s">
        <v>139</v>
      </c>
      <c r="H132" s="25">
        <v>45805</v>
      </c>
      <c r="I132" s="26">
        <v>0.42499999999999999</v>
      </c>
      <c r="J132" s="7">
        <f t="shared" si="1"/>
        <v>0.6578417471299951</v>
      </c>
    </row>
    <row r="133" spans="1:10">
      <c r="A133" s="8">
        <v>110</v>
      </c>
      <c r="B133" s="20">
        <v>0.28000000000000003</v>
      </c>
      <c r="C133" s="20">
        <v>4.99</v>
      </c>
      <c r="D133" s="32" t="s">
        <v>30</v>
      </c>
      <c r="E133" s="30"/>
      <c r="F133" s="28">
        <v>3.2399999999999998E-2</v>
      </c>
      <c r="G133" s="9" t="s">
        <v>140</v>
      </c>
      <c r="H133" s="25">
        <v>45805</v>
      </c>
      <c r="I133" s="26">
        <v>0.42499999999999999</v>
      </c>
      <c r="J133" s="7">
        <f t="shared" si="1"/>
        <v>0.71046908690039456</v>
      </c>
    </row>
    <row r="134" spans="1:10">
      <c r="A134" s="8">
        <v>111</v>
      </c>
      <c r="B134" s="20">
        <v>0.3</v>
      </c>
      <c r="C134" s="20">
        <v>5.35</v>
      </c>
      <c r="D134" s="32" t="s">
        <v>30</v>
      </c>
      <c r="E134" s="30"/>
      <c r="F134" s="28">
        <v>2.7999999999999997E-2</v>
      </c>
      <c r="G134" s="9" t="s">
        <v>141</v>
      </c>
      <c r="H134" s="25">
        <v>45805</v>
      </c>
      <c r="I134" s="26">
        <v>0.42499999999999999</v>
      </c>
      <c r="J134" s="7">
        <f t="shared" si="1"/>
        <v>0.61398563065466194</v>
      </c>
    </row>
    <row r="135" spans="1:10">
      <c r="A135" s="8">
        <v>112</v>
      </c>
      <c r="B135" s="20">
        <v>0.33</v>
      </c>
      <c r="C135" s="20">
        <v>5.83</v>
      </c>
      <c r="D135" s="32" t="s">
        <v>30</v>
      </c>
      <c r="E135" s="30"/>
      <c r="F135" s="28">
        <v>2.69E-2</v>
      </c>
      <c r="G135" s="9" t="s">
        <v>142</v>
      </c>
      <c r="H135" s="25">
        <v>45805</v>
      </c>
      <c r="I135" s="26">
        <v>0.42499999999999999</v>
      </c>
      <c r="J135" s="7">
        <f t="shared" si="1"/>
        <v>0.58986476659322884</v>
      </c>
    </row>
    <row r="136" spans="1:10">
      <c r="A136" s="8">
        <v>113</v>
      </c>
      <c r="B136" s="20">
        <v>0.31</v>
      </c>
      <c r="C136" s="20">
        <v>5.03</v>
      </c>
      <c r="D136" s="31">
        <v>9.1</v>
      </c>
      <c r="E136" s="30"/>
      <c r="F136" s="28">
        <v>3.4400000000000007E-2</v>
      </c>
      <c r="G136" s="9" t="s">
        <v>143</v>
      </c>
      <c r="H136" s="25">
        <v>45805</v>
      </c>
      <c r="I136" s="26">
        <v>0.42499999999999999</v>
      </c>
      <c r="J136" s="7">
        <f t="shared" si="1"/>
        <v>0.75432520337572773</v>
      </c>
    </row>
    <row r="137" spans="1:10">
      <c r="A137" s="8">
        <v>114</v>
      </c>
      <c r="B137" s="20">
        <v>0.27</v>
      </c>
      <c r="C137" s="20">
        <v>4.41</v>
      </c>
      <c r="D137" s="32" t="s">
        <v>30</v>
      </c>
      <c r="E137" s="30"/>
      <c r="F137" s="28">
        <v>2.7699999999999999E-2</v>
      </c>
      <c r="G137" s="9" t="s">
        <v>144</v>
      </c>
      <c r="H137" s="25">
        <v>45805</v>
      </c>
      <c r="I137" s="26">
        <v>0.42499999999999999</v>
      </c>
      <c r="J137" s="7">
        <f t="shared" si="1"/>
        <v>0.6074072131833621</v>
      </c>
    </row>
    <row r="138" spans="1:10">
      <c r="A138" s="8">
        <v>115</v>
      </c>
      <c r="B138" s="20">
        <v>0.33</v>
      </c>
      <c r="C138" s="20">
        <v>5.27</v>
      </c>
      <c r="D138" s="32" t="s">
        <v>30</v>
      </c>
      <c r="E138" s="30"/>
      <c r="F138" s="28">
        <v>2.3999999999999997E-2</v>
      </c>
      <c r="G138" s="9" t="s">
        <v>145</v>
      </c>
      <c r="H138" s="25">
        <v>45805</v>
      </c>
      <c r="I138" s="26">
        <v>0.42499999999999999</v>
      </c>
      <c r="J138" s="7">
        <f t="shared" si="1"/>
        <v>0.52627339770399595</v>
      </c>
    </row>
    <row r="139" spans="1:10">
      <c r="A139" s="8">
        <v>116</v>
      </c>
      <c r="B139" s="20">
        <v>0.26</v>
      </c>
      <c r="C139" s="20">
        <v>4.12</v>
      </c>
      <c r="D139" s="32" t="s">
        <v>30</v>
      </c>
      <c r="E139" s="30"/>
      <c r="F139" s="28">
        <v>3.0800000000000001E-2</v>
      </c>
      <c r="G139" s="9" t="s">
        <v>146</v>
      </c>
      <c r="H139" s="25">
        <v>45805</v>
      </c>
      <c r="I139" s="26">
        <v>0.42499999999999999</v>
      </c>
      <c r="J139" s="7">
        <f t="shared" si="1"/>
        <v>0.67538419372012826</v>
      </c>
    </row>
    <row r="140" spans="1:10">
      <c r="A140" s="8">
        <v>117</v>
      </c>
      <c r="B140" s="20">
        <v>0.26</v>
      </c>
      <c r="C140" s="20">
        <v>3.71</v>
      </c>
      <c r="D140" s="32" t="s">
        <v>30</v>
      </c>
      <c r="E140" s="33">
        <v>1.2999999999999999E-2</v>
      </c>
      <c r="F140" s="28">
        <v>6.1200000000000004E-2</v>
      </c>
      <c r="G140" s="9" t="s">
        <v>147</v>
      </c>
      <c r="H140" s="25">
        <v>45805</v>
      </c>
      <c r="I140" s="26">
        <v>0.42499999999999999</v>
      </c>
      <c r="J140" s="7">
        <f t="shared" si="1"/>
        <v>1.34199716414519</v>
      </c>
    </row>
    <row r="141" spans="1:10">
      <c r="A141" s="8">
        <v>118</v>
      </c>
      <c r="B141" s="20">
        <v>0.15</v>
      </c>
      <c r="C141" s="20">
        <v>2.59</v>
      </c>
      <c r="D141" s="31">
        <v>5.0999999999999996</v>
      </c>
      <c r="E141" s="30"/>
      <c r="F141" s="28">
        <v>7.4999999999999997E-2</v>
      </c>
      <c r="G141" s="9" t="s">
        <v>148</v>
      </c>
      <c r="H141" s="25">
        <v>45805</v>
      </c>
      <c r="I141" s="26">
        <v>0.42499999999999999</v>
      </c>
      <c r="J141" s="7">
        <f t="shared" si="1"/>
        <v>1.6446043678249875</v>
      </c>
    </row>
    <row r="142" spans="1:10">
      <c r="A142" s="8">
        <v>119</v>
      </c>
      <c r="B142" s="20">
        <v>0.16</v>
      </c>
      <c r="C142" s="20">
        <v>2.9</v>
      </c>
      <c r="D142" s="32" t="s">
        <v>30</v>
      </c>
      <c r="E142" s="30"/>
      <c r="F142" s="28">
        <v>8.9499999999999996E-2</v>
      </c>
      <c r="G142" s="9" t="s">
        <v>149</v>
      </c>
      <c r="H142" s="25">
        <v>45805</v>
      </c>
      <c r="I142" s="26">
        <v>0.42499999999999999</v>
      </c>
      <c r="J142" s="7">
        <f t="shared" si="1"/>
        <v>1.962561212271152</v>
      </c>
    </row>
    <row r="143" spans="1:10">
      <c r="A143" s="8">
        <v>120</v>
      </c>
      <c r="B143" s="20">
        <v>0.14000000000000001</v>
      </c>
      <c r="C143" s="20">
        <v>2.23</v>
      </c>
      <c r="D143" s="32" t="s">
        <v>30</v>
      </c>
      <c r="E143" s="30"/>
      <c r="F143" s="28">
        <v>9.4200000000000006E-2</v>
      </c>
      <c r="G143" s="9" t="s">
        <v>150</v>
      </c>
      <c r="H143" s="25">
        <v>45805</v>
      </c>
      <c r="I143" s="26">
        <v>0.42499999999999999</v>
      </c>
      <c r="J143" s="7">
        <f t="shared" si="1"/>
        <v>2.0656230859881846</v>
      </c>
    </row>
    <row r="144" spans="1:10">
      <c r="A144" s="8">
        <v>121</v>
      </c>
      <c r="B144" s="20">
        <v>0.15</v>
      </c>
      <c r="C144" s="20">
        <v>2.68</v>
      </c>
      <c r="D144" s="32" t="s">
        <v>30</v>
      </c>
      <c r="E144" s="30"/>
      <c r="F144" s="28">
        <v>8.2799999999999999E-2</v>
      </c>
      <c r="G144" s="9" t="s">
        <v>151</v>
      </c>
      <c r="H144" s="25">
        <v>45805</v>
      </c>
      <c r="I144" s="26">
        <v>0.42499999999999999</v>
      </c>
      <c r="J144" s="7">
        <f t="shared" si="1"/>
        <v>1.8156432220787864</v>
      </c>
    </row>
    <row r="145" spans="1:10">
      <c r="A145" s="8">
        <v>122</v>
      </c>
      <c r="B145" s="20">
        <v>0.16</v>
      </c>
      <c r="C145" s="20">
        <v>2.89</v>
      </c>
      <c r="D145" s="32" t="s">
        <v>30</v>
      </c>
      <c r="E145" s="30"/>
      <c r="F145" s="28">
        <v>8.5300000000000001E-2</v>
      </c>
      <c r="G145" s="9" t="s">
        <v>152</v>
      </c>
      <c r="H145" s="25">
        <v>45805</v>
      </c>
      <c r="I145" s="26">
        <v>0.42499999999999999</v>
      </c>
      <c r="J145" s="7">
        <f t="shared" si="1"/>
        <v>1.8704633676729525</v>
      </c>
    </row>
    <row r="146" spans="1:10">
      <c r="A146" s="8">
        <v>123</v>
      </c>
      <c r="B146" s="20">
        <v>0.2</v>
      </c>
      <c r="C146" s="20">
        <v>3.43</v>
      </c>
      <c r="D146" s="31">
        <v>6.4</v>
      </c>
      <c r="E146" s="30"/>
      <c r="F146" s="28">
        <v>8.0399999999999999E-2</v>
      </c>
      <c r="G146" s="9" t="s">
        <v>153</v>
      </c>
      <c r="H146" s="25">
        <v>45805</v>
      </c>
      <c r="I146" s="26">
        <v>0.42499999999999999</v>
      </c>
      <c r="J146" s="7">
        <f t="shared" si="1"/>
        <v>1.7630158823083868</v>
      </c>
    </row>
    <row r="147" spans="1:10">
      <c r="A147" s="8">
        <v>124</v>
      </c>
      <c r="B147" s="20">
        <v>0.22</v>
      </c>
      <c r="C147" s="20">
        <v>3.83</v>
      </c>
      <c r="D147" s="32" t="s">
        <v>30</v>
      </c>
      <c r="E147" s="30"/>
      <c r="F147" s="28">
        <v>7.5300000000000006E-2</v>
      </c>
      <c r="G147" s="9" t="s">
        <v>154</v>
      </c>
      <c r="H147" s="25">
        <v>45805</v>
      </c>
      <c r="I147" s="26">
        <v>0.42499999999999999</v>
      </c>
      <c r="J147" s="7">
        <f t="shared" si="1"/>
        <v>1.6511827852962877</v>
      </c>
    </row>
    <row r="148" spans="1:10">
      <c r="A148" s="8">
        <v>125</v>
      </c>
      <c r="B148" s="20">
        <v>0.19</v>
      </c>
      <c r="C148" s="20">
        <v>3.38</v>
      </c>
      <c r="D148" s="32" t="s">
        <v>30</v>
      </c>
      <c r="E148" s="30"/>
      <c r="F148" s="28">
        <v>8.0299999999999996E-2</v>
      </c>
      <c r="G148" s="9" t="s">
        <v>155</v>
      </c>
      <c r="H148" s="25">
        <v>45805</v>
      </c>
      <c r="I148" s="26">
        <v>0.42499999999999999</v>
      </c>
      <c r="J148" s="7">
        <f t="shared" si="1"/>
        <v>1.76082307648462</v>
      </c>
    </row>
    <row r="149" spans="1:10">
      <c r="A149" s="8">
        <v>126</v>
      </c>
      <c r="B149" s="20">
        <v>0.11</v>
      </c>
      <c r="C149" s="20">
        <v>2.0499999999999998</v>
      </c>
      <c r="D149" s="32" t="s">
        <v>30</v>
      </c>
      <c r="E149" s="33">
        <v>3.0000000000000001E-3</v>
      </c>
      <c r="F149" s="28">
        <v>0.1</v>
      </c>
      <c r="G149" s="9" t="s">
        <v>156</v>
      </c>
      <c r="H149" s="25">
        <v>45805</v>
      </c>
      <c r="I149" s="26">
        <v>0.42499999999999999</v>
      </c>
      <c r="J149" s="7">
        <f t="shared" si="1"/>
        <v>2.1928058237666503</v>
      </c>
    </row>
    <row r="150" spans="1:10">
      <c r="A150" s="8">
        <v>127</v>
      </c>
      <c r="B150" s="20">
        <v>0.12</v>
      </c>
      <c r="C150" s="20">
        <v>2.2200000000000002</v>
      </c>
      <c r="D150" s="32" t="s">
        <v>30</v>
      </c>
      <c r="E150" s="30"/>
      <c r="F150" s="28">
        <v>0.10340000000000001</v>
      </c>
      <c r="G150" s="9" t="s">
        <v>157</v>
      </c>
      <c r="H150" s="25">
        <v>45805</v>
      </c>
      <c r="I150" s="26">
        <v>0.42499999999999999</v>
      </c>
      <c r="J150" s="7">
        <f t="shared" si="1"/>
        <v>2.2673612217747166</v>
      </c>
    </row>
    <row r="151" spans="1:10">
      <c r="A151" s="8">
        <v>128</v>
      </c>
      <c r="B151" s="20">
        <v>0.16</v>
      </c>
      <c r="C151" s="20">
        <v>2.88</v>
      </c>
      <c r="D151" s="31">
        <v>5.2</v>
      </c>
      <c r="E151" s="30"/>
      <c r="F151" s="28">
        <v>8.7399999999999992E-2</v>
      </c>
      <c r="G151" s="9" t="s">
        <v>158</v>
      </c>
      <c r="H151" s="25">
        <v>45805</v>
      </c>
      <c r="I151" s="26">
        <v>0.42499999999999999</v>
      </c>
      <c r="J151" s="7">
        <f t="shared" si="1"/>
        <v>1.9165122899720521</v>
      </c>
    </row>
    <row r="152" spans="1:10">
      <c r="A152" s="8">
        <v>129</v>
      </c>
      <c r="B152" s="20">
        <v>0.17</v>
      </c>
      <c r="C152" s="20">
        <v>3.09</v>
      </c>
      <c r="D152" s="32" t="s">
        <v>30</v>
      </c>
      <c r="E152" s="30"/>
      <c r="F152" s="28">
        <v>8.5699999999999998E-2</v>
      </c>
      <c r="G152" s="9" t="s">
        <v>159</v>
      </c>
      <c r="H152" s="25">
        <v>45805</v>
      </c>
      <c r="I152" s="26">
        <v>0.42499999999999999</v>
      </c>
      <c r="J152" s="7">
        <f t="shared" ref="J152:J176" si="2">F152*1000/(PI()*((7.62/2)^2))</f>
        <v>1.8792345909680193</v>
      </c>
    </row>
    <row r="153" spans="1:10">
      <c r="A153" s="8">
        <v>130</v>
      </c>
      <c r="B153" s="20">
        <v>0.12</v>
      </c>
      <c r="C153" s="20">
        <v>2.42</v>
      </c>
      <c r="D153" s="32" t="s">
        <v>30</v>
      </c>
      <c r="E153" s="30"/>
      <c r="F153" s="28">
        <v>0.1022</v>
      </c>
      <c r="G153" s="9" t="s">
        <v>160</v>
      </c>
      <c r="H153" s="25">
        <v>45805</v>
      </c>
      <c r="I153" s="26">
        <v>0.42499999999999999</v>
      </c>
      <c r="J153" s="7">
        <f t="shared" si="2"/>
        <v>2.2410475518895163</v>
      </c>
    </row>
    <row r="154" spans="1:10">
      <c r="A154" s="8">
        <v>131</v>
      </c>
      <c r="B154" s="20">
        <v>0.1</v>
      </c>
      <c r="C154" s="20">
        <v>1.76</v>
      </c>
      <c r="D154" s="32" t="s">
        <v>30</v>
      </c>
      <c r="E154" s="30"/>
      <c r="F154" s="28">
        <v>0.13670000000000002</v>
      </c>
      <c r="G154" s="9" t="s">
        <v>161</v>
      </c>
      <c r="H154" s="25">
        <v>45805</v>
      </c>
      <c r="I154" s="26">
        <v>0.42499999999999999</v>
      </c>
      <c r="J154" s="7">
        <f t="shared" si="2"/>
        <v>2.9975655610890111</v>
      </c>
    </row>
    <row r="155" spans="1:10">
      <c r="A155" s="8">
        <v>132</v>
      </c>
      <c r="B155" s="20">
        <v>0.51</v>
      </c>
      <c r="C155" s="20">
        <v>6.24</v>
      </c>
      <c r="D155" s="32" t="s">
        <v>30</v>
      </c>
      <c r="E155" s="30"/>
      <c r="F155" s="28">
        <v>2.0899999999999998E-2</v>
      </c>
      <c r="G155" s="9" t="s">
        <v>162</v>
      </c>
      <c r="H155" s="25">
        <v>45805</v>
      </c>
      <c r="I155" s="26">
        <v>0.43611111111111112</v>
      </c>
      <c r="J155" s="7">
        <f t="shared" si="2"/>
        <v>0.45829641716722985</v>
      </c>
    </row>
    <row r="156" spans="1:10">
      <c r="A156" s="8">
        <v>133</v>
      </c>
      <c r="B156" s="20">
        <v>0.35</v>
      </c>
      <c r="C156" s="20">
        <v>4.62</v>
      </c>
      <c r="D156" s="31">
        <v>9.4</v>
      </c>
      <c r="E156" s="30"/>
      <c r="F156" s="28">
        <v>2.9900000000000003E-2</v>
      </c>
      <c r="G156" s="9" t="s">
        <v>163</v>
      </c>
      <c r="H156" s="25">
        <v>45805</v>
      </c>
      <c r="I156" s="26">
        <v>0.43611111111111112</v>
      </c>
      <c r="J156" s="7">
        <f t="shared" si="2"/>
        <v>0.65564894130622842</v>
      </c>
    </row>
    <row r="157" spans="1:10">
      <c r="A157" s="8">
        <v>134</v>
      </c>
      <c r="B157" s="20">
        <v>0.3</v>
      </c>
      <c r="C157" s="20">
        <v>4.75</v>
      </c>
      <c r="D157" s="32" t="s">
        <v>30</v>
      </c>
      <c r="E157" s="30"/>
      <c r="F157" s="28">
        <v>2.8799999999999999E-2</v>
      </c>
      <c r="G157" s="9" t="s">
        <v>164</v>
      </c>
      <c r="H157" s="25">
        <v>45805</v>
      </c>
      <c r="I157" s="26">
        <v>0.43611111111111112</v>
      </c>
      <c r="J157" s="7">
        <f t="shared" si="2"/>
        <v>0.63152807724479521</v>
      </c>
    </row>
    <row r="158" spans="1:10">
      <c r="A158" s="8">
        <v>135</v>
      </c>
      <c r="B158" s="20">
        <v>0.28999999999999998</v>
      </c>
      <c r="C158" s="20">
        <v>4.49</v>
      </c>
      <c r="D158" s="32" t="s">
        <v>30</v>
      </c>
      <c r="E158" s="33">
        <v>8.0000000000000002E-3</v>
      </c>
      <c r="F158" s="28">
        <v>2.81E-2</v>
      </c>
      <c r="G158" s="9" t="s">
        <v>165</v>
      </c>
      <c r="H158" s="25">
        <v>45805</v>
      </c>
      <c r="I158" s="26">
        <v>0.43611111111111112</v>
      </c>
      <c r="J158" s="7">
        <f t="shared" si="2"/>
        <v>0.61617843647842874</v>
      </c>
    </row>
    <row r="159" spans="1:10">
      <c r="A159" s="8">
        <v>136</v>
      </c>
      <c r="B159" s="20">
        <v>0.44</v>
      </c>
      <c r="C159" s="20">
        <v>6.54</v>
      </c>
      <c r="D159" s="32" t="s">
        <v>30</v>
      </c>
      <c r="E159" s="30"/>
      <c r="F159" s="28">
        <v>2.1999999999999999E-2</v>
      </c>
      <c r="G159" s="9" t="s">
        <v>166</v>
      </c>
      <c r="H159" s="25">
        <v>45805</v>
      </c>
      <c r="I159" s="26">
        <v>0.43611111111111112</v>
      </c>
      <c r="J159" s="7">
        <f t="shared" si="2"/>
        <v>0.48241728122866301</v>
      </c>
    </row>
    <row r="160" spans="1:10">
      <c r="A160" s="8">
        <v>137</v>
      </c>
      <c r="B160" s="20">
        <v>0.34</v>
      </c>
      <c r="C160" s="20">
        <v>5.76</v>
      </c>
      <c r="D160" s="32" t="s">
        <v>30</v>
      </c>
      <c r="E160" s="30"/>
      <c r="F160" s="28">
        <v>3.0600000000000002E-2</v>
      </c>
      <c r="G160" s="9" t="s">
        <v>167</v>
      </c>
      <c r="H160" s="25">
        <v>45805</v>
      </c>
      <c r="I160" s="26">
        <v>0.43611111111111112</v>
      </c>
      <c r="J160" s="7">
        <f t="shared" si="2"/>
        <v>0.670998582072595</v>
      </c>
    </row>
    <row r="161" spans="1:10">
      <c r="A161" s="8">
        <v>138</v>
      </c>
      <c r="B161" s="20">
        <v>0.35</v>
      </c>
      <c r="C161" s="20">
        <v>5.88</v>
      </c>
      <c r="D161" s="31">
        <v>11.1</v>
      </c>
      <c r="E161" s="30"/>
      <c r="F161" s="28">
        <v>3.3299999999999996E-2</v>
      </c>
      <c r="G161" s="9" t="s">
        <v>168</v>
      </c>
      <c r="H161" s="25">
        <v>45805</v>
      </c>
      <c r="I161" s="26">
        <v>0.43611111111111112</v>
      </c>
      <c r="J161" s="7">
        <f t="shared" si="2"/>
        <v>0.7302043393142944</v>
      </c>
    </row>
    <row r="162" spans="1:10">
      <c r="A162" s="8">
        <v>139</v>
      </c>
      <c r="B162" s="20">
        <v>0.28999999999999998</v>
      </c>
      <c r="C162" s="20">
        <v>4.8600000000000003</v>
      </c>
      <c r="D162" s="32" t="s">
        <v>30</v>
      </c>
      <c r="E162" s="30"/>
      <c r="F162" s="28">
        <v>2.23E-2</v>
      </c>
      <c r="G162" s="9" t="s">
        <v>169</v>
      </c>
      <c r="H162" s="25">
        <v>45805</v>
      </c>
      <c r="I162" s="26">
        <v>0.43611111111111112</v>
      </c>
      <c r="J162" s="7">
        <f t="shared" si="2"/>
        <v>0.48899569869996301</v>
      </c>
    </row>
    <row r="163" spans="1:10">
      <c r="A163" s="8">
        <v>140</v>
      </c>
      <c r="B163" s="20">
        <v>0.21</v>
      </c>
      <c r="C163" s="20">
        <v>3.7</v>
      </c>
      <c r="D163" s="32" t="s">
        <v>30</v>
      </c>
      <c r="E163" s="30"/>
      <c r="F163" s="28">
        <v>2.9600000000000001E-2</v>
      </c>
      <c r="G163" s="9" t="s">
        <v>170</v>
      </c>
      <c r="H163" s="25">
        <v>45805</v>
      </c>
      <c r="I163" s="26">
        <v>0.43611111111111112</v>
      </c>
      <c r="J163" s="7">
        <f t="shared" si="2"/>
        <v>0.64907052383492847</v>
      </c>
    </row>
    <row r="164" spans="1:10">
      <c r="A164" s="8">
        <v>141</v>
      </c>
      <c r="B164" s="20">
        <v>0.23</v>
      </c>
      <c r="C164" s="20">
        <v>4.34</v>
      </c>
      <c r="D164" s="32" t="s">
        <v>30</v>
      </c>
      <c r="E164" s="30"/>
      <c r="F164" s="28">
        <v>2.8700000000000003E-2</v>
      </c>
      <c r="G164" s="9" t="s">
        <v>171</v>
      </c>
      <c r="H164" s="25">
        <v>45805</v>
      </c>
      <c r="I164" s="26">
        <v>0.43611111111111112</v>
      </c>
      <c r="J164" s="7">
        <f t="shared" si="2"/>
        <v>0.62933527142102863</v>
      </c>
    </row>
    <row r="165" spans="1:10">
      <c r="A165" s="8">
        <v>142</v>
      </c>
      <c r="B165" s="20">
        <v>0.28999999999999998</v>
      </c>
      <c r="C165" s="20">
        <v>5.0999999999999996</v>
      </c>
      <c r="D165" s="32" t="s">
        <v>30</v>
      </c>
      <c r="E165" s="30"/>
      <c r="F165" s="28">
        <v>5.3400000000000003E-2</v>
      </c>
      <c r="G165" s="9" t="s">
        <v>172</v>
      </c>
      <c r="H165" s="25">
        <v>45805</v>
      </c>
      <c r="I165" s="26">
        <v>0.43611111111111112</v>
      </c>
      <c r="J165" s="7">
        <f t="shared" si="2"/>
        <v>1.1709583098913914</v>
      </c>
    </row>
    <row r="166" spans="1:10">
      <c r="A166" s="8">
        <v>143</v>
      </c>
      <c r="B166" s="20">
        <v>0.31</v>
      </c>
      <c r="C166" s="20">
        <v>4.91</v>
      </c>
      <c r="D166" s="31">
        <v>9.4</v>
      </c>
      <c r="E166" s="30"/>
      <c r="F166" s="28">
        <v>5.3100000000000001E-2</v>
      </c>
      <c r="G166" s="9" t="s">
        <v>173</v>
      </c>
      <c r="H166" s="25">
        <v>45805</v>
      </c>
      <c r="I166" s="26">
        <v>0.43611111111111112</v>
      </c>
      <c r="J166" s="7">
        <f t="shared" si="2"/>
        <v>1.1643798924200912</v>
      </c>
    </row>
    <row r="167" spans="1:10">
      <c r="A167" s="8">
        <v>144</v>
      </c>
      <c r="B167" s="20">
        <v>0.25</v>
      </c>
      <c r="C167" s="20">
        <v>3.99</v>
      </c>
      <c r="D167" s="32" t="s">
        <v>30</v>
      </c>
      <c r="E167" s="33">
        <v>7.0000000000000001E-3</v>
      </c>
      <c r="F167" s="28">
        <v>5.5600000000000004E-2</v>
      </c>
      <c r="G167" s="9" t="s">
        <v>174</v>
      </c>
      <c r="H167" s="25">
        <v>45805</v>
      </c>
      <c r="I167" s="26">
        <v>0.43611111111111112</v>
      </c>
      <c r="J167" s="7">
        <f t="shared" si="2"/>
        <v>1.2192000380142576</v>
      </c>
    </row>
    <row r="168" spans="1:10">
      <c r="A168" s="8">
        <v>145</v>
      </c>
      <c r="B168" s="20">
        <v>0.2</v>
      </c>
      <c r="C168" s="20">
        <v>3.18</v>
      </c>
      <c r="D168" s="32" t="s">
        <v>30</v>
      </c>
      <c r="E168" s="30"/>
      <c r="F168" s="28">
        <v>6.7299999999999999E-2</v>
      </c>
      <c r="G168" s="9" t="s">
        <v>175</v>
      </c>
      <c r="H168" s="25">
        <v>45805</v>
      </c>
      <c r="I168" s="26">
        <v>0.43611111111111112</v>
      </c>
      <c r="J168" s="7">
        <f t="shared" si="2"/>
        <v>1.4757583193949555</v>
      </c>
    </row>
    <row r="169" spans="1:10">
      <c r="A169" s="8">
        <v>146</v>
      </c>
      <c r="B169" s="20">
        <v>0.24</v>
      </c>
      <c r="C169" s="20">
        <v>3.47</v>
      </c>
      <c r="D169" s="32" t="s">
        <v>30</v>
      </c>
      <c r="E169" s="30"/>
      <c r="F169" s="28">
        <v>5.5200000000000006E-2</v>
      </c>
      <c r="G169" s="9" t="s">
        <v>176</v>
      </c>
      <c r="H169" s="25">
        <v>45805</v>
      </c>
      <c r="I169" s="26">
        <v>0.43611111111111112</v>
      </c>
      <c r="J169" s="7">
        <f t="shared" si="2"/>
        <v>1.2104288147191908</v>
      </c>
    </row>
    <row r="170" spans="1:10">
      <c r="A170" s="8">
        <v>147</v>
      </c>
      <c r="B170" s="20">
        <v>0.21</v>
      </c>
      <c r="C170" s="20">
        <v>3.06</v>
      </c>
      <c r="D170" s="32" t="s">
        <v>30</v>
      </c>
      <c r="E170" s="30"/>
      <c r="F170" s="28">
        <v>5.9799999999999999E-2</v>
      </c>
      <c r="G170" s="9" t="s">
        <v>177</v>
      </c>
      <c r="H170" s="25">
        <v>45805</v>
      </c>
      <c r="I170" s="26">
        <v>0.43611111111111112</v>
      </c>
      <c r="J170" s="7">
        <f t="shared" si="2"/>
        <v>1.3112978826124568</v>
      </c>
    </row>
    <row r="171" spans="1:10">
      <c r="A171" s="8">
        <v>148</v>
      </c>
      <c r="B171" s="20">
        <v>0.21</v>
      </c>
      <c r="C171" s="20">
        <v>3.22</v>
      </c>
      <c r="D171" s="31">
        <v>6.3</v>
      </c>
      <c r="E171" s="30"/>
      <c r="F171" s="28">
        <v>5.9600000000000007E-2</v>
      </c>
      <c r="G171" s="9" t="s">
        <v>178</v>
      </c>
      <c r="H171" s="25">
        <v>45805</v>
      </c>
      <c r="I171" s="26">
        <v>0.43611111111111112</v>
      </c>
      <c r="J171" s="7">
        <f t="shared" si="2"/>
        <v>1.3069122709649237</v>
      </c>
    </row>
    <row r="172" spans="1:10">
      <c r="A172" s="8">
        <v>149</v>
      </c>
      <c r="B172" s="20">
        <v>0.21</v>
      </c>
      <c r="C172" s="20">
        <v>3.22</v>
      </c>
      <c r="D172" s="32" t="s">
        <v>30</v>
      </c>
      <c r="E172" s="30"/>
      <c r="F172" s="28">
        <v>0.08</v>
      </c>
      <c r="G172" s="9" t="s">
        <v>179</v>
      </c>
      <c r="H172" s="25">
        <v>45805</v>
      </c>
      <c r="I172" s="26">
        <v>0.43611111111111112</v>
      </c>
      <c r="J172" s="7">
        <f t="shared" si="2"/>
        <v>1.7542446590133201</v>
      </c>
    </row>
    <row r="173" spans="1:10">
      <c r="A173" s="8">
        <v>150</v>
      </c>
      <c r="B173" s="20">
        <v>0.18</v>
      </c>
      <c r="C173" s="20">
        <v>3.02</v>
      </c>
      <c r="D173" s="32" t="s">
        <v>30</v>
      </c>
      <c r="E173" s="30"/>
      <c r="F173" s="28">
        <v>8.2300000000000012E-2</v>
      </c>
      <c r="G173" s="9" t="s">
        <v>180</v>
      </c>
      <c r="H173" s="25">
        <v>45805</v>
      </c>
      <c r="I173" s="26">
        <v>0.43611111111111112</v>
      </c>
      <c r="J173" s="7">
        <f t="shared" si="2"/>
        <v>1.8046791929599533</v>
      </c>
    </row>
    <row r="174" spans="1:10">
      <c r="A174" s="8">
        <v>151</v>
      </c>
      <c r="B174" s="20">
        <v>0.18</v>
      </c>
      <c r="C174" s="20">
        <v>3.3</v>
      </c>
      <c r="D174" s="32" t="s">
        <v>30</v>
      </c>
      <c r="E174" s="30"/>
      <c r="F174" s="28">
        <v>9.8599999999999993E-2</v>
      </c>
      <c r="G174" s="9" t="s">
        <v>181</v>
      </c>
      <c r="H174" s="25">
        <v>45805</v>
      </c>
      <c r="I174" s="26">
        <v>0.43611111111111112</v>
      </c>
      <c r="J174" s="7">
        <f t="shared" si="2"/>
        <v>2.162106542233917</v>
      </c>
    </row>
    <row r="175" spans="1:10">
      <c r="A175" s="8">
        <v>152</v>
      </c>
      <c r="B175" s="20">
        <v>0.19</v>
      </c>
      <c r="C175" s="20">
        <v>4.3099999999999996</v>
      </c>
      <c r="D175" s="32" t="s">
        <v>30</v>
      </c>
      <c r="E175" s="30"/>
      <c r="F175" s="28">
        <v>9.11E-2</v>
      </c>
      <c r="G175" s="9" t="s">
        <v>182</v>
      </c>
      <c r="H175" s="25">
        <v>45805</v>
      </c>
      <c r="I175" s="26">
        <v>0.43611111111111112</v>
      </c>
      <c r="J175" s="7">
        <f t="shared" si="2"/>
        <v>1.9976461054514181</v>
      </c>
    </row>
    <row r="176" spans="1:10">
      <c r="A176" s="8">
        <v>153</v>
      </c>
      <c r="B176" s="20">
        <v>0.13</v>
      </c>
      <c r="C176" s="20">
        <v>2.7</v>
      </c>
      <c r="D176" s="31">
        <v>4.9000000000000004</v>
      </c>
      <c r="E176" s="33">
        <v>8.9999999999999993E-3</v>
      </c>
      <c r="F176" s="28">
        <v>0.12520000000000001</v>
      </c>
      <c r="G176" s="9" t="s">
        <v>183</v>
      </c>
      <c r="H176" s="25">
        <v>45805</v>
      </c>
      <c r="I176" s="26">
        <v>0.43611111111111112</v>
      </c>
      <c r="J176" s="7">
        <f t="shared" si="2"/>
        <v>2.7453928913558459</v>
      </c>
    </row>
  </sheetData>
  <mergeCells count="2">
    <mergeCell ref="B18:C18"/>
    <mergeCell ref="B19:C19"/>
  </mergeCells>
  <phoneticPr fontId="0" type="noConversion"/>
  <pageMargins left="0.75" right="0.75" top="1" bottom="1" header="0.5" footer="0.5"/>
  <pageSetup scale="61" orientation="portrait" r:id="rId1"/>
  <headerFooter alignWithMargins="0"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6B116-B42C-4B01-91D5-9549A9B08E30}">
  <dimension ref="A1:L304"/>
  <sheetViews>
    <sheetView tabSelected="1" workbookViewId="0">
      <pane ySplit="5" topLeftCell="A6" activePane="bottomLeft" state="frozen"/>
      <selection pane="bottomLeft"/>
    </sheetView>
  </sheetViews>
  <sheetFormatPr defaultColWidth="9.1796875" defaultRowHeight="14.5"/>
  <cols>
    <col min="1" max="1" width="22" style="79" customWidth="1"/>
    <col min="2" max="2" width="13" style="79" customWidth="1"/>
    <col min="3" max="3" width="10" style="79" customWidth="1"/>
    <col min="4" max="5" width="7" style="79" customWidth="1"/>
    <col min="6" max="7" width="9" style="79" customWidth="1"/>
    <col min="8" max="8" width="7" style="79" customWidth="1"/>
    <col min="9" max="9" width="10" style="79" customWidth="1"/>
    <col min="10" max="10" width="12" style="79" customWidth="1"/>
    <col min="11" max="11" width="24" style="79" customWidth="1"/>
    <col min="12" max="12" width="11" style="79" customWidth="1"/>
    <col min="13" max="16384" width="9.1796875" style="79"/>
  </cols>
  <sheetData>
    <row r="1" spans="1:12" ht="24" customHeight="1">
      <c r="A1" s="78" t="s">
        <v>361</v>
      </c>
    </row>
    <row r="2" spans="1:12" ht="14.15" customHeight="1">
      <c r="A2" s="80" t="s">
        <v>362</v>
      </c>
    </row>
    <row r="3" spans="1:12" ht="6" customHeight="1"/>
    <row r="4" spans="1:12" ht="31.5" customHeight="1" thickBot="1">
      <c r="A4" s="81" t="s">
        <v>363</v>
      </c>
      <c r="B4" s="81" t="s">
        <v>5</v>
      </c>
      <c r="C4" s="81" t="s">
        <v>364</v>
      </c>
      <c r="D4" s="81" t="s">
        <v>9</v>
      </c>
      <c r="E4" s="81" t="s">
        <v>10</v>
      </c>
      <c r="F4" s="81" t="s">
        <v>11</v>
      </c>
      <c r="G4" s="81" t="s">
        <v>365</v>
      </c>
      <c r="H4" s="81" t="s">
        <v>14</v>
      </c>
      <c r="I4" s="81" t="s">
        <v>200</v>
      </c>
      <c r="J4" s="81" t="s">
        <v>13</v>
      </c>
      <c r="K4" s="81" t="s">
        <v>201</v>
      </c>
      <c r="L4" s="81" t="s">
        <v>366</v>
      </c>
    </row>
    <row r="5" spans="1:12" ht="13" customHeight="1" thickBot="1">
      <c r="A5" s="82"/>
      <c r="B5" s="82"/>
      <c r="C5" s="82"/>
      <c r="D5" s="82" t="s">
        <v>8</v>
      </c>
      <c r="E5" s="82" t="s">
        <v>8</v>
      </c>
      <c r="F5" s="82" t="s">
        <v>8</v>
      </c>
      <c r="G5" s="82" t="s">
        <v>367</v>
      </c>
      <c r="H5" s="82" t="s">
        <v>8</v>
      </c>
      <c r="I5" s="82" t="s">
        <v>368</v>
      </c>
      <c r="J5" s="82" t="s">
        <v>369</v>
      </c>
      <c r="K5" s="82"/>
      <c r="L5" s="82"/>
    </row>
    <row r="6" spans="1:12" ht="13" customHeight="1">
      <c r="A6" s="83" t="s">
        <v>206</v>
      </c>
      <c r="B6" s="84">
        <v>45734</v>
      </c>
      <c r="C6" s="85">
        <v>0.65208333333333335</v>
      </c>
      <c r="D6" s="86">
        <v>0.22</v>
      </c>
      <c r="E6" s="86">
        <v>3.53</v>
      </c>
      <c r="F6" s="87">
        <v>3.6999999999999998E-2</v>
      </c>
      <c r="G6" s="87">
        <v>3.496</v>
      </c>
      <c r="H6" s="83"/>
      <c r="I6" s="86">
        <v>26.7</v>
      </c>
      <c r="J6" s="87">
        <v>0.58547915494569558</v>
      </c>
      <c r="K6" s="83"/>
      <c r="L6" s="83" t="s">
        <v>193</v>
      </c>
    </row>
    <row r="7" spans="1:12" ht="13" customHeight="1">
      <c r="A7" s="88" t="s">
        <v>207</v>
      </c>
      <c r="B7" s="89">
        <v>45734</v>
      </c>
      <c r="C7" s="90">
        <v>0.65208333333333335</v>
      </c>
      <c r="D7" s="91">
        <v>0.18</v>
      </c>
      <c r="E7" s="91">
        <v>3.27</v>
      </c>
      <c r="F7" s="92">
        <v>7.0000000000000001E-3</v>
      </c>
      <c r="G7" s="92">
        <v>3.262</v>
      </c>
      <c r="H7" s="88"/>
      <c r="I7" s="91">
        <v>39.5</v>
      </c>
      <c r="J7" s="92">
        <v>0.86615830038782682</v>
      </c>
      <c r="K7" s="88"/>
      <c r="L7" s="88" t="s">
        <v>193</v>
      </c>
    </row>
    <row r="8" spans="1:12" ht="13" customHeight="1">
      <c r="A8" s="83" t="s">
        <v>208</v>
      </c>
      <c r="B8" s="84">
        <v>45734</v>
      </c>
      <c r="C8" s="85">
        <v>0.65208333333333335</v>
      </c>
      <c r="D8" s="86">
        <v>0.15</v>
      </c>
      <c r="E8" s="86">
        <v>2.68</v>
      </c>
      <c r="F8" s="87">
        <v>7.0000000000000001E-3</v>
      </c>
      <c r="G8" s="87">
        <v>2.6739999999999999</v>
      </c>
      <c r="H8" s="83"/>
      <c r="I8" s="86">
        <v>45.8</v>
      </c>
      <c r="J8" s="87">
        <v>1.0043050672851259</v>
      </c>
      <c r="K8" s="83"/>
      <c r="L8" s="83" t="s">
        <v>193</v>
      </c>
    </row>
    <row r="9" spans="1:12" ht="13" customHeight="1">
      <c r="A9" s="88" t="s">
        <v>209</v>
      </c>
      <c r="B9" s="89">
        <v>45734</v>
      </c>
      <c r="C9" s="90">
        <v>0.65208333333333335</v>
      </c>
      <c r="D9" s="91">
        <v>0.18</v>
      </c>
      <c r="E9" s="91">
        <v>3.02</v>
      </c>
      <c r="F9" s="92">
        <v>8.9999999999999993E-3</v>
      </c>
      <c r="G9" s="92">
        <v>3.016</v>
      </c>
      <c r="H9" s="88"/>
      <c r="I9" s="91">
        <v>40.1</v>
      </c>
      <c r="J9" s="92">
        <v>0.87931513533042671</v>
      </c>
      <c r="K9" s="88"/>
      <c r="L9" s="88" t="s">
        <v>193</v>
      </c>
    </row>
    <row r="10" spans="1:12" ht="13" customHeight="1">
      <c r="A10" s="83" t="s">
        <v>210</v>
      </c>
      <c r="B10" s="84">
        <v>45734</v>
      </c>
      <c r="C10" s="85">
        <v>0.65208333333333335</v>
      </c>
      <c r="D10" s="86">
        <v>0.22</v>
      </c>
      <c r="E10" s="86">
        <v>3.36</v>
      </c>
      <c r="F10" s="87">
        <v>8.9999999999999993E-3</v>
      </c>
      <c r="G10" s="87">
        <v>3.355</v>
      </c>
      <c r="H10" s="83"/>
      <c r="I10" s="86">
        <v>32.700000000000003</v>
      </c>
      <c r="J10" s="87">
        <v>0.71704750437169462</v>
      </c>
      <c r="K10" s="83" t="s">
        <v>211</v>
      </c>
      <c r="L10" s="83" t="s">
        <v>193</v>
      </c>
    </row>
    <row r="11" spans="1:12" ht="13" customHeight="1">
      <c r="A11" s="88" t="s">
        <v>212</v>
      </c>
      <c r="B11" s="89">
        <v>45734</v>
      </c>
      <c r="C11" s="90">
        <v>0.65208333333333335</v>
      </c>
      <c r="D11" s="91">
        <v>0.21</v>
      </c>
      <c r="E11" s="91">
        <v>3.38</v>
      </c>
      <c r="F11" s="92">
        <v>8.0000000000000002E-3</v>
      </c>
      <c r="G11" s="92">
        <v>3.3719999999999999</v>
      </c>
      <c r="H11" s="93">
        <v>6.8351149983802717</v>
      </c>
      <c r="I11" s="91">
        <v>21.5</v>
      </c>
      <c r="J11" s="92">
        <v>0.4714532521098298</v>
      </c>
      <c r="K11" s="88" t="s">
        <v>211</v>
      </c>
      <c r="L11" s="88" t="s">
        <v>193</v>
      </c>
    </row>
    <row r="12" spans="1:12" ht="13" customHeight="1">
      <c r="A12" s="83" t="s">
        <v>213</v>
      </c>
      <c r="B12" s="84">
        <v>45734</v>
      </c>
      <c r="C12" s="85">
        <v>0.65208333333333335</v>
      </c>
      <c r="D12" s="86">
        <v>0.22</v>
      </c>
      <c r="E12" s="86">
        <v>3.85</v>
      </c>
      <c r="F12" s="87">
        <v>8.9999999999999993E-3</v>
      </c>
      <c r="G12" s="87">
        <v>3.8439999999999999</v>
      </c>
      <c r="H12" s="83"/>
      <c r="I12" s="86">
        <v>22.5</v>
      </c>
      <c r="J12" s="87">
        <v>0.49338131034749633</v>
      </c>
      <c r="K12" s="83" t="s">
        <v>211</v>
      </c>
      <c r="L12" s="83" t="s">
        <v>193</v>
      </c>
    </row>
    <row r="13" spans="1:12" ht="13" customHeight="1">
      <c r="A13" s="88" t="s">
        <v>214</v>
      </c>
      <c r="B13" s="89">
        <v>45734</v>
      </c>
      <c r="C13" s="90">
        <v>0.65208333333333335</v>
      </c>
      <c r="D13" s="91">
        <v>0.51</v>
      </c>
      <c r="E13" s="91">
        <v>7.67</v>
      </c>
      <c r="F13" s="92">
        <v>1.0999999999999999E-2</v>
      </c>
      <c r="G13" s="92">
        <v>7.6619999999999999</v>
      </c>
      <c r="H13" s="88"/>
      <c r="I13" s="91">
        <v>24.4</v>
      </c>
      <c r="J13" s="92">
        <v>0.53504462099906258</v>
      </c>
      <c r="K13" s="88" t="s">
        <v>211</v>
      </c>
      <c r="L13" s="88" t="s">
        <v>193</v>
      </c>
    </row>
    <row r="14" spans="1:12" ht="13" customHeight="1">
      <c r="A14" s="83" t="s">
        <v>215</v>
      </c>
      <c r="B14" s="84">
        <v>45734</v>
      </c>
      <c r="C14" s="85">
        <v>0.65208333333333335</v>
      </c>
      <c r="D14" s="86">
        <v>0.65</v>
      </c>
      <c r="E14" s="86">
        <v>9.35</v>
      </c>
      <c r="F14" s="87">
        <v>8.9999999999999993E-3</v>
      </c>
      <c r="G14" s="87">
        <v>9.3369999999999997</v>
      </c>
      <c r="H14" s="83"/>
      <c r="I14" s="86">
        <v>17.8</v>
      </c>
      <c r="J14" s="87">
        <v>0.39031943663046381</v>
      </c>
      <c r="K14" s="83" t="s">
        <v>211</v>
      </c>
      <c r="L14" s="83" t="s">
        <v>193</v>
      </c>
    </row>
    <row r="15" spans="1:12" ht="13" customHeight="1">
      <c r="A15" s="88" t="s">
        <v>216</v>
      </c>
      <c r="B15" s="89">
        <v>45734</v>
      </c>
      <c r="C15" s="90">
        <v>0.65208333333333335</v>
      </c>
      <c r="D15" s="91">
        <v>0.74</v>
      </c>
      <c r="E15" s="91">
        <v>10.75</v>
      </c>
      <c r="F15" s="92">
        <v>8.9999999999999993E-3</v>
      </c>
      <c r="G15" s="92">
        <v>10.746</v>
      </c>
      <c r="H15" s="88"/>
      <c r="I15" s="91">
        <v>17.5</v>
      </c>
      <c r="J15" s="92">
        <v>0.38374101915916381</v>
      </c>
      <c r="K15" s="88" t="s">
        <v>211</v>
      </c>
      <c r="L15" s="88" t="s">
        <v>193</v>
      </c>
    </row>
    <row r="16" spans="1:12" ht="13" customHeight="1">
      <c r="A16" s="83" t="s">
        <v>217</v>
      </c>
      <c r="B16" s="84">
        <v>45734</v>
      </c>
      <c r="C16" s="85">
        <v>0.65208333333333335</v>
      </c>
      <c r="D16" s="86">
        <v>0.97</v>
      </c>
      <c r="E16" s="86">
        <v>13.73</v>
      </c>
      <c r="F16" s="87">
        <v>1.2E-2</v>
      </c>
      <c r="G16" s="87">
        <v>13.718999999999999</v>
      </c>
      <c r="H16" s="94">
        <v>26.55071508057533</v>
      </c>
      <c r="I16" s="86">
        <v>28.7</v>
      </c>
      <c r="J16" s="87">
        <v>0.31466763571051432</v>
      </c>
      <c r="K16" s="83" t="s">
        <v>211</v>
      </c>
      <c r="L16" s="83" t="s">
        <v>193</v>
      </c>
    </row>
    <row r="17" spans="1:12" ht="13" customHeight="1">
      <c r="A17" s="88" t="s">
        <v>218</v>
      </c>
      <c r="B17" s="89">
        <v>45734</v>
      </c>
      <c r="C17" s="90">
        <v>0.65208333333333335</v>
      </c>
      <c r="D17" s="91">
        <v>0.54</v>
      </c>
      <c r="E17" s="91">
        <v>7.13</v>
      </c>
      <c r="F17" s="92">
        <v>8.0000000000000002E-3</v>
      </c>
      <c r="G17" s="92">
        <v>7.125</v>
      </c>
      <c r="H17" s="88"/>
      <c r="I17" s="91">
        <v>47.3</v>
      </c>
      <c r="J17" s="92">
        <v>0.51859857732081271</v>
      </c>
      <c r="K17" s="88" t="s">
        <v>219</v>
      </c>
      <c r="L17" s="88" t="s">
        <v>193</v>
      </c>
    </row>
    <row r="18" spans="1:12" ht="13" customHeight="1">
      <c r="A18" s="83" t="s">
        <v>220</v>
      </c>
      <c r="B18" s="84">
        <v>45734</v>
      </c>
      <c r="C18" s="85">
        <v>0.65208333333333335</v>
      </c>
      <c r="D18" s="86">
        <v>0.28999999999999998</v>
      </c>
      <c r="E18" s="86">
        <v>3.78</v>
      </c>
      <c r="F18" s="87">
        <v>6.0000000000000001E-3</v>
      </c>
      <c r="G18" s="87">
        <v>3.7789999999999999</v>
      </c>
      <c r="H18" s="83"/>
      <c r="I18" s="86">
        <v>73.8</v>
      </c>
      <c r="J18" s="87">
        <v>0.80914534896989387</v>
      </c>
      <c r="K18" s="83" t="s">
        <v>219</v>
      </c>
      <c r="L18" s="83" t="s">
        <v>193</v>
      </c>
    </row>
    <row r="19" spans="1:12" ht="13" customHeight="1">
      <c r="A19" s="88" t="s">
        <v>221</v>
      </c>
      <c r="B19" s="89">
        <v>45734</v>
      </c>
      <c r="C19" s="90">
        <v>0.65208333333333335</v>
      </c>
      <c r="D19" s="91">
        <v>0.23</v>
      </c>
      <c r="E19" s="91">
        <v>3.17</v>
      </c>
      <c r="F19" s="92">
        <v>6.0000000000000001E-3</v>
      </c>
      <c r="G19" s="92">
        <v>3.169</v>
      </c>
      <c r="H19" s="88"/>
      <c r="I19" s="91">
        <v>78.900000000000006</v>
      </c>
      <c r="J19" s="92">
        <v>0.86506189747594353</v>
      </c>
      <c r="K19" s="88" t="s">
        <v>219</v>
      </c>
      <c r="L19" s="88" t="s">
        <v>193</v>
      </c>
    </row>
    <row r="20" spans="1:12" ht="13" customHeight="1">
      <c r="A20" s="83" t="s">
        <v>222</v>
      </c>
      <c r="B20" s="84">
        <v>45734</v>
      </c>
      <c r="C20" s="85">
        <v>0.65208333333333335</v>
      </c>
      <c r="D20" s="86">
        <v>0.31</v>
      </c>
      <c r="E20" s="86">
        <v>4.21</v>
      </c>
      <c r="F20" s="87">
        <v>5.0000000000000001E-3</v>
      </c>
      <c r="G20" s="87">
        <v>4.2060000000000004</v>
      </c>
      <c r="H20" s="83"/>
      <c r="I20" s="86">
        <v>72.400000000000006</v>
      </c>
      <c r="J20" s="87">
        <v>0.79379570820352741</v>
      </c>
      <c r="K20" s="83" t="s">
        <v>219</v>
      </c>
      <c r="L20" s="83" t="s">
        <v>193</v>
      </c>
    </row>
    <row r="21" spans="1:12" ht="13" customHeight="1">
      <c r="A21" s="88" t="s">
        <v>223</v>
      </c>
      <c r="B21" s="89">
        <v>45734</v>
      </c>
      <c r="C21" s="90">
        <v>0.65208333333333335</v>
      </c>
      <c r="D21" s="91">
        <v>0.28999999999999998</v>
      </c>
      <c r="E21" s="91">
        <v>4.2</v>
      </c>
      <c r="F21" s="92">
        <v>5.0000000000000001E-3</v>
      </c>
      <c r="G21" s="92">
        <v>4.1929999999999996</v>
      </c>
      <c r="H21" s="93">
        <v>7.5524163266963624</v>
      </c>
      <c r="I21" s="91">
        <v>69.400000000000006</v>
      </c>
      <c r="J21" s="92">
        <v>0.76090362084702767</v>
      </c>
      <c r="K21" s="88" t="s">
        <v>219</v>
      </c>
      <c r="L21" s="88" t="s">
        <v>193</v>
      </c>
    </row>
    <row r="22" spans="1:12" ht="13" customHeight="1">
      <c r="A22" s="83" t="s">
        <v>224</v>
      </c>
      <c r="B22" s="84">
        <v>45734</v>
      </c>
      <c r="C22" s="85">
        <v>0.65208333333333335</v>
      </c>
      <c r="D22" s="86">
        <v>0.34</v>
      </c>
      <c r="E22" s="86">
        <v>4.5599999999999996</v>
      </c>
      <c r="F22" s="87">
        <v>6.0000000000000001E-3</v>
      </c>
      <c r="G22" s="87">
        <v>4.5579999999999998</v>
      </c>
      <c r="H22" s="83"/>
      <c r="I22" s="86">
        <v>65.2</v>
      </c>
      <c r="J22" s="87">
        <v>0.71485469854792794</v>
      </c>
      <c r="K22" s="83"/>
      <c r="L22" s="83" t="s">
        <v>193</v>
      </c>
    </row>
    <row r="23" spans="1:12" ht="13" customHeight="1">
      <c r="A23" s="88" t="s">
        <v>225</v>
      </c>
      <c r="B23" s="89">
        <v>45734</v>
      </c>
      <c r="C23" s="90">
        <v>0.65208333333333335</v>
      </c>
      <c r="D23" s="91">
        <v>0.25</v>
      </c>
      <c r="E23" s="91">
        <v>3.07</v>
      </c>
      <c r="F23" s="92">
        <v>6.0000000000000001E-3</v>
      </c>
      <c r="G23" s="92">
        <v>3.0640000000000001</v>
      </c>
      <c r="H23" s="88"/>
      <c r="I23" s="91">
        <v>98.4</v>
      </c>
      <c r="J23" s="92">
        <v>1.0788604652931919</v>
      </c>
      <c r="K23" s="88"/>
      <c r="L23" s="88" t="s">
        <v>193</v>
      </c>
    </row>
    <row r="24" spans="1:12" ht="13" customHeight="1">
      <c r="A24" s="83" t="s">
        <v>226</v>
      </c>
      <c r="B24" s="84">
        <v>45734</v>
      </c>
      <c r="C24" s="85">
        <v>0.65208333333333335</v>
      </c>
      <c r="D24" s="86">
        <v>0.32</v>
      </c>
      <c r="E24" s="86">
        <v>4.1500000000000004</v>
      </c>
      <c r="F24" s="87">
        <v>8.0000000000000002E-3</v>
      </c>
      <c r="G24" s="87">
        <v>4.1399999999999997</v>
      </c>
      <c r="H24" s="83"/>
      <c r="I24" s="86">
        <v>72.8</v>
      </c>
      <c r="J24" s="87">
        <v>0.79818131985106067</v>
      </c>
      <c r="K24" s="83"/>
      <c r="L24" s="83" t="s">
        <v>193</v>
      </c>
    </row>
    <row r="25" spans="1:12" ht="13" customHeight="1">
      <c r="A25" s="88" t="s">
        <v>227</v>
      </c>
      <c r="B25" s="89">
        <v>45734</v>
      </c>
      <c r="C25" s="90">
        <v>0.65208333333333335</v>
      </c>
      <c r="D25" s="91">
        <v>0.45</v>
      </c>
      <c r="E25" s="91">
        <v>5.5</v>
      </c>
      <c r="F25" s="92">
        <v>1.6E-2</v>
      </c>
      <c r="G25" s="92">
        <v>5.48</v>
      </c>
      <c r="H25" s="88"/>
      <c r="I25" s="91">
        <v>62.8</v>
      </c>
      <c r="J25" s="92">
        <v>0.68854102866272815</v>
      </c>
      <c r="K25" s="88"/>
      <c r="L25" s="88" t="s">
        <v>193</v>
      </c>
    </row>
    <row r="26" spans="1:12" ht="13" customHeight="1">
      <c r="A26" s="83" t="s">
        <v>228</v>
      </c>
      <c r="B26" s="84">
        <v>45734</v>
      </c>
      <c r="C26" s="85">
        <v>0.65208333333333335</v>
      </c>
      <c r="D26" s="86">
        <v>0.33</v>
      </c>
      <c r="E26" s="86">
        <v>3.94</v>
      </c>
      <c r="F26" s="87">
        <v>6.0000000000000001E-3</v>
      </c>
      <c r="G26" s="87">
        <v>3.93</v>
      </c>
      <c r="H26" s="94">
        <v>7.8085028627116371</v>
      </c>
      <c r="I26" s="86">
        <v>49.3</v>
      </c>
      <c r="J26" s="87">
        <v>0.54052663555847924</v>
      </c>
      <c r="K26" s="83" t="s">
        <v>229</v>
      </c>
      <c r="L26" s="83" t="s">
        <v>193</v>
      </c>
    </row>
    <row r="27" spans="1:12" ht="13" customHeight="1">
      <c r="A27" s="88" t="s">
        <v>230</v>
      </c>
      <c r="B27" s="89">
        <v>45735</v>
      </c>
      <c r="C27" s="90">
        <v>0.55555555555555558</v>
      </c>
      <c r="D27" s="91">
        <v>0.15</v>
      </c>
      <c r="E27" s="91">
        <v>2.65</v>
      </c>
      <c r="F27" s="92">
        <v>5.0000000000000001E-3</v>
      </c>
      <c r="G27" s="92">
        <v>2.6469999999999998</v>
      </c>
      <c r="H27" s="88"/>
      <c r="I27" s="91">
        <v>29.6</v>
      </c>
      <c r="J27" s="92">
        <v>0.64907052383492847</v>
      </c>
      <c r="K27" s="88" t="s">
        <v>219</v>
      </c>
      <c r="L27" s="88" t="s">
        <v>193</v>
      </c>
    </row>
    <row r="28" spans="1:12" ht="13" customHeight="1">
      <c r="A28" s="83" t="s">
        <v>231</v>
      </c>
      <c r="B28" s="84">
        <v>45735</v>
      </c>
      <c r="C28" s="85">
        <v>0.55555555555555558</v>
      </c>
      <c r="D28" s="86">
        <v>0.12</v>
      </c>
      <c r="E28" s="86">
        <v>1.64</v>
      </c>
      <c r="F28" s="87">
        <v>4.0000000000000001E-3</v>
      </c>
      <c r="G28" s="87">
        <v>1.6339999999999999</v>
      </c>
      <c r="H28" s="83"/>
      <c r="I28" s="86">
        <v>48.1</v>
      </c>
      <c r="J28" s="87">
        <v>1.0547396012317589</v>
      </c>
      <c r="K28" s="83" t="s">
        <v>219</v>
      </c>
      <c r="L28" s="83" t="s">
        <v>193</v>
      </c>
    </row>
    <row r="29" spans="1:12" ht="13" customHeight="1">
      <c r="A29" s="88" t="s">
        <v>232</v>
      </c>
      <c r="B29" s="89">
        <v>45735</v>
      </c>
      <c r="C29" s="90">
        <v>0.55555555555555558</v>
      </c>
      <c r="D29" s="91">
        <v>0.1</v>
      </c>
      <c r="E29" s="91">
        <v>1.03</v>
      </c>
      <c r="F29" s="92">
        <v>4.0000000000000001E-3</v>
      </c>
      <c r="G29" s="92">
        <v>1.026</v>
      </c>
      <c r="H29" s="88"/>
      <c r="I29" s="91">
        <v>49.8</v>
      </c>
      <c r="J29" s="92">
        <v>1.092017300235792</v>
      </c>
      <c r="K29" s="88" t="s">
        <v>219</v>
      </c>
      <c r="L29" s="88" t="s">
        <v>193</v>
      </c>
    </row>
    <row r="30" spans="1:12" ht="13" customHeight="1">
      <c r="A30" s="83" t="s">
        <v>233</v>
      </c>
      <c r="B30" s="84">
        <v>45735</v>
      </c>
      <c r="C30" s="85">
        <v>0.55555555555555558</v>
      </c>
      <c r="D30" s="86">
        <v>0.1</v>
      </c>
      <c r="E30" s="86">
        <v>1.62</v>
      </c>
      <c r="F30" s="87">
        <v>4.0000000000000001E-3</v>
      </c>
      <c r="G30" s="87">
        <v>1.6140000000000001</v>
      </c>
      <c r="H30" s="94">
        <v>2.8618579938818018</v>
      </c>
      <c r="I30" s="86">
        <v>114.8</v>
      </c>
      <c r="J30" s="87">
        <v>2.517341085684115</v>
      </c>
      <c r="K30" s="83" t="s">
        <v>219</v>
      </c>
      <c r="L30" s="83" t="s">
        <v>193</v>
      </c>
    </row>
    <row r="31" spans="1:12" ht="13" customHeight="1">
      <c r="A31" s="88" t="s">
        <v>234</v>
      </c>
      <c r="B31" s="89">
        <v>45735</v>
      </c>
      <c r="C31" s="90">
        <v>0.55555555555555558</v>
      </c>
      <c r="D31" s="91">
        <v>0.08</v>
      </c>
      <c r="E31" s="91">
        <v>1.04</v>
      </c>
      <c r="F31" s="92">
        <v>4.0000000000000001E-3</v>
      </c>
      <c r="G31" s="92">
        <v>1.032</v>
      </c>
      <c r="H31" s="88"/>
      <c r="I31" s="91">
        <v>102</v>
      </c>
      <c r="J31" s="92">
        <v>2.2366619402419832</v>
      </c>
      <c r="K31" s="88" t="s">
        <v>219</v>
      </c>
      <c r="L31" s="88" t="s">
        <v>193</v>
      </c>
    </row>
    <row r="32" spans="1:12" ht="13" customHeight="1">
      <c r="A32" s="83" t="s">
        <v>235</v>
      </c>
      <c r="B32" s="84">
        <v>45735</v>
      </c>
      <c r="C32" s="85">
        <v>0.55555555555555558</v>
      </c>
      <c r="D32" s="86">
        <v>0.1</v>
      </c>
      <c r="E32" s="86">
        <v>1.44</v>
      </c>
      <c r="F32" s="87">
        <v>4.0000000000000001E-3</v>
      </c>
      <c r="G32" s="87">
        <v>1.4370000000000001</v>
      </c>
      <c r="H32" s="83"/>
      <c r="I32" s="86">
        <v>110.1</v>
      </c>
      <c r="J32" s="87">
        <v>2.4142792119670822</v>
      </c>
      <c r="K32" s="83" t="s">
        <v>219</v>
      </c>
      <c r="L32" s="83" t="s">
        <v>193</v>
      </c>
    </row>
    <row r="33" spans="1:12" ht="13" customHeight="1">
      <c r="A33" s="88" t="s">
        <v>236</v>
      </c>
      <c r="B33" s="89">
        <v>45735</v>
      </c>
      <c r="C33" s="90">
        <v>0.55555555555555558</v>
      </c>
      <c r="D33" s="91">
        <v>0.18</v>
      </c>
      <c r="E33" s="91">
        <v>3.41</v>
      </c>
      <c r="F33" s="92">
        <v>7.0000000000000001E-3</v>
      </c>
      <c r="G33" s="92">
        <v>3.407</v>
      </c>
      <c r="H33" s="93">
        <v>5.5219288543907892</v>
      </c>
      <c r="I33" s="91">
        <v>88.5</v>
      </c>
      <c r="J33" s="92">
        <v>1.9406331540334849</v>
      </c>
      <c r="K33" s="88" t="s">
        <v>219</v>
      </c>
      <c r="L33" s="88" t="s">
        <v>193</v>
      </c>
    </row>
    <row r="34" spans="1:12" ht="13" customHeight="1">
      <c r="A34" s="83" t="s">
        <v>237</v>
      </c>
      <c r="B34" s="84">
        <v>45735</v>
      </c>
      <c r="C34" s="85">
        <v>0.55555555555555558</v>
      </c>
      <c r="D34" s="86">
        <v>0.25</v>
      </c>
      <c r="E34" s="86">
        <v>4.47</v>
      </c>
      <c r="F34" s="87">
        <v>8.0000000000000002E-3</v>
      </c>
      <c r="G34" s="87">
        <v>4.46</v>
      </c>
      <c r="H34" s="83"/>
      <c r="I34" s="86">
        <v>59.4</v>
      </c>
      <c r="J34" s="87">
        <v>1.3025266593173901</v>
      </c>
      <c r="K34" s="83" t="s">
        <v>219</v>
      </c>
      <c r="L34" s="83" t="s">
        <v>193</v>
      </c>
    </row>
    <row r="35" spans="1:12" ht="13" customHeight="1">
      <c r="A35" s="88" t="s">
        <v>238</v>
      </c>
      <c r="B35" s="89">
        <v>45735</v>
      </c>
      <c r="C35" s="90">
        <v>0.55555555555555558</v>
      </c>
      <c r="D35" s="91">
        <v>0.41</v>
      </c>
      <c r="E35" s="91">
        <v>8.44</v>
      </c>
      <c r="F35" s="92">
        <v>8.0000000000000002E-3</v>
      </c>
      <c r="G35" s="92">
        <v>8.4290000000000003</v>
      </c>
      <c r="H35" s="88"/>
      <c r="I35" s="91">
        <v>59.5</v>
      </c>
      <c r="J35" s="92">
        <v>1.3047194651411571</v>
      </c>
      <c r="K35" s="88" t="s">
        <v>219</v>
      </c>
      <c r="L35" s="88" t="s">
        <v>193</v>
      </c>
    </row>
    <row r="36" spans="1:12" ht="13" customHeight="1">
      <c r="A36" s="83" t="s">
        <v>239</v>
      </c>
      <c r="B36" s="84">
        <v>45735</v>
      </c>
      <c r="C36" s="85">
        <v>0.55555555555555558</v>
      </c>
      <c r="D36" s="86">
        <v>0.46</v>
      </c>
      <c r="E36" s="86">
        <v>8.23</v>
      </c>
      <c r="F36" s="87">
        <v>6.0000000000000001E-3</v>
      </c>
      <c r="G36" s="87">
        <v>8.2210000000000001</v>
      </c>
      <c r="H36" s="83"/>
      <c r="I36" s="86">
        <v>39.9</v>
      </c>
      <c r="J36" s="87">
        <v>0.87492952368289334</v>
      </c>
      <c r="K36" s="83" t="s">
        <v>219</v>
      </c>
      <c r="L36" s="83" t="s">
        <v>193</v>
      </c>
    </row>
    <row r="37" spans="1:12" ht="13" customHeight="1">
      <c r="A37" s="88" t="s">
        <v>240</v>
      </c>
      <c r="B37" s="89">
        <v>45735</v>
      </c>
      <c r="C37" s="90">
        <v>0.55555555555555558</v>
      </c>
      <c r="D37" s="91">
        <v>0.6</v>
      </c>
      <c r="E37" s="91">
        <v>11.63</v>
      </c>
      <c r="F37" s="92">
        <v>6.0000000000000001E-3</v>
      </c>
      <c r="G37" s="92">
        <v>11.622999999999999</v>
      </c>
      <c r="H37" s="88"/>
      <c r="I37" s="91">
        <v>30.6</v>
      </c>
      <c r="J37" s="92">
        <v>0.670998582072595</v>
      </c>
      <c r="K37" s="88" t="s">
        <v>219</v>
      </c>
      <c r="L37" s="88" t="s">
        <v>193</v>
      </c>
    </row>
    <row r="38" spans="1:12" ht="13" customHeight="1">
      <c r="A38" s="83" t="s">
        <v>241</v>
      </c>
      <c r="B38" s="84">
        <v>45735</v>
      </c>
      <c r="C38" s="85">
        <v>0.55555555555555558</v>
      </c>
      <c r="D38" s="86">
        <v>0.35</v>
      </c>
      <c r="E38" s="86">
        <v>5.84</v>
      </c>
      <c r="F38" s="87">
        <v>6.0000000000000001E-3</v>
      </c>
      <c r="G38" s="87">
        <v>5.8380000000000001</v>
      </c>
      <c r="H38" s="94">
        <v>10.986769013230999</v>
      </c>
      <c r="I38" s="86">
        <v>51.7</v>
      </c>
      <c r="J38" s="87">
        <v>1.1336806108873581</v>
      </c>
      <c r="K38" s="83" t="s">
        <v>219</v>
      </c>
      <c r="L38" s="83" t="s">
        <v>193</v>
      </c>
    </row>
    <row r="39" spans="1:12" ht="13" customHeight="1">
      <c r="A39" s="88" t="s">
        <v>242</v>
      </c>
      <c r="B39" s="89">
        <v>45735</v>
      </c>
      <c r="C39" s="90">
        <v>0.55555555555555558</v>
      </c>
      <c r="D39" s="91">
        <v>0.3</v>
      </c>
      <c r="E39" s="91">
        <v>5.09</v>
      </c>
      <c r="F39" s="92">
        <v>6.0000000000000001E-3</v>
      </c>
      <c r="G39" s="92">
        <v>5.0789999999999997</v>
      </c>
      <c r="H39" s="88"/>
      <c r="I39" s="91">
        <v>49.9</v>
      </c>
      <c r="J39" s="92">
        <v>1.0942101060595579</v>
      </c>
      <c r="K39" s="88" t="s">
        <v>219</v>
      </c>
      <c r="L39" s="88" t="s">
        <v>193</v>
      </c>
    </row>
    <row r="40" spans="1:12" ht="13" customHeight="1">
      <c r="A40" s="83" t="s">
        <v>243</v>
      </c>
      <c r="B40" s="84">
        <v>45735</v>
      </c>
      <c r="C40" s="85">
        <v>0.55555555555555558</v>
      </c>
      <c r="D40" s="86">
        <v>0.22</v>
      </c>
      <c r="E40" s="86">
        <v>3.82</v>
      </c>
      <c r="F40" s="87">
        <v>4.0000000000000001E-3</v>
      </c>
      <c r="G40" s="87">
        <v>3.819</v>
      </c>
      <c r="H40" s="83"/>
      <c r="I40" s="86">
        <v>71</v>
      </c>
      <c r="J40" s="87">
        <v>1.5568921348743221</v>
      </c>
      <c r="K40" s="83" t="s">
        <v>219</v>
      </c>
      <c r="L40" s="83" t="s">
        <v>193</v>
      </c>
    </row>
    <row r="41" spans="1:12" ht="13" customHeight="1">
      <c r="A41" s="88" t="s">
        <v>244</v>
      </c>
      <c r="B41" s="89">
        <v>45735</v>
      </c>
      <c r="C41" s="90">
        <v>0.55555555555555558</v>
      </c>
      <c r="D41" s="91">
        <v>0.17</v>
      </c>
      <c r="E41" s="91">
        <v>2.94</v>
      </c>
      <c r="F41" s="92">
        <v>4.0000000000000001E-3</v>
      </c>
      <c r="G41" s="92">
        <v>2.9329999999999998</v>
      </c>
      <c r="H41" s="88"/>
      <c r="I41" s="91">
        <v>85.1</v>
      </c>
      <c r="J41" s="92">
        <v>1.8660777560254189</v>
      </c>
      <c r="K41" s="88" t="s">
        <v>219</v>
      </c>
      <c r="L41" s="88" t="s">
        <v>193</v>
      </c>
    </row>
    <row r="42" spans="1:12" ht="13" customHeight="1">
      <c r="A42" s="83" t="s">
        <v>245</v>
      </c>
      <c r="B42" s="84">
        <v>45735</v>
      </c>
      <c r="C42" s="85">
        <v>0.55555555555555558</v>
      </c>
      <c r="D42" s="86">
        <v>0.2</v>
      </c>
      <c r="E42" s="86">
        <v>3.44</v>
      </c>
      <c r="F42" s="87">
        <v>4.0000000000000001E-3</v>
      </c>
      <c r="G42" s="87">
        <v>3.4369999999999998</v>
      </c>
      <c r="H42" s="94">
        <v>6.6528950726046192</v>
      </c>
      <c r="I42" s="86">
        <v>84.9</v>
      </c>
      <c r="J42" s="87">
        <v>1.861692144377886</v>
      </c>
      <c r="K42" s="83" t="s">
        <v>219</v>
      </c>
      <c r="L42" s="83" t="s">
        <v>193</v>
      </c>
    </row>
    <row r="43" spans="1:12" ht="13" customHeight="1">
      <c r="A43" s="88" t="s">
        <v>246</v>
      </c>
      <c r="B43" s="89">
        <v>45735</v>
      </c>
      <c r="C43" s="90">
        <v>0.59444444444444444</v>
      </c>
      <c r="D43" s="91">
        <v>0.34</v>
      </c>
      <c r="E43" s="91">
        <v>5.35</v>
      </c>
      <c r="F43" s="92">
        <v>8.0000000000000002E-3</v>
      </c>
      <c r="G43" s="92">
        <v>5.3449999999999998</v>
      </c>
      <c r="H43" s="88"/>
      <c r="I43" s="91">
        <v>24</v>
      </c>
      <c r="J43" s="92">
        <v>0.52627339770399606</v>
      </c>
      <c r="K43" s="88" t="s">
        <v>247</v>
      </c>
      <c r="L43" s="88" t="s">
        <v>193</v>
      </c>
    </row>
    <row r="44" spans="1:12" ht="13" customHeight="1">
      <c r="A44" s="83" t="s">
        <v>248</v>
      </c>
      <c r="B44" s="84">
        <v>45735</v>
      </c>
      <c r="C44" s="85">
        <v>0.59444444444444444</v>
      </c>
      <c r="D44" s="86">
        <v>0.3</v>
      </c>
      <c r="E44" s="86">
        <v>4.63</v>
      </c>
      <c r="F44" s="87">
        <v>8.9999999999999993E-3</v>
      </c>
      <c r="G44" s="87">
        <v>4.625</v>
      </c>
      <c r="H44" s="83"/>
      <c r="I44" s="86">
        <v>24.8</v>
      </c>
      <c r="J44" s="87">
        <v>0.54381584429412921</v>
      </c>
      <c r="K44" s="83"/>
      <c r="L44" s="83" t="s">
        <v>193</v>
      </c>
    </row>
    <row r="45" spans="1:12" ht="13" customHeight="1">
      <c r="A45" s="88" t="s">
        <v>249</v>
      </c>
      <c r="B45" s="89">
        <v>45735</v>
      </c>
      <c r="C45" s="90">
        <v>0.59444444444444444</v>
      </c>
      <c r="D45" s="91">
        <v>0.24</v>
      </c>
      <c r="E45" s="91">
        <v>4.29</v>
      </c>
      <c r="F45" s="92">
        <v>8.0000000000000002E-3</v>
      </c>
      <c r="G45" s="92">
        <v>4.28</v>
      </c>
      <c r="H45" s="88"/>
      <c r="I45" s="91">
        <v>24.9</v>
      </c>
      <c r="J45" s="92">
        <v>0.5460086501178959</v>
      </c>
      <c r="K45" s="88"/>
      <c r="L45" s="88" t="s">
        <v>193</v>
      </c>
    </row>
    <row r="46" spans="1:12" ht="13" customHeight="1">
      <c r="A46" s="83" t="s">
        <v>250</v>
      </c>
      <c r="B46" s="84">
        <v>45735</v>
      </c>
      <c r="C46" s="85">
        <v>0.59444444444444444</v>
      </c>
      <c r="D46" s="86">
        <v>0.25</v>
      </c>
      <c r="E46" s="86">
        <v>4.55</v>
      </c>
      <c r="F46" s="87">
        <v>8.0000000000000002E-3</v>
      </c>
      <c r="G46" s="87">
        <v>4.5439999999999996</v>
      </c>
      <c r="H46" s="83"/>
      <c r="I46" s="86">
        <v>34.5</v>
      </c>
      <c r="J46" s="87">
        <v>0.7565180091994943</v>
      </c>
      <c r="K46" s="83"/>
      <c r="L46" s="83" t="s">
        <v>193</v>
      </c>
    </row>
    <row r="47" spans="1:12" ht="13" customHeight="1">
      <c r="A47" s="88" t="s">
        <v>251</v>
      </c>
      <c r="B47" s="89">
        <v>45735</v>
      </c>
      <c r="C47" s="90">
        <v>0.59444444444444444</v>
      </c>
      <c r="D47" s="91">
        <v>0.22</v>
      </c>
      <c r="E47" s="91">
        <v>3.89</v>
      </c>
      <c r="F47" s="92">
        <v>8.0000000000000002E-3</v>
      </c>
      <c r="G47" s="92">
        <v>3.8820000000000001</v>
      </c>
      <c r="H47" s="88"/>
      <c r="I47" s="91">
        <v>30.5</v>
      </c>
      <c r="J47" s="92">
        <v>0.66880577624882831</v>
      </c>
      <c r="K47" s="88" t="s">
        <v>252</v>
      </c>
      <c r="L47" s="88" t="s">
        <v>193</v>
      </c>
    </row>
    <row r="48" spans="1:12" ht="13" customHeight="1">
      <c r="A48" s="83" t="s">
        <v>253</v>
      </c>
      <c r="B48" s="84">
        <v>45735</v>
      </c>
      <c r="C48" s="85">
        <v>0.59444444444444444</v>
      </c>
      <c r="D48" s="86">
        <v>0.27</v>
      </c>
      <c r="E48" s="86">
        <v>4.87</v>
      </c>
      <c r="F48" s="87">
        <v>8.0000000000000002E-3</v>
      </c>
      <c r="G48" s="87">
        <v>4.8600000000000003</v>
      </c>
      <c r="H48" s="94">
        <v>9.1247255874461697</v>
      </c>
      <c r="I48" s="86">
        <v>43.1</v>
      </c>
      <c r="J48" s="87">
        <v>0.94509931004342629</v>
      </c>
      <c r="K48" s="83"/>
      <c r="L48" s="83" t="s">
        <v>193</v>
      </c>
    </row>
    <row r="49" spans="1:12" ht="13" customHeight="1">
      <c r="A49" s="88" t="s">
        <v>254</v>
      </c>
      <c r="B49" s="89">
        <v>45735</v>
      </c>
      <c r="C49" s="90">
        <v>0.59444444444444444</v>
      </c>
      <c r="D49" s="91">
        <v>0.34</v>
      </c>
      <c r="E49" s="91">
        <v>6.09</v>
      </c>
      <c r="F49" s="92">
        <v>8.9999999999999993E-3</v>
      </c>
      <c r="G49" s="92">
        <v>6.085</v>
      </c>
      <c r="H49" s="88"/>
      <c r="I49" s="91">
        <v>34.6</v>
      </c>
      <c r="J49" s="92">
        <v>0.75871081502326099</v>
      </c>
      <c r="K49" s="88" t="s">
        <v>219</v>
      </c>
      <c r="L49" s="88" t="s">
        <v>193</v>
      </c>
    </row>
    <row r="50" spans="1:12" ht="13" customHeight="1">
      <c r="A50" s="83" t="s">
        <v>255</v>
      </c>
      <c r="B50" s="84">
        <v>45735</v>
      </c>
      <c r="C50" s="85">
        <v>0.59444444444444444</v>
      </c>
      <c r="D50" s="86">
        <v>0.38</v>
      </c>
      <c r="E50" s="86">
        <v>7.44</v>
      </c>
      <c r="F50" s="87">
        <v>8.9999999999999993E-3</v>
      </c>
      <c r="G50" s="87">
        <v>7.4329999999999998</v>
      </c>
      <c r="H50" s="83"/>
      <c r="I50" s="86">
        <v>22.4</v>
      </c>
      <c r="J50" s="87">
        <v>0.49118850452372959</v>
      </c>
      <c r="K50" s="83" t="s">
        <v>256</v>
      </c>
      <c r="L50" s="83" t="s">
        <v>193</v>
      </c>
    </row>
    <row r="51" spans="1:12" ht="13" customHeight="1">
      <c r="A51" s="88" t="s">
        <v>257</v>
      </c>
      <c r="B51" s="89">
        <v>45735</v>
      </c>
      <c r="C51" s="90">
        <v>0.59444444444444444</v>
      </c>
      <c r="D51" s="91">
        <v>0.26</v>
      </c>
      <c r="E51" s="91">
        <v>4.2300000000000004</v>
      </c>
      <c r="F51" s="92">
        <v>7.0000000000000001E-3</v>
      </c>
      <c r="G51" s="92">
        <v>4.2270000000000003</v>
      </c>
      <c r="H51" s="88"/>
      <c r="I51" s="91">
        <v>42.3</v>
      </c>
      <c r="J51" s="92">
        <v>0.92755686345329291</v>
      </c>
      <c r="K51" s="88" t="s">
        <v>256</v>
      </c>
      <c r="L51" s="88" t="s">
        <v>193</v>
      </c>
    </row>
    <row r="52" spans="1:12" ht="13" customHeight="1">
      <c r="A52" s="83" t="s">
        <v>258</v>
      </c>
      <c r="B52" s="84">
        <v>45735</v>
      </c>
      <c r="C52" s="85">
        <v>0.59444444444444444</v>
      </c>
      <c r="D52" s="86">
        <v>0.34</v>
      </c>
      <c r="E52" s="86">
        <v>6</v>
      </c>
      <c r="F52" s="87">
        <v>8.9999999999999993E-3</v>
      </c>
      <c r="G52" s="87">
        <v>5.9870000000000001</v>
      </c>
      <c r="H52" s="83"/>
      <c r="I52" s="86">
        <v>19.8</v>
      </c>
      <c r="J52" s="87">
        <v>0.43417555310579681</v>
      </c>
      <c r="K52" s="83" t="s">
        <v>219</v>
      </c>
      <c r="L52" s="83" t="s">
        <v>193</v>
      </c>
    </row>
    <row r="53" spans="1:12" ht="13" customHeight="1">
      <c r="A53" s="88" t="s">
        <v>259</v>
      </c>
      <c r="B53" s="89">
        <v>45735</v>
      </c>
      <c r="C53" s="90">
        <v>0.59444444444444444</v>
      </c>
      <c r="D53" s="91">
        <v>0.35</v>
      </c>
      <c r="E53" s="91">
        <v>5.81</v>
      </c>
      <c r="F53" s="92">
        <v>8.0000000000000002E-3</v>
      </c>
      <c r="G53" s="92">
        <v>5.8</v>
      </c>
      <c r="H53" s="93">
        <v>10.9657927286737</v>
      </c>
      <c r="I53" s="91">
        <v>57.4</v>
      </c>
      <c r="J53" s="92">
        <v>1.258670542842057</v>
      </c>
      <c r="K53" s="88" t="s">
        <v>219</v>
      </c>
      <c r="L53" s="88" t="s">
        <v>193</v>
      </c>
    </row>
    <row r="54" spans="1:12" ht="13" customHeight="1">
      <c r="A54" s="83" t="s">
        <v>260</v>
      </c>
      <c r="B54" s="84">
        <v>45735</v>
      </c>
      <c r="C54" s="85">
        <v>0.59444444444444444</v>
      </c>
      <c r="D54" s="86">
        <v>0.42</v>
      </c>
      <c r="E54" s="86">
        <v>7.58</v>
      </c>
      <c r="F54" s="87">
        <v>8.0000000000000002E-3</v>
      </c>
      <c r="G54" s="87">
        <v>7.5709999999999997</v>
      </c>
      <c r="H54" s="83"/>
      <c r="I54" s="86">
        <v>36.4</v>
      </c>
      <c r="J54" s="87">
        <v>0.79818131985106067</v>
      </c>
      <c r="K54" s="83" t="s">
        <v>219</v>
      </c>
      <c r="L54" s="83" t="s">
        <v>193</v>
      </c>
    </row>
    <row r="55" spans="1:12" ht="13" customHeight="1">
      <c r="A55" s="88" t="s">
        <v>261</v>
      </c>
      <c r="B55" s="89">
        <v>45735</v>
      </c>
      <c r="C55" s="90">
        <v>0.59444444444444444</v>
      </c>
      <c r="D55" s="91">
        <v>0.23</v>
      </c>
      <c r="E55" s="91">
        <v>3.5</v>
      </c>
      <c r="F55" s="92">
        <v>6.0000000000000001E-3</v>
      </c>
      <c r="G55" s="92">
        <v>3.4889999999999999</v>
      </c>
      <c r="H55" s="88"/>
      <c r="I55" s="91">
        <v>72.900000000000006</v>
      </c>
      <c r="J55" s="92">
        <v>1.5985554455258879</v>
      </c>
      <c r="K55" s="88" t="s">
        <v>219</v>
      </c>
      <c r="L55" s="88" t="s">
        <v>193</v>
      </c>
    </row>
    <row r="56" spans="1:12" ht="13" customHeight="1">
      <c r="A56" s="83" t="s">
        <v>262</v>
      </c>
      <c r="B56" s="84">
        <v>45735</v>
      </c>
      <c r="C56" s="85">
        <v>0.59444444444444444</v>
      </c>
      <c r="D56" s="86">
        <v>0.16</v>
      </c>
      <c r="E56" s="86">
        <v>2.59</v>
      </c>
      <c r="F56" s="87">
        <v>4.0000000000000001E-3</v>
      </c>
      <c r="G56" s="87">
        <v>2.5859999999999999</v>
      </c>
      <c r="H56" s="83"/>
      <c r="I56" s="86">
        <v>89</v>
      </c>
      <c r="J56" s="87">
        <v>1.9515971831523189</v>
      </c>
      <c r="K56" s="83" t="s">
        <v>219</v>
      </c>
      <c r="L56" s="83" t="s">
        <v>193</v>
      </c>
    </row>
    <row r="57" spans="1:12" ht="13" customHeight="1">
      <c r="A57" s="88" t="s">
        <v>263</v>
      </c>
      <c r="B57" s="89">
        <v>45735</v>
      </c>
      <c r="C57" s="90">
        <v>0.59444444444444444</v>
      </c>
      <c r="D57" s="91">
        <v>0.26</v>
      </c>
      <c r="E57" s="91">
        <v>3.6</v>
      </c>
      <c r="F57" s="92">
        <v>5.0000000000000001E-3</v>
      </c>
      <c r="G57" s="92">
        <v>3.5950000000000002</v>
      </c>
      <c r="H57" s="88"/>
      <c r="I57" s="91">
        <v>72.5</v>
      </c>
      <c r="J57" s="92">
        <v>1.5897842222308209</v>
      </c>
      <c r="K57" s="88" t="s">
        <v>219</v>
      </c>
      <c r="L57" s="88" t="s">
        <v>193</v>
      </c>
    </row>
    <row r="58" spans="1:12" ht="13" customHeight="1">
      <c r="A58" s="83" t="s">
        <v>264</v>
      </c>
      <c r="B58" s="84">
        <v>45735</v>
      </c>
      <c r="C58" s="85">
        <v>0.59444444444444444</v>
      </c>
      <c r="D58" s="86">
        <v>0.26</v>
      </c>
      <c r="E58" s="86">
        <v>3.85</v>
      </c>
      <c r="F58" s="87">
        <v>6.0000000000000001E-3</v>
      </c>
      <c r="G58" s="87">
        <v>3.84</v>
      </c>
      <c r="H58" s="94">
        <v>7.9129554655870837</v>
      </c>
      <c r="I58" s="86">
        <v>66.099999999999994</v>
      </c>
      <c r="J58" s="87">
        <v>1.4494446495097559</v>
      </c>
      <c r="K58" s="83" t="s">
        <v>219</v>
      </c>
      <c r="L58" s="83" t="s">
        <v>193</v>
      </c>
    </row>
    <row r="59" spans="1:12" ht="13" customHeight="1">
      <c r="A59" s="88" t="s">
        <v>265</v>
      </c>
      <c r="B59" s="89">
        <v>45735</v>
      </c>
      <c r="C59" s="90">
        <v>0.59444444444444444</v>
      </c>
      <c r="D59" s="91">
        <v>0.3</v>
      </c>
      <c r="E59" s="91">
        <v>4.43</v>
      </c>
      <c r="F59" s="92">
        <v>6.0000000000000001E-3</v>
      </c>
      <c r="G59" s="92">
        <v>4.4279999999999999</v>
      </c>
      <c r="H59" s="88"/>
      <c r="I59" s="91">
        <v>67</v>
      </c>
      <c r="J59" s="92">
        <v>1.469179901923656</v>
      </c>
      <c r="K59" s="88" t="s">
        <v>219</v>
      </c>
      <c r="L59" s="88" t="s">
        <v>193</v>
      </c>
    </row>
    <row r="60" spans="1:12" ht="13" customHeight="1">
      <c r="A60" s="83" t="s">
        <v>266</v>
      </c>
      <c r="B60" s="84">
        <v>45735</v>
      </c>
      <c r="C60" s="85">
        <v>0.59444444444444444</v>
      </c>
      <c r="D60" s="86">
        <v>0.25</v>
      </c>
      <c r="E60" s="86">
        <v>3.79</v>
      </c>
      <c r="F60" s="87">
        <v>4.0000000000000001E-3</v>
      </c>
      <c r="G60" s="87">
        <v>3.79</v>
      </c>
      <c r="H60" s="83"/>
      <c r="I60" s="86">
        <v>85.3</v>
      </c>
      <c r="J60" s="87">
        <v>1.870463367672953</v>
      </c>
      <c r="K60" s="83" t="s">
        <v>219</v>
      </c>
      <c r="L60" s="83" t="s">
        <v>193</v>
      </c>
    </row>
    <row r="61" spans="1:12" ht="13" customHeight="1">
      <c r="A61" s="88" t="s">
        <v>267</v>
      </c>
      <c r="B61" s="89">
        <v>45735</v>
      </c>
      <c r="C61" s="90">
        <v>0.59444444444444444</v>
      </c>
      <c r="D61" s="91">
        <v>0.25</v>
      </c>
      <c r="E61" s="91">
        <v>3.91</v>
      </c>
      <c r="F61" s="92">
        <v>5.0000000000000001E-3</v>
      </c>
      <c r="G61" s="92">
        <v>3.9039999999999999</v>
      </c>
      <c r="H61" s="88"/>
      <c r="I61" s="91">
        <v>85.9</v>
      </c>
      <c r="J61" s="92">
        <v>1.8836202026155531</v>
      </c>
      <c r="K61" s="88" t="s">
        <v>219</v>
      </c>
      <c r="L61" s="88" t="s">
        <v>193</v>
      </c>
    </row>
    <row r="62" spans="1:12" ht="13" customHeight="1">
      <c r="A62" s="83" t="s">
        <v>268</v>
      </c>
      <c r="B62" s="84">
        <v>45735</v>
      </c>
      <c r="C62" s="85">
        <v>0.59444444444444444</v>
      </c>
      <c r="D62" s="86">
        <v>0.41</v>
      </c>
      <c r="E62" s="86">
        <v>7.28</v>
      </c>
      <c r="F62" s="87">
        <v>5.0000000000000001E-3</v>
      </c>
      <c r="G62" s="87">
        <v>7.2729999999999997</v>
      </c>
      <c r="H62" s="83"/>
      <c r="I62" s="86">
        <v>58.1</v>
      </c>
      <c r="J62" s="87">
        <v>1.274020183608424</v>
      </c>
      <c r="K62" s="83" t="s">
        <v>219</v>
      </c>
      <c r="L62" s="83" t="s">
        <v>193</v>
      </c>
    </row>
    <row r="63" spans="1:12" ht="13" customHeight="1">
      <c r="A63" s="88" t="s">
        <v>269</v>
      </c>
      <c r="B63" s="89">
        <v>45735</v>
      </c>
      <c r="C63" s="90">
        <v>0.59444444444444444</v>
      </c>
      <c r="D63" s="91">
        <v>0.31</v>
      </c>
      <c r="E63" s="91">
        <v>4.78</v>
      </c>
      <c r="F63" s="92">
        <v>5.0000000000000001E-3</v>
      </c>
      <c r="G63" s="92">
        <v>4.7750000000000004</v>
      </c>
      <c r="H63" s="93">
        <v>9.355454471610738</v>
      </c>
      <c r="I63" s="91">
        <v>71.2</v>
      </c>
      <c r="J63" s="92">
        <v>1.561277746521855</v>
      </c>
      <c r="K63" s="88" t="s">
        <v>219</v>
      </c>
      <c r="L63" s="88" t="s">
        <v>193</v>
      </c>
    </row>
    <row r="64" spans="1:12" ht="13" customHeight="1">
      <c r="A64" s="83" t="s">
        <v>270</v>
      </c>
      <c r="B64" s="84">
        <v>45735</v>
      </c>
      <c r="C64" s="85">
        <v>0.59444444444444444</v>
      </c>
      <c r="D64" s="86">
        <v>0.26</v>
      </c>
      <c r="E64" s="86">
        <v>3.43</v>
      </c>
      <c r="F64" s="87">
        <v>5.0000000000000001E-3</v>
      </c>
      <c r="G64" s="87">
        <v>3.43</v>
      </c>
      <c r="H64" s="83"/>
      <c r="I64" s="86">
        <v>89.7</v>
      </c>
      <c r="J64" s="87">
        <v>1.9669468239186849</v>
      </c>
      <c r="K64" s="83" t="s">
        <v>219</v>
      </c>
      <c r="L64" s="83" t="s">
        <v>193</v>
      </c>
    </row>
    <row r="65" spans="1:12" ht="13" customHeight="1">
      <c r="A65" s="88" t="s">
        <v>271</v>
      </c>
      <c r="B65" s="89">
        <v>45735</v>
      </c>
      <c r="C65" s="90">
        <v>0.59444444444444444</v>
      </c>
      <c r="D65" s="91">
        <v>0.32</v>
      </c>
      <c r="E65" s="91">
        <v>3.89</v>
      </c>
      <c r="F65" s="92">
        <v>4.0000000000000001E-3</v>
      </c>
      <c r="G65" s="92">
        <v>3.883</v>
      </c>
      <c r="H65" s="88"/>
      <c r="I65" s="91">
        <v>69.3</v>
      </c>
      <c r="J65" s="92">
        <v>1.519614435870289</v>
      </c>
      <c r="K65" s="88" t="s">
        <v>219</v>
      </c>
      <c r="L65" s="88" t="s">
        <v>193</v>
      </c>
    </row>
    <row r="66" spans="1:12" ht="13" customHeight="1">
      <c r="A66" s="83" t="s">
        <v>272</v>
      </c>
      <c r="B66" s="84">
        <v>45735</v>
      </c>
      <c r="C66" s="85">
        <v>0.59444444444444444</v>
      </c>
      <c r="D66" s="86">
        <v>0.37</v>
      </c>
      <c r="E66" s="86">
        <v>4.43</v>
      </c>
      <c r="F66" s="87">
        <v>3.0000000000000001E-3</v>
      </c>
      <c r="G66" s="87">
        <v>4.4249999999999998</v>
      </c>
      <c r="H66" s="83"/>
      <c r="I66" s="86">
        <v>65.2</v>
      </c>
      <c r="J66" s="87">
        <v>1.4297093970958561</v>
      </c>
      <c r="K66" s="83" t="s">
        <v>219</v>
      </c>
      <c r="L66" s="83" t="s">
        <v>193</v>
      </c>
    </row>
    <row r="67" spans="1:12" ht="13" customHeight="1">
      <c r="A67" s="88" t="s">
        <v>273</v>
      </c>
      <c r="B67" s="89">
        <v>45735</v>
      </c>
      <c r="C67" s="90">
        <v>0.59444444444444444</v>
      </c>
      <c r="D67" s="91">
        <v>0.41</v>
      </c>
      <c r="E67" s="91">
        <v>5.18</v>
      </c>
      <c r="F67" s="92">
        <v>4.0000000000000001E-3</v>
      </c>
      <c r="G67" s="92">
        <v>5.18</v>
      </c>
      <c r="H67" s="88"/>
      <c r="I67" s="91">
        <v>62</v>
      </c>
      <c r="J67" s="92">
        <v>1.359539610735323</v>
      </c>
      <c r="K67" s="88" t="s">
        <v>219</v>
      </c>
      <c r="L67" s="88" t="s">
        <v>193</v>
      </c>
    </row>
    <row r="68" spans="1:12" ht="13" customHeight="1">
      <c r="A68" s="83" t="s">
        <v>274</v>
      </c>
      <c r="B68" s="84">
        <v>45735</v>
      </c>
      <c r="C68" s="85">
        <v>0.59444444444444444</v>
      </c>
      <c r="D68" s="86">
        <v>0.45</v>
      </c>
      <c r="E68" s="86">
        <v>5.85</v>
      </c>
      <c r="F68" s="87">
        <v>5.0000000000000001E-3</v>
      </c>
      <c r="G68" s="87">
        <v>5.8460000000000001</v>
      </c>
      <c r="H68" s="94">
        <v>11.76601920071443</v>
      </c>
      <c r="I68" s="86">
        <v>49.6</v>
      </c>
      <c r="J68" s="87">
        <v>1.087631688588258</v>
      </c>
      <c r="K68" s="83" t="s">
        <v>219</v>
      </c>
      <c r="L68" s="83" t="s">
        <v>193</v>
      </c>
    </row>
    <row r="69" spans="1:12" ht="13" customHeight="1">
      <c r="A69" s="88" t="s">
        <v>275</v>
      </c>
      <c r="B69" s="89">
        <v>45735</v>
      </c>
      <c r="C69" s="90">
        <v>0.59444444444444444</v>
      </c>
      <c r="D69" s="91">
        <v>0.24</v>
      </c>
      <c r="E69" s="91">
        <v>3.15</v>
      </c>
      <c r="F69" s="92">
        <v>4.0000000000000001E-3</v>
      </c>
      <c r="G69" s="92">
        <v>3.1440000000000001</v>
      </c>
      <c r="H69" s="88"/>
      <c r="I69" s="91">
        <v>76.5</v>
      </c>
      <c r="J69" s="92">
        <v>1.677496455181487</v>
      </c>
      <c r="K69" s="88" t="s">
        <v>219</v>
      </c>
      <c r="L69" s="88" t="s">
        <v>193</v>
      </c>
    </row>
    <row r="70" spans="1:12" ht="13" customHeight="1">
      <c r="A70" s="83" t="s">
        <v>276</v>
      </c>
      <c r="B70" s="84">
        <v>45735</v>
      </c>
      <c r="C70" s="85">
        <v>0.59444444444444444</v>
      </c>
      <c r="D70" s="86">
        <v>0.36</v>
      </c>
      <c r="E70" s="86">
        <v>4.6900000000000004</v>
      </c>
      <c r="F70" s="87">
        <v>4.0000000000000001E-3</v>
      </c>
      <c r="G70" s="87">
        <v>4.6829999999999998</v>
      </c>
      <c r="H70" s="83"/>
      <c r="I70" s="86">
        <v>62.3</v>
      </c>
      <c r="J70" s="87">
        <v>1.366118028206623</v>
      </c>
      <c r="K70" s="83" t="s">
        <v>219</v>
      </c>
      <c r="L70" s="83" t="s">
        <v>193</v>
      </c>
    </row>
    <row r="71" spans="1:12" ht="13" customHeight="1">
      <c r="A71" s="88" t="s">
        <v>277</v>
      </c>
      <c r="B71" s="89">
        <v>45735</v>
      </c>
      <c r="C71" s="90">
        <v>0.59444444444444444</v>
      </c>
      <c r="D71" s="91">
        <v>0.6</v>
      </c>
      <c r="E71" s="91">
        <v>7.96</v>
      </c>
      <c r="F71" s="92">
        <v>7.0000000000000001E-3</v>
      </c>
      <c r="G71" s="92">
        <v>7.9539999999999997</v>
      </c>
      <c r="H71" s="88"/>
      <c r="I71" s="91">
        <v>46.9</v>
      </c>
      <c r="J71" s="92">
        <v>1.0284259313465589</v>
      </c>
      <c r="K71" s="88" t="s">
        <v>219</v>
      </c>
      <c r="L71" s="88" t="s">
        <v>193</v>
      </c>
    </row>
    <row r="72" spans="1:12" ht="13" customHeight="1">
      <c r="A72" s="83" t="s">
        <v>278</v>
      </c>
      <c r="B72" s="84">
        <v>45735</v>
      </c>
      <c r="C72" s="85">
        <v>0.59444444444444444</v>
      </c>
      <c r="D72" s="86">
        <v>0.56999999999999995</v>
      </c>
      <c r="E72" s="86">
        <v>7.25</v>
      </c>
      <c r="F72" s="87">
        <v>5.0000000000000001E-3</v>
      </c>
      <c r="G72" s="87">
        <v>7.2409999999999997</v>
      </c>
      <c r="H72" s="83"/>
      <c r="I72" s="86">
        <v>44.4</v>
      </c>
      <c r="J72" s="87">
        <v>0.97360578575239265</v>
      </c>
      <c r="K72" s="83" t="s">
        <v>219</v>
      </c>
      <c r="L72" s="83" t="s">
        <v>193</v>
      </c>
    </row>
    <row r="73" spans="1:12" ht="13" customHeight="1">
      <c r="A73" s="88" t="s">
        <v>279</v>
      </c>
      <c r="B73" s="89">
        <v>45735</v>
      </c>
      <c r="C73" s="90">
        <v>0.59444444444444444</v>
      </c>
      <c r="D73" s="91">
        <v>0.59</v>
      </c>
      <c r="E73" s="91">
        <v>7.96</v>
      </c>
      <c r="F73" s="92">
        <v>6.0000000000000001E-3</v>
      </c>
      <c r="G73" s="92">
        <v>7.9539999999999997</v>
      </c>
      <c r="H73" s="93">
        <v>15.578662400787589</v>
      </c>
      <c r="I73" s="91">
        <v>46.8</v>
      </c>
      <c r="J73" s="92">
        <v>1.0262331255227919</v>
      </c>
      <c r="K73" s="88" t="s">
        <v>219</v>
      </c>
      <c r="L73" s="88" t="s">
        <v>193</v>
      </c>
    </row>
    <row r="74" spans="1:12" ht="13" customHeight="1">
      <c r="A74" s="83" t="s">
        <v>280</v>
      </c>
      <c r="B74" s="84">
        <v>45735</v>
      </c>
      <c r="C74" s="85">
        <v>0.59444444444444444</v>
      </c>
      <c r="D74" s="86">
        <v>0.71</v>
      </c>
      <c r="E74" s="86">
        <v>10.24</v>
      </c>
      <c r="F74" s="87">
        <v>5.0000000000000001E-3</v>
      </c>
      <c r="G74" s="87">
        <v>10.238</v>
      </c>
      <c r="H74" s="83"/>
      <c r="I74" s="86">
        <v>39.4</v>
      </c>
      <c r="J74" s="87">
        <v>0.86396549456406013</v>
      </c>
      <c r="K74" s="83" t="s">
        <v>219</v>
      </c>
      <c r="L74" s="83" t="s">
        <v>193</v>
      </c>
    </row>
    <row r="75" spans="1:12" ht="13" customHeight="1">
      <c r="A75" s="88" t="s">
        <v>281</v>
      </c>
      <c r="B75" s="89">
        <v>45735</v>
      </c>
      <c r="C75" s="90">
        <v>0.59444444444444444</v>
      </c>
      <c r="D75" s="91">
        <v>0.73</v>
      </c>
      <c r="E75" s="91">
        <v>10.74</v>
      </c>
      <c r="F75" s="92">
        <v>5.0000000000000001E-3</v>
      </c>
      <c r="G75" s="92">
        <v>10.739000000000001</v>
      </c>
      <c r="H75" s="88"/>
      <c r="I75" s="91">
        <v>38</v>
      </c>
      <c r="J75" s="92">
        <v>0.83326621303132709</v>
      </c>
      <c r="K75" s="88" t="s">
        <v>219</v>
      </c>
      <c r="L75" s="88" t="s">
        <v>193</v>
      </c>
    </row>
    <row r="76" spans="1:12" ht="13" customHeight="1">
      <c r="A76" s="83" t="s">
        <v>282</v>
      </c>
      <c r="B76" s="84">
        <v>45735</v>
      </c>
      <c r="C76" s="85">
        <v>0.59444444444444444</v>
      </c>
      <c r="D76" s="86">
        <v>0.54</v>
      </c>
      <c r="E76" s="86">
        <v>8.11</v>
      </c>
      <c r="F76" s="87">
        <v>4.0000000000000001E-3</v>
      </c>
      <c r="G76" s="87">
        <v>8.1039999999999992</v>
      </c>
      <c r="H76" s="83"/>
      <c r="I76" s="86">
        <v>48.2</v>
      </c>
      <c r="J76" s="87">
        <v>1.056932407055525</v>
      </c>
      <c r="K76" s="83" t="s">
        <v>219</v>
      </c>
      <c r="L76" s="83" t="s">
        <v>193</v>
      </c>
    </row>
    <row r="77" spans="1:12" ht="13" customHeight="1">
      <c r="A77" s="88" t="s">
        <v>283</v>
      </c>
      <c r="B77" s="89">
        <v>45735</v>
      </c>
      <c r="C77" s="90">
        <v>0.59444444444444444</v>
      </c>
      <c r="D77" s="91">
        <v>0.4</v>
      </c>
      <c r="E77" s="91">
        <v>5.46</v>
      </c>
      <c r="F77" s="92">
        <v>3.0000000000000001E-3</v>
      </c>
      <c r="G77" s="92">
        <v>5.46</v>
      </c>
      <c r="H77" s="88"/>
      <c r="I77" s="91">
        <v>59.7</v>
      </c>
      <c r="J77" s="92">
        <v>1.30910507678869</v>
      </c>
      <c r="K77" s="88" t="s">
        <v>219</v>
      </c>
      <c r="L77" s="88" t="s">
        <v>193</v>
      </c>
    </row>
    <row r="78" spans="1:12" ht="13" customHeight="1">
      <c r="A78" s="83" t="s">
        <v>284</v>
      </c>
      <c r="B78" s="84">
        <v>45735</v>
      </c>
      <c r="C78" s="85">
        <v>0.59444444444444444</v>
      </c>
      <c r="D78" s="86">
        <v>0.48</v>
      </c>
      <c r="E78" s="86">
        <v>6.58</v>
      </c>
      <c r="F78" s="87">
        <v>5.0000000000000001E-3</v>
      </c>
      <c r="G78" s="87">
        <v>6.5750000000000002</v>
      </c>
      <c r="H78" s="94">
        <v>12.597508678782949</v>
      </c>
      <c r="I78" s="86">
        <v>43.1</v>
      </c>
      <c r="J78" s="87">
        <v>0.94509931004342629</v>
      </c>
      <c r="K78" s="83" t="s">
        <v>219</v>
      </c>
      <c r="L78" s="83" t="s">
        <v>193</v>
      </c>
    </row>
    <row r="79" spans="1:12" ht="13" customHeight="1">
      <c r="A79" s="88" t="s">
        <v>285</v>
      </c>
      <c r="B79" s="89">
        <v>45734</v>
      </c>
      <c r="C79" s="90">
        <v>0.5625</v>
      </c>
      <c r="D79" s="91">
        <v>0.26</v>
      </c>
      <c r="E79" s="91">
        <v>4.88</v>
      </c>
      <c r="F79" s="92">
        <v>2.1000000000000001E-2</v>
      </c>
      <c r="G79" s="92">
        <v>4.8570000000000002</v>
      </c>
      <c r="H79" s="88"/>
      <c r="I79" s="91">
        <v>22</v>
      </c>
      <c r="J79" s="92">
        <v>0.48241728122866301</v>
      </c>
      <c r="K79" s="88"/>
      <c r="L79" s="88" t="s">
        <v>193</v>
      </c>
    </row>
    <row r="80" spans="1:12" ht="13" customHeight="1">
      <c r="A80" s="83" t="s">
        <v>286</v>
      </c>
      <c r="B80" s="84">
        <v>45734</v>
      </c>
      <c r="C80" s="85">
        <v>0.5625</v>
      </c>
      <c r="D80" s="86">
        <v>0.22</v>
      </c>
      <c r="E80" s="86">
        <v>4.16</v>
      </c>
      <c r="F80" s="87">
        <v>2.7E-2</v>
      </c>
      <c r="G80" s="87">
        <v>4.133</v>
      </c>
      <c r="H80" s="83"/>
      <c r="I80" s="86">
        <v>31.1</v>
      </c>
      <c r="J80" s="87">
        <v>0.6819626111914282</v>
      </c>
      <c r="K80" s="83"/>
      <c r="L80" s="83" t="s">
        <v>193</v>
      </c>
    </row>
    <row r="81" spans="1:12" ht="13" customHeight="1">
      <c r="A81" s="88" t="s">
        <v>287</v>
      </c>
      <c r="B81" s="89">
        <v>45734</v>
      </c>
      <c r="C81" s="90">
        <v>0.5625</v>
      </c>
      <c r="D81" s="91">
        <v>0.16</v>
      </c>
      <c r="E81" s="91">
        <v>2.4</v>
      </c>
      <c r="F81" s="92">
        <v>5.0000000000000001E-3</v>
      </c>
      <c r="G81" s="92">
        <v>2.3940000000000001</v>
      </c>
      <c r="H81" s="88"/>
      <c r="I81" s="91">
        <v>38.799999999999997</v>
      </c>
      <c r="J81" s="92">
        <v>0.85080865962146024</v>
      </c>
      <c r="K81" s="88"/>
      <c r="L81" s="88" t="s">
        <v>193</v>
      </c>
    </row>
    <row r="82" spans="1:12" ht="13" customHeight="1">
      <c r="A82" s="83" t="s">
        <v>288</v>
      </c>
      <c r="B82" s="84">
        <v>45734</v>
      </c>
      <c r="C82" s="85">
        <v>0.5625</v>
      </c>
      <c r="D82" s="86">
        <v>0.2</v>
      </c>
      <c r="E82" s="86">
        <v>3.02</v>
      </c>
      <c r="F82" s="87">
        <v>5.0000000000000001E-3</v>
      </c>
      <c r="G82" s="87">
        <v>3.016</v>
      </c>
      <c r="H82" s="83"/>
      <c r="I82" s="86">
        <v>37.9</v>
      </c>
      <c r="J82" s="87">
        <v>0.8310734072075604</v>
      </c>
      <c r="K82" s="83"/>
      <c r="L82" s="83" t="s">
        <v>193</v>
      </c>
    </row>
    <row r="83" spans="1:12" ht="13" customHeight="1">
      <c r="A83" s="88" t="s">
        <v>289</v>
      </c>
      <c r="B83" s="89">
        <v>45734</v>
      </c>
      <c r="C83" s="90">
        <v>0.5625</v>
      </c>
      <c r="D83" s="91">
        <v>0.12</v>
      </c>
      <c r="E83" s="91">
        <v>1.82</v>
      </c>
      <c r="F83" s="92">
        <v>5.0000000000000001E-3</v>
      </c>
      <c r="G83" s="92">
        <v>1.8169999999999999</v>
      </c>
      <c r="H83" s="88"/>
      <c r="I83" s="91">
        <v>50.9</v>
      </c>
      <c r="J83" s="92">
        <v>1.116138164297225</v>
      </c>
      <c r="K83" s="88"/>
      <c r="L83" s="88" t="s">
        <v>193</v>
      </c>
    </row>
    <row r="84" spans="1:12" ht="13" customHeight="1">
      <c r="A84" s="83" t="s">
        <v>290</v>
      </c>
      <c r="B84" s="84">
        <v>45734</v>
      </c>
      <c r="C84" s="85">
        <v>0.5625</v>
      </c>
      <c r="D84" s="86">
        <v>0.12</v>
      </c>
      <c r="E84" s="86">
        <v>1.98</v>
      </c>
      <c r="F84" s="87">
        <v>5.0000000000000001E-3</v>
      </c>
      <c r="G84" s="87">
        <v>1.972</v>
      </c>
      <c r="H84" s="94">
        <v>4.7153883260974494</v>
      </c>
      <c r="I84" s="86">
        <v>45.3</v>
      </c>
      <c r="J84" s="87">
        <v>0.99334103816629249</v>
      </c>
      <c r="K84" s="83"/>
      <c r="L84" s="83" t="s">
        <v>193</v>
      </c>
    </row>
    <row r="85" spans="1:12" ht="13" customHeight="1">
      <c r="A85" s="88" t="s">
        <v>291</v>
      </c>
      <c r="B85" s="89">
        <v>45734</v>
      </c>
      <c r="C85" s="90">
        <v>0.5625</v>
      </c>
      <c r="D85" s="91">
        <v>0.18</v>
      </c>
      <c r="E85" s="91">
        <v>3.06</v>
      </c>
      <c r="F85" s="92">
        <v>6.0000000000000001E-3</v>
      </c>
      <c r="G85" s="92">
        <v>3.0579999999999998</v>
      </c>
      <c r="H85" s="88"/>
      <c r="I85" s="91">
        <v>31.4</v>
      </c>
      <c r="J85" s="92">
        <v>0.68854102866272815</v>
      </c>
      <c r="K85" s="88"/>
      <c r="L85" s="88" t="s">
        <v>193</v>
      </c>
    </row>
    <row r="86" spans="1:12" ht="13" customHeight="1">
      <c r="A86" s="83" t="s">
        <v>292</v>
      </c>
      <c r="B86" s="84">
        <v>45734</v>
      </c>
      <c r="C86" s="85">
        <v>0.5625</v>
      </c>
      <c r="D86" s="86">
        <v>0.21</v>
      </c>
      <c r="E86" s="86">
        <v>3.46</v>
      </c>
      <c r="F86" s="87">
        <v>6.0000000000000001E-3</v>
      </c>
      <c r="G86" s="87">
        <v>3.4489999999999998</v>
      </c>
      <c r="H86" s="83"/>
      <c r="I86" s="86">
        <v>33.9</v>
      </c>
      <c r="J86" s="87">
        <v>0.74336117425689441</v>
      </c>
      <c r="K86" s="83"/>
      <c r="L86" s="83" t="s">
        <v>193</v>
      </c>
    </row>
    <row r="87" spans="1:12" ht="13" customHeight="1">
      <c r="A87" s="88" t="s">
        <v>293</v>
      </c>
      <c r="B87" s="89">
        <v>45734</v>
      </c>
      <c r="C87" s="90">
        <v>0.5625</v>
      </c>
      <c r="D87" s="91">
        <v>0.19</v>
      </c>
      <c r="E87" s="91">
        <v>2.98</v>
      </c>
      <c r="F87" s="92">
        <v>6.0000000000000001E-3</v>
      </c>
      <c r="G87" s="92">
        <v>2.9790000000000001</v>
      </c>
      <c r="H87" s="88"/>
      <c r="I87" s="91">
        <v>38.6</v>
      </c>
      <c r="J87" s="92">
        <v>0.84642304797392698</v>
      </c>
      <c r="K87" s="88"/>
      <c r="L87" s="88" t="s">
        <v>193</v>
      </c>
    </row>
    <row r="88" spans="1:12" ht="13" customHeight="1">
      <c r="A88" s="83" t="s">
        <v>294</v>
      </c>
      <c r="B88" s="84">
        <v>45734</v>
      </c>
      <c r="C88" s="85">
        <v>0.5625</v>
      </c>
      <c r="D88" s="86">
        <v>0.14000000000000001</v>
      </c>
      <c r="E88" s="86">
        <v>1.93</v>
      </c>
      <c r="F88" s="87">
        <v>5.0000000000000001E-3</v>
      </c>
      <c r="G88" s="87">
        <v>1.921</v>
      </c>
      <c r="H88" s="83"/>
      <c r="I88" s="86">
        <v>50.8</v>
      </c>
      <c r="J88" s="87">
        <v>1.113945358473458</v>
      </c>
      <c r="K88" s="83"/>
      <c r="L88" s="83" t="s">
        <v>193</v>
      </c>
    </row>
    <row r="89" spans="1:12" ht="13" customHeight="1">
      <c r="A89" s="88" t="s">
        <v>295</v>
      </c>
      <c r="B89" s="89">
        <v>45734</v>
      </c>
      <c r="C89" s="90">
        <v>0.5625</v>
      </c>
      <c r="D89" s="91">
        <v>0.23</v>
      </c>
      <c r="E89" s="91">
        <v>3.6</v>
      </c>
      <c r="F89" s="92">
        <v>7.0000000000000001E-3</v>
      </c>
      <c r="G89" s="92">
        <v>3.589</v>
      </c>
      <c r="H89" s="93">
        <v>6.4486132449259941</v>
      </c>
      <c r="I89" s="91">
        <v>71.099999999999994</v>
      </c>
      <c r="J89" s="92">
        <v>1.559084940698088</v>
      </c>
      <c r="K89" s="88"/>
      <c r="L89" s="88" t="s">
        <v>193</v>
      </c>
    </row>
    <row r="90" spans="1:12" ht="13" customHeight="1">
      <c r="A90" s="83" t="s">
        <v>296</v>
      </c>
      <c r="B90" s="84">
        <v>45734</v>
      </c>
      <c r="C90" s="85">
        <v>0.5625</v>
      </c>
      <c r="D90" s="86">
        <v>0.19</v>
      </c>
      <c r="E90" s="86">
        <v>2.86</v>
      </c>
      <c r="F90" s="87">
        <v>5.0000000000000001E-3</v>
      </c>
      <c r="G90" s="87">
        <v>2.859</v>
      </c>
      <c r="H90" s="83"/>
      <c r="I90" s="86">
        <v>73.2</v>
      </c>
      <c r="J90" s="87">
        <v>1.6051338629971881</v>
      </c>
      <c r="K90" s="83"/>
      <c r="L90" s="83" t="s">
        <v>193</v>
      </c>
    </row>
    <row r="91" spans="1:12" ht="13" customHeight="1">
      <c r="A91" s="88" t="s">
        <v>297</v>
      </c>
      <c r="B91" s="89">
        <v>45734</v>
      </c>
      <c r="C91" s="90">
        <v>0.5625</v>
      </c>
      <c r="D91" s="91">
        <v>0.13</v>
      </c>
      <c r="E91" s="91">
        <v>2.14</v>
      </c>
      <c r="F91" s="92">
        <v>4.0000000000000001E-3</v>
      </c>
      <c r="G91" s="92">
        <v>2.1379999999999999</v>
      </c>
      <c r="H91" s="88"/>
      <c r="I91" s="91">
        <v>83.7</v>
      </c>
      <c r="J91" s="92">
        <v>1.835378474492686</v>
      </c>
      <c r="K91" s="88"/>
      <c r="L91" s="88" t="s">
        <v>193</v>
      </c>
    </row>
    <row r="92" spans="1:12" ht="13" customHeight="1">
      <c r="A92" s="83" t="s">
        <v>298</v>
      </c>
      <c r="B92" s="84">
        <v>45734</v>
      </c>
      <c r="C92" s="85">
        <v>0.5625</v>
      </c>
      <c r="D92" s="86">
        <v>0.21</v>
      </c>
      <c r="E92" s="86">
        <v>2.9</v>
      </c>
      <c r="F92" s="87">
        <v>6.0000000000000001E-3</v>
      </c>
      <c r="G92" s="87">
        <v>2.8980000000000001</v>
      </c>
      <c r="H92" s="83"/>
      <c r="I92" s="86">
        <v>78.900000000000006</v>
      </c>
      <c r="J92" s="87">
        <v>1.7301237949518871</v>
      </c>
      <c r="K92" s="83"/>
      <c r="L92" s="83" t="s">
        <v>193</v>
      </c>
    </row>
    <row r="93" spans="1:12" ht="13" customHeight="1">
      <c r="A93" s="88" t="s">
        <v>299</v>
      </c>
      <c r="B93" s="89">
        <v>45734</v>
      </c>
      <c r="C93" s="90">
        <v>0.5625</v>
      </c>
      <c r="D93" s="91">
        <v>0.15</v>
      </c>
      <c r="E93" s="91">
        <v>2.33</v>
      </c>
      <c r="F93" s="92">
        <v>5.0000000000000001E-3</v>
      </c>
      <c r="G93" s="92">
        <v>2.3220000000000001</v>
      </c>
      <c r="H93" s="88"/>
      <c r="I93" s="91">
        <v>86</v>
      </c>
      <c r="J93" s="92">
        <v>1.885813008439319</v>
      </c>
      <c r="K93" s="88"/>
      <c r="L93" s="88" t="s">
        <v>193</v>
      </c>
    </row>
    <row r="94" spans="1:12" ht="13" customHeight="1">
      <c r="A94" s="83" t="s">
        <v>300</v>
      </c>
      <c r="B94" s="84">
        <v>45734</v>
      </c>
      <c r="C94" s="85">
        <v>0.5625</v>
      </c>
      <c r="D94" s="86">
        <v>0.15</v>
      </c>
      <c r="E94" s="86">
        <v>2.4</v>
      </c>
      <c r="F94" s="87">
        <v>5.0000000000000001E-3</v>
      </c>
      <c r="G94" s="87">
        <v>2.391</v>
      </c>
      <c r="H94" s="94">
        <v>5.0590797273863366</v>
      </c>
      <c r="I94" s="86">
        <v>92.7</v>
      </c>
      <c r="J94" s="87">
        <v>2.0327309986316848</v>
      </c>
      <c r="K94" s="83"/>
      <c r="L94" s="83" t="s">
        <v>193</v>
      </c>
    </row>
    <row r="95" spans="1:12" ht="13" customHeight="1">
      <c r="A95" s="88" t="s">
        <v>301</v>
      </c>
      <c r="B95" s="89">
        <v>45734</v>
      </c>
      <c r="C95" s="90">
        <v>0.5625</v>
      </c>
      <c r="D95" s="91">
        <v>0.16</v>
      </c>
      <c r="E95" s="91">
        <v>2.21</v>
      </c>
      <c r="F95" s="92">
        <v>5.0000000000000001E-3</v>
      </c>
      <c r="G95" s="92">
        <v>2.2080000000000002</v>
      </c>
      <c r="H95" s="88"/>
      <c r="I95" s="91">
        <v>80.599999999999994</v>
      </c>
      <c r="J95" s="92">
        <v>1.7674014939559199</v>
      </c>
      <c r="K95" s="88"/>
      <c r="L95" s="88" t="s">
        <v>193</v>
      </c>
    </row>
    <row r="96" spans="1:12" ht="13" customHeight="1">
      <c r="A96" s="83" t="s">
        <v>302</v>
      </c>
      <c r="B96" s="84">
        <v>45734</v>
      </c>
      <c r="C96" s="85">
        <v>0.5625</v>
      </c>
      <c r="D96" s="86">
        <v>0.19</v>
      </c>
      <c r="E96" s="86">
        <v>2.68</v>
      </c>
      <c r="F96" s="87">
        <v>7.0000000000000001E-3</v>
      </c>
      <c r="G96" s="87">
        <v>2.6720000000000002</v>
      </c>
      <c r="H96" s="83"/>
      <c r="I96" s="86">
        <v>76</v>
      </c>
      <c r="J96" s="87">
        <v>1.6665324260626539</v>
      </c>
      <c r="K96" s="83"/>
      <c r="L96" s="83" t="s">
        <v>193</v>
      </c>
    </row>
    <row r="97" spans="1:12" ht="13" customHeight="1">
      <c r="A97" s="88" t="s">
        <v>303</v>
      </c>
      <c r="B97" s="89">
        <v>45734</v>
      </c>
      <c r="C97" s="90">
        <v>0.5625</v>
      </c>
      <c r="D97" s="91">
        <v>0.13</v>
      </c>
      <c r="E97" s="91">
        <v>2.09</v>
      </c>
      <c r="F97" s="92">
        <v>5.0000000000000001E-3</v>
      </c>
      <c r="G97" s="92">
        <v>2.08</v>
      </c>
      <c r="H97" s="88"/>
      <c r="I97" s="91">
        <v>90.7</v>
      </c>
      <c r="J97" s="92">
        <v>1.988874882156352</v>
      </c>
      <c r="K97" s="88"/>
      <c r="L97" s="88" t="s">
        <v>193</v>
      </c>
    </row>
    <row r="98" spans="1:12" ht="13" customHeight="1">
      <c r="A98" s="83" t="s">
        <v>304</v>
      </c>
      <c r="B98" s="84">
        <v>45734</v>
      </c>
      <c r="C98" s="85">
        <v>0.5625</v>
      </c>
      <c r="D98" s="86">
        <v>0.13</v>
      </c>
      <c r="E98" s="86">
        <v>2.2200000000000002</v>
      </c>
      <c r="F98" s="87">
        <v>5.0000000000000001E-3</v>
      </c>
      <c r="G98" s="87">
        <v>2.2130000000000001</v>
      </c>
      <c r="H98" s="83"/>
      <c r="I98" s="86">
        <v>92.9</v>
      </c>
      <c r="J98" s="87">
        <v>2.037116610279218</v>
      </c>
      <c r="K98" s="83"/>
      <c r="L98" s="83" t="s">
        <v>193</v>
      </c>
    </row>
    <row r="99" spans="1:12" ht="13" customHeight="1">
      <c r="A99" s="88" t="s">
        <v>305</v>
      </c>
      <c r="B99" s="89">
        <v>45734</v>
      </c>
      <c r="C99" s="90">
        <v>0.5625</v>
      </c>
      <c r="D99" s="91">
        <v>0.18</v>
      </c>
      <c r="E99" s="91">
        <v>3.52</v>
      </c>
      <c r="F99" s="92">
        <v>6.0000000000000001E-3</v>
      </c>
      <c r="G99" s="92">
        <v>3.5139999999999998</v>
      </c>
      <c r="H99" s="93">
        <v>6.0946757527348687</v>
      </c>
      <c r="I99" s="91">
        <v>72.7</v>
      </c>
      <c r="J99" s="92">
        <v>1.594169833878355</v>
      </c>
      <c r="K99" s="88"/>
      <c r="L99" s="88" t="s">
        <v>193</v>
      </c>
    </row>
    <row r="100" spans="1:12" ht="13" customHeight="1">
      <c r="A100" s="83" t="s">
        <v>306</v>
      </c>
      <c r="B100" s="84">
        <v>45734</v>
      </c>
      <c r="C100" s="85">
        <v>0.5625</v>
      </c>
      <c r="D100" s="86">
        <v>0.17</v>
      </c>
      <c r="E100" s="86">
        <v>3.47</v>
      </c>
      <c r="F100" s="87">
        <v>6.0000000000000001E-3</v>
      </c>
      <c r="G100" s="87">
        <v>3.468</v>
      </c>
      <c r="H100" s="83"/>
      <c r="I100" s="86">
        <v>64.400000000000006</v>
      </c>
      <c r="J100" s="87">
        <v>1.4121669505057231</v>
      </c>
      <c r="K100" s="83"/>
      <c r="L100" s="83" t="s">
        <v>193</v>
      </c>
    </row>
    <row r="101" spans="1:12" ht="13" customHeight="1">
      <c r="A101" s="88" t="s">
        <v>307</v>
      </c>
      <c r="B101" s="89">
        <v>45734</v>
      </c>
      <c r="C101" s="90">
        <v>0.5625</v>
      </c>
      <c r="D101" s="91">
        <v>0.12</v>
      </c>
      <c r="E101" s="91">
        <v>1.56</v>
      </c>
      <c r="F101" s="92">
        <v>5.0000000000000001E-3</v>
      </c>
      <c r="G101" s="92">
        <v>1.5569999999999999</v>
      </c>
      <c r="H101" s="88"/>
      <c r="I101" s="91">
        <v>83.4</v>
      </c>
      <c r="J101" s="92">
        <v>1.828800057021386</v>
      </c>
      <c r="K101" s="88"/>
      <c r="L101" s="88" t="s">
        <v>193</v>
      </c>
    </row>
    <row r="102" spans="1:12" ht="13" customHeight="1">
      <c r="A102" s="83" t="s">
        <v>308</v>
      </c>
      <c r="B102" s="84">
        <v>45734</v>
      </c>
      <c r="C102" s="85">
        <v>0.5625</v>
      </c>
      <c r="D102" s="86">
        <v>7.0000000000000007E-2</v>
      </c>
      <c r="E102" s="86">
        <v>1.1000000000000001</v>
      </c>
      <c r="F102" s="87">
        <v>3.0000000000000001E-3</v>
      </c>
      <c r="G102" s="87">
        <v>1.0940000000000001</v>
      </c>
      <c r="H102" s="83"/>
      <c r="I102" s="86">
        <v>113.6</v>
      </c>
      <c r="J102" s="87">
        <v>2.4910274157989138</v>
      </c>
      <c r="K102" s="83"/>
      <c r="L102" s="83" t="s">
        <v>193</v>
      </c>
    </row>
    <row r="103" spans="1:12" ht="13" customHeight="1">
      <c r="A103" s="88" t="s">
        <v>309</v>
      </c>
      <c r="B103" s="89">
        <v>45734</v>
      </c>
      <c r="C103" s="90">
        <v>0.5625</v>
      </c>
      <c r="D103" s="91">
        <v>0.13</v>
      </c>
      <c r="E103" s="91">
        <v>2</v>
      </c>
      <c r="F103" s="92">
        <v>4.0000000000000001E-3</v>
      </c>
      <c r="G103" s="92">
        <v>2.0009999999999999</v>
      </c>
      <c r="H103" s="88"/>
      <c r="I103" s="91">
        <v>92.3</v>
      </c>
      <c r="J103" s="92">
        <v>2.0239597753366181</v>
      </c>
      <c r="K103" s="88"/>
      <c r="L103" s="88" t="s">
        <v>193</v>
      </c>
    </row>
    <row r="104" spans="1:12" ht="13" customHeight="1">
      <c r="A104" s="83" t="s">
        <v>310</v>
      </c>
      <c r="B104" s="84">
        <v>45734</v>
      </c>
      <c r="C104" s="85">
        <v>0.5625</v>
      </c>
      <c r="D104" s="86">
        <v>0.11</v>
      </c>
      <c r="E104" s="86">
        <v>1.57</v>
      </c>
      <c r="F104" s="87">
        <v>4.0000000000000001E-3</v>
      </c>
      <c r="G104" s="87">
        <v>1.5629999999999999</v>
      </c>
      <c r="H104" s="94">
        <v>3.9832285115304251</v>
      </c>
      <c r="I104" s="86">
        <v>100.4</v>
      </c>
      <c r="J104" s="87">
        <v>2.2015770470617171</v>
      </c>
      <c r="K104" s="83"/>
      <c r="L104" s="83" t="s">
        <v>193</v>
      </c>
    </row>
    <row r="105" spans="1:12" ht="13" customHeight="1">
      <c r="A105" s="88" t="s">
        <v>311</v>
      </c>
      <c r="B105" s="89">
        <v>45734</v>
      </c>
      <c r="C105" s="90">
        <v>0.5625</v>
      </c>
      <c r="D105" s="91">
        <v>0.06</v>
      </c>
      <c r="E105" s="91">
        <v>0.74</v>
      </c>
      <c r="F105" s="92">
        <v>3.0000000000000001E-3</v>
      </c>
      <c r="G105" s="92">
        <v>0.73599999999999999</v>
      </c>
      <c r="H105" s="88"/>
      <c r="I105" s="91">
        <v>68</v>
      </c>
      <c r="J105" s="92">
        <v>1.491107960161322</v>
      </c>
      <c r="K105" s="88" t="s">
        <v>312</v>
      </c>
      <c r="L105" s="88" t="s">
        <v>193</v>
      </c>
    </row>
    <row r="106" spans="1:12" ht="13" customHeight="1">
      <c r="A106" s="83" t="s">
        <v>313</v>
      </c>
      <c r="B106" s="84">
        <v>45734</v>
      </c>
      <c r="C106" s="85">
        <v>0.63194444444444442</v>
      </c>
      <c r="D106" s="86">
        <v>0.25</v>
      </c>
      <c r="E106" s="86">
        <v>4.0199999999999996</v>
      </c>
      <c r="F106" s="87">
        <v>5.0000000000000001E-3</v>
      </c>
      <c r="G106" s="87">
        <v>4.016</v>
      </c>
      <c r="H106" s="83"/>
      <c r="I106" s="86">
        <v>30</v>
      </c>
      <c r="J106" s="87">
        <v>0.65784174712999499</v>
      </c>
      <c r="K106" s="83" t="s">
        <v>314</v>
      </c>
      <c r="L106" s="83" t="s">
        <v>193</v>
      </c>
    </row>
    <row r="107" spans="1:12" ht="13" customHeight="1">
      <c r="A107" s="88" t="s">
        <v>315</v>
      </c>
      <c r="B107" s="89">
        <v>45734</v>
      </c>
      <c r="C107" s="90">
        <v>0.63194444444444442</v>
      </c>
      <c r="D107" s="91">
        <v>0.22</v>
      </c>
      <c r="E107" s="91">
        <v>3.81</v>
      </c>
      <c r="F107" s="92">
        <v>4.0000000000000001E-3</v>
      </c>
      <c r="G107" s="92">
        <v>3.81</v>
      </c>
      <c r="H107" s="88"/>
      <c r="I107" s="91">
        <v>22.2</v>
      </c>
      <c r="J107" s="92">
        <v>0.48680289287619632</v>
      </c>
      <c r="K107" s="88"/>
      <c r="L107" s="88" t="s">
        <v>193</v>
      </c>
    </row>
    <row r="108" spans="1:12" ht="13" customHeight="1">
      <c r="A108" s="83" t="s">
        <v>316</v>
      </c>
      <c r="B108" s="84">
        <v>45734</v>
      </c>
      <c r="C108" s="85">
        <v>0.63194444444444442</v>
      </c>
      <c r="D108" s="86">
        <v>0.21</v>
      </c>
      <c r="E108" s="86">
        <v>4.1100000000000003</v>
      </c>
      <c r="F108" s="87">
        <v>5.0000000000000001E-3</v>
      </c>
      <c r="G108" s="87">
        <v>4.1050000000000004</v>
      </c>
      <c r="H108" s="83"/>
      <c r="I108" s="86">
        <v>31.3</v>
      </c>
      <c r="J108" s="87">
        <v>0.68634822283896146</v>
      </c>
      <c r="K108" s="83"/>
      <c r="L108" s="83" t="s">
        <v>193</v>
      </c>
    </row>
    <row r="109" spans="1:12" ht="13" customHeight="1">
      <c r="A109" s="88" t="s">
        <v>317</v>
      </c>
      <c r="B109" s="89">
        <v>45734</v>
      </c>
      <c r="C109" s="90">
        <v>0.63194444444444442</v>
      </c>
      <c r="D109" s="91">
        <v>0.16</v>
      </c>
      <c r="E109" s="91">
        <v>3.11</v>
      </c>
      <c r="F109" s="92">
        <v>4.0000000000000001E-3</v>
      </c>
      <c r="G109" s="92">
        <v>3.1110000000000002</v>
      </c>
      <c r="H109" s="88"/>
      <c r="I109" s="91">
        <v>32.200000000000003</v>
      </c>
      <c r="J109" s="92">
        <v>0.70608347525286141</v>
      </c>
      <c r="K109" s="88"/>
      <c r="L109" s="88" t="s">
        <v>193</v>
      </c>
    </row>
    <row r="110" spans="1:12" ht="13" customHeight="1">
      <c r="A110" s="83" t="s">
        <v>318</v>
      </c>
      <c r="B110" s="84">
        <v>45734</v>
      </c>
      <c r="C110" s="85">
        <v>0.63194444444444442</v>
      </c>
      <c r="D110" s="86">
        <v>0.14000000000000001</v>
      </c>
      <c r="E110" s="86">
        <v>2.79</v>
      </c>
      <c r="F110" s="87">
        <v>4.0000000000000001E-3</v>
      </c>
      <c r="G110" s="87">
        <v>2.7869999999999999</v>
      </c>
      <c r="H110" s="83"/>
      <c r="I110" s="86">
        <v>35.200000000000003</v>
      </c>
      <c r="J110" s="87">
        <v>0.77186764996586088</v>
      </c>
      <c r="K110" s="83" t="s">
        <v>219</v>
      </c>
      <c r="L110" s="83" t="s">
        <v>193</v>
      </c>
    </row>
    <row r="111" spans="1:12" ht="13" customHeight="1">
      <c r="A111" s="88" t="s">
        <v>319</v>
      </c>
      <c r="B111" s="89">
        <v>45734</v>
      </c>
      <c r="C111" s="90">
        <v>0.63194444444444442</v>
      </c>
      <c r="D111" s="91">
        <v>0.15</v>
      </c>
      <c r="E111" s="91">
        <v>3.43</v>
      </c>
      <c r="F111" s="92">
        <v>4.0000000000000001E-3</v>
      </c>
      <c r="G111" s="92">
        <v>3.43</v>
      </c>
      <c r="H111" s="93">
        <v>7.9353789880105534</v>
      </c>
      <c r="I111" s="91">
        <v>35</v>
      </c>
      <c r="J111" s="92">
        <v>0.76748203831832751</v>
      </c>
      <c r="K111" s="88" t="s">
        <v>219</v>
      </c>
      <c r="L111" s="88" t="s">
        <v>193</v>
      </c>
    </row>
    <row r="112" spans="1:12" ht="13" customHeight="1">
      <c r="A112" s="83" t="s">
        <v>320</v>
      </c>
      <c r="B112" s="84">
        <v>45734</v>
      </c>
      <c r="C112" s="85">
        <v>0.63194444444444442</v>
      </c>
      <c r="D112" s="86">
        <v>0.16</v>
      </c>
      <c r="E112" s="86">
        <v>3.38</v>
      </c>
      <c r="F112" s="87">
        <v>5.0000000000000001E-3</v>
      </c>
      <c r="G112" s="87">
        <v>3.3730000000000002</v>
      </c>
      <c r="H112" s="83"/>
      <c r="I112" s="86">
        <v>37</v>
      </c>
      <c r="J112" s="87">
        <v>0.81133815479366056</v>
      </c>
      <c r="K112" s="83"/>
      <c r="L112" s="83" t="s">
        <v>193</v>
      </c>
    </row>
    <row r="113" spans="1:12" ht="13" customHeight="1">
      <c r="A113" s="88" t="s">
        <v>321</v>
      </c>
      <c r="B113" s="89">
        <v>45734</v>
      </c>
      <c r="C113" s="90">
        <v>0.63194444444444442</v>
      </c>
      <c r="D113" s="91">
        <v>0.15</v>
      </c>
      <c r="E113" s="91">
        <v>3.23</v>
      </c>
      <c r="F113" s="92">
        <v>5.0000000000000001E-3</v>
      </c>
      <c r="G113" s="92">
        <v>3.222</v>
      </c>
      <c r="H113" s="88"/>
      <c r="I113" s="91">
        <v>35.1</v>
      </c>
      <c r="J113" s="92">
        <v>0.76967484414209419</v>
      </c>
      <c r="K113" s="88"/>
      <c r="L113" s="88" t="s">
        <v>193</v>
      </c>
    </row>
    <row r="114" spans="1:12" ht="13" customHeight="1">
      <c r="A114" s="83" t="s">
        <v>322</v>
      </c>
      <c r="B114" s="84">
        <v>45734</v>
      </c>
      <c r="C114" s="85">
        <v>0.63194444444444442</v>
      </c>
      <c r="D114" s="86">
        <v>0.17</v>
      </c>
      <c r="E114" s="86">
        <v>3.74</v>
      </c>
      <c r="F114" s="87">
        <v>6.0000000000000001E-3</v>
      </c>
      <c r="G114" s="87">
        <v>3.7370000000000001</v>
      </c>
      <c r="H114" s="83"/>
      <c r="I114" s="86">
        <v>31.9</v>
      </c>
      <c r="J114" s="87">
        <v>0.69950505778156136</v>
      </c>
      <c r="K114" s="83"/>
      <c r="L114" s="83" t="s">
        <v>193</v>
      </c>
    </row>
    <row r="115" spans="1:12" ht="13" customHeight="1">
      <c r="A115" s="88" t="s">
        <v>323</v>
      </c>
      <c r="B115" s="89">
        <v>45734</v>
      </c>
      <c r="C115" s="90">
        <v>0.63194444444444442</v>
      </c>
      <c r="D115" s="91">
        <v>0.18</v>
      </c>
      <c r="E115" s="91">
        <v>3.81</v>
      </c>
      <c r="F115" s="92">
        <v>5.0000000000000001E-3</v>
      </c>
      <c r="G115" s="92">
        <v>3.8010000000000002</v>
      </c>
      <c r="H115" s="88"/>
      <c r="I115" s="91">
        <v>34</v>
      </c>
      <c r="J115" s="92">
        <v>0.74555398008066109</v>
      </c>
      <c r="K115" s="88"/>
      <c r="L115" s="88" t="s">
        <v>193</v>
      </c>
    </row>
    <row r="116" spans="1:12" ht="13" customHeight="1">
      <c r="A116" s="83" t="s">
        <v>324</v>
      </c>
      <c r="B116" s="84">
        <v>45734</v>
      </c>
      <c r="C116" s="85">
        <v>0.63194444444444442</v>
      </c>
      <c r="D116" s="86">
        <v>0.17</v>
      </c>
      <c r="E116" s="86">
        <v>3.77</v>
      </c>
      <c r="F116" s="87">
        <v>5.0000000000000001E-3</v>
      </c>
      <c r="G116" s="87">
        <v>3.766</v>
      </c>
      <c r="H116" s="94">
        <v>8.2744131550240603</v>
      </c>
      <c r="I116" s="86">
        <v>58.3</v>
      </c>
      <c r="J116" s="87">
        <v>1.2784057952559571</v>
      </c>
      <c r="K116" s="83"/>
      <c r="L116" s="83" t="s">
        <v>193</v>
      </c>
    </row>
    <row r="117" spans="1:12" ht="13" customHeight="1">
      <c r="A117" s="88" t="s">
        <v>325</v>
      </c>
      <c r="B117" s="89">
        <v>45734</v>
      </c>
      <c r="C117" s="90">
        <v>0.63194444444444442</v>
      </c>
      <c r="D117" s="91">
        <v>0.13</v>
      </c>
      <c r="E117" s="91">
        <v>3.02</v>
      </c>
      <c r="F117" s="92">
        <v>4.0000000000000001E-3</v>
      </c>
      <c r="G117" s="92">
        <v>3.0190000000000001</v>
      </c>
      <c r="H117" s="88"/>
      <c r="I117" s="91">
        <v>87</v>
      </c>
      <c r="J117" s="92">
        <v>1.9077410666769861</v>
      </c>
      <c r="K117" s="88"/>
      <c r="L117" s="88" t="s">
        <v>193</v>
      </c>
    </row>
    <row r="118" spans="1:12" ht="13" customHeight="1">
      <c r="A118" s="83" t="s">
        <v>326</v>
      </c>
      <c r="B118" s="84">
        <v>45734</v>
      </c>
      <c r="C118" s="85">
        <v>0.63194444444444442</v>
      </c>
      <c r="D118" s="86">
        <v>0.18</v>
      </c>
      <c r="E118" s="86">
        <v>4.12</v>
      </c>
      <c r="F118" s="87">
        <v>6.0000000000000001E-3</v>
      </c>
      <c r="G118" s="87">
        <v>4.117</v>
      </c>
      <c r="H118" s="83"/>
      <c r="I118" s="86">
        <v>63</v>
      </c>
      <c r="J118" s="87">
        <v>1.3814676689729899</v>
      </c>
      <c r="K118" s="83"/>
      <c r="L118" s="83" t="s">
        <v>193</v>
      </c>
    </row>
    <row r="119" spans="1:12" ht="13" customHeight="1">
      <c r="A119" s="88" t="s">
        <v>327</v>
      </c>
      <c r="B119" s="89">
        <v>45734</v>
      </c>
      <c r="C119" s="90">
        <v>0.63194444444444442</v>
      </c>
      <c r="D119" s="91">
        <v>0.26</v>
      </c>
      <c r="E119" s="91">
        <v>5.16</v>
      </c>
      <c r="F119" s="92">
        <v>5.0000000000000001E-3</v>
      </c>
      <c r="G119" s="92">
        <v>5.1520000000000001</v>
      </c>
      <c r="H119" s="88"/>
      <c r="I119" s="91">
        <v>49.4</v>
      </c>
      <c r="J119" s="92">
        <v>1.0832460769407251</v>
      </c>
      <c r="K119" s="88"/>
      <c r="L119" s="88" t="s">
        <v>193</v>
      </c>
    </row>
    <row r="120" spans="1:12" ht="13" customHeight="1">
      <c r="A120" s="83" t="s">
        <v>328</v>
      </c>
      <c r="B120" s="84">
        <v>45734</v>
      </c>
      <c r="C120" s="85">
        <v>0.63194444444444442</v>
      </c>
      <c r="D120" s="86">
        <v>0.14000000000000001</v>
      </c>
      <c r="E120" s="86">
        <v>2.82</v>
      </c>
      <c r="F120" s="87">
        <v>3.0000000000000001E-3</v>
      </c>
      <c r="G120" s="87">
        <v>2.8170000000000002</v>
      </c>
      <c r="H120" s="83"/>
      <c r="I120" s="86">
        <v>62.5</v>
      </c>
      <c r="J120" s="87">
        <v>1.3705036398541559</v>
      </c>
      <c r="K120" s="83" t="s">
        <v>219</v>
      </c>
      <c r="L120" s="83" t="s">
        <v>193</v>
      </c>
    </row>
    <row r="121" spans="1:12" ht="13" customHeight="1">
      <c r="A121" s="88" t="s">
        <v>329</v>
      </c>
      <c r="B121" s="89">
        <v>45734</v>
      </c>
      <c r="C121" s="90">
        <v>0.63194444444444442</v>
      </c>
      <c r="D121" s="91">
        <v>0.11</v>
      </c>
      <c r="E121" s="91">
        <v>2.17</v>
      </c>
      <c r="F121" s="92">
        <v>3.0000000000000001E-3</v>
      </c>
      <c r="G121" s="92">
        <v>2.1640000000000001</v>
      </c>
      <c r="H121" s="93">
        <v>6.0725313313555453</v>
      </c>
      <c r="I121" s="91">
        <v>75.3</v>
      </c>
      <c r="J121" s="92">
        <v>1.651182785296287</v>
      </c>
      <c r="K121" s="88" t="s">
        <v>219</v>
      </c>
      <c r="L121" s="88" t="s">
        <v>193</v>
      </c>
    </row>
    <row r="122" spans="1:12" ht="13" customHeight="1">
      <c r="A122" s="83" t="s">
        <v>330</v>
      </c>
      <c r="B122" s="84">
        <v>45734</v>
      </c>
      <c r="C122" s="85">
        <v>0.63194444444444442</v>
      </c>
      <c r="D122" s="86">
        <v>0.14000000000000001</v>
      </c>
      <c r="E122" s="86">
        <v>2.83</v>
      </c>
      <c r="F122" s="87">
        <v>3.0000000000000001E-3</v>
      </c>
      <c r="G122" s="87">
        <v>2.8279999999999998</v>
      </c>
      <c r="H122" s="83"/>
      <c r="I122" s="86">
        <v>71.5</v>
      </c>
      <c r="J122" s="87">
        <v>1.567856163993155</v>
      </c>
      <c r="K122" s="83" t="s">
        <v>219</v>
      </c>
      <c r="L122" s="83" t="s">
        <v>193</v>
      </c>
    </row>
    <row r="123" spans="1:12" ht="13" customHeight="1">
      <c r="A123" s="88" t="s">
        <v>331</v>
      </c>
      <c r="B123" s="89">
        <v>45734</v>
      </c>
      <c r="C123" s="90">
        <v>0.63194444444444442</v>
      </c>
      <c r="D123" s="91">
        <v>0.15</v>
      </c>
      <c r="E123" s="91">
        <v>2.98</v>
      </c>
      <c r="F123" s="92">
        <v>3.0000000000000001E-3</v>
      </c>
      <c r="G123" s="92">
        <v>2.9809999999999999</v>
      </c>
      <c r="H123" s="88"/>
      <c r="I123" s="91">
        <v>73.3</v>
      </c>
      <c r="J123" s="92">
        <v>1.607326668820954</v>
      </c>
      <c r="K123" s="88" t="s">
        <v>332</v>
      </c>
      <c r="L123" s="88" t="s">
        <v>193</v>
      </c>
    </row>
    <row r="124" spans="1:12" ht="13" customHeight="1">
      <c r="A124" s="83" t="s">
        <v>333</v>
      </c>
      <c r="B124" s="84">
        <v>45734</v>
      </c>
      <c r="C124" s="85">
        <v>0.63194444444444442</v>
      </c>
      <c r="D124" s="86">
        <v>0.18</v>
      </c>
      <c r="E124" s="86">
        <v>3.54</v>
      </c>
      <c r="F124" s="87">
        <v>3.0000000000000001E-3</v>
      </c>
      <c r="G124" s="87">
        <v>3.5379999999999998</v>
      </c>
      <c r="H124" s="83"/>
      <c r="I124" s="86">
        <v>60.2</v>
      </c>
      <c r="J124" s="87">
        <v>1.3200691059075229</v>
      </c>
      <c r="K124" s="83" t="s">
        <v>219</v>
      </c>
      <c r="L124" s="83" t="s">
        <v>193</v>
      </c>
    </row>
    <row r="125" spans="1:12" ht="13" customHeight="1">
      <c r="A125" s="88" t="s">
        <v>334</v>
      </c>
      <c r="B125" s="89">
        <v>45734</v>
      </c>
      <c r="C125" s="90">
        <v>0.63194444444444442</v>
      </c>
      <c r="D125" s="91">
        <v>0.23</v>
      </c>
      <c r="E125" s="91">
        <v>3.78</v>
      </c>
      <c r="F125" s="92">
        <v>3.0000000000000001E-3</v>
      </c>
      <c r="G125" s="92">
        <v>3.7770000000000001</v>
      </c>
      <c r="H125" s="88"/>
      <c r="I125" s="91">
        <v>52</v>
      </c>
      <c r="J125" s="92">
        <v>1.140259028358658</v>
      </c>
      <c r="K125" s="88"/>
      <c r="L125" s="88" t="s">
        <v>193</v>
      </c>
    </row>
    <row r="126" spans="1:12" ht="13" customHeight="1">
      <c r="A126" s="83" t="s">
        <v>335</v>
      </c>
      <c r="B126" s="84">
        <v>45734</v>
      </c>
      <c r="C126" s="85">
        <v>0.63194444444444442</v>
      </c>
      <c r="D126" s="86">
        <v>0.2</v>
      </c>
      <c r="E126" s="86">
        <v>3.6</v>
      </c>
      <c r="F126" s="87">
        <v>4.0000000000000001E-3</v>
      </c>
      <c r="G126" s="87">
        <v>3.5910000000000002</v>
      </c>
      <c r="H126" s="94">
        <v>6.7546865551299566</v>
      </c>
      <c r="I126" s="86">
        <v>57.3</v>
      </c>
      <c r="J126" s="87">
        <v>1.25647773701829</v>
      </c>
      <c r="K126" s="83"/>
      <c r="L126" s="83" t="s">
        <v>193</v>
      </c>
    </row>
    <row r="127" spans="1:12" ht="13" customHeight="1">
      <c r="A127" s="88" t="s">
        <v>336</v>
      </c>
      <c r="B127" s="89">
        <v>45734</v>
      </c>
      <c r="C127" s="90">
        <v>0.63194444444444442</v>
      </c>
      <c r="D127" s="91">
        <v>0.27</v>
      </c>
      <c r="E127" s="91">
        <v>4.53</v>
      </c>
      <c r="F127" s="92">
        <v>4.0000000000000001E-3</v>
      </c>
      <c r="G127" s="92">
        <v>4.5209999999999999</v>
      </c>
      <c r="H127" s="88"/>
      <c r="I127" s="91">
        <v>57.2</v>
      </c>
      <c r="J127" s="92">
        <v>1.2542849311945241</v>
      </c>
      <c r="K127" s="88" t="s">
        <v>219</v>
      </c>
      <c r="L127" s="88" t="s">
        <v>193</v>
      </c>
    </row>
    <row r="128" spans="1:12" ht="13" customHeight="1">
      <c r="A128" s="83" t="s">
        <v>337</v>
      </c>
      <c r="B128" s="84">
        <v>45734</v>
      </c>
      <c r="C128" s="85">
        <v>0.63194444444444442</v>
      </c>
      <c r="D128" s="86">
        <v>0.24</v>
      </c>
      <c r="E128" s="86">
        <v>3.72</v>
      </c>
      <c r="F128" s="87">
        <v>3.0000000000000001E-3</v>
      </c>
      <c r="G128" s="87">
        <v>3.718</v>
      </c>
      <c r="H128" s="83"/>
      <c r="I128" s="86">
        <v>62.8</v>
      </c>
      <c r="J128" s="87">
        <v>1.3770820573254561</v>
      </c>
      <c r="K128" s="83" t="s">
        <v>338</v>
      </c>
      <c r="L128" s="83" t="s">
        <v>193</v>
      </c>
    </row>
    <row r="129" spans="1:12" ht="13" customHeight="1">
      <c r="A129" s="88" t="s">
        <v>339</v>
      </c>
      <c r="B129" s="89">
        <v>45734</v>
      </c>
      <c r="C129" s="90">
        <v>0.63194444444444442</v>
      </c>
      <c r="D129" s="91">
        <v>0.19</v>
      </c>
      <c r="E129" s="91">
        <v>3.09</v>
      </c>
      <c r="F129" s="92">
        <v>3.0000000000000001E-3</v>
      </c>
      <c r="G129" s="92">
        <v>3.0830000000000002</v>
      </c>
      <c r="H129" s="88"/>
      <c r="I129" s="91">
        <v>39.1</v>
      </c>
      <c r="J129" s="92">
        <v>0.85738707709276019</v>
      </c>
      <c r="K129" s="88"/>
      <c r="L129" s="88" t="s">
        <v>193</v>
      </c>
    </row>
    <row r="130" spans="1:12" ht="13" customHeight="1">
      <c r="A130" s="83" t="s">
        <v>340</v>
      </c>
      <c r="B130" s="84">
        <v>45734</v>
      </c>
      <c r="C130" s="85">
        <v>0.63194444444444442</v>
      </c>
      <c r="D130" s="86">
        <v>0.13</v>
      </c>
      <c r="E130" s="86">
        <v>1.87</v>
      </c>
      <c r="F130" s="87">
        <v>3.0000000000000001E-3</v>
      </c>
      <c r="G130" s="87">
        <v>1.863</v>
      </c>
      <c r="H130" s="83"/>
      <c r="I130" s="86">
        <v>172.1</v>
      </c>
      <c r="J130" s="87">
        <v>3.7738188227024052</v>
      </c>
      <c r="K130" s="83" t="s">
        <v>341</v>
      </c>
      <c r="L130" s="83" t="s">
        <v>193</v>
      </c>
    </row>
    <row r="131" spans="1:12" ht="13" customHeight="1">
      <c r="A131" s="88" t="s">
        <v>342</v>
      </c>
      <c r="B131" s="89">
        <v>45734</v>
      </c>
      <c r="C131" s="90">
        <v>0.59236111111111112</v>
      </c>
      <c r="D131" s="91">
        <v>0.08</v>
      </c>
      <c r="E131" s="91">
        <v>1.1499999999999999</v>
      </c>
      <c r="F131" s="92">
        <v>4.0000000000000001E-3</v>
      </c>
      <c r="G131" s="92">
        <v>1.145</v>
      </c>
      <c r="H131" s="88"/>
      <c r="I131" s="91">
        <v>73</v>
      </c>
      <c r="J131" s="92">
        <v>1.6007482513496549</v>
      </c>
      <c r="K131" s="88" t="s">
        <v>314</v>
      </c>
      <c r="L131" s="88" t="s">
        <v>193</v>
      </c>
    </row>
    <row r="132" spans="1:12" ht="13" customHeight="1">
      <c r="A132" s="83" t="s">
        <v>343</v>
      </c>
      <c r="B132" s="84">
        <v>45734</v>
      </c>
      <c r="C132" s="85">
        <v>0.59236111111111112</v>
      </c>
      <c r="D132" s="86">
        <v>0.08</v>
      </c>
      <c r="E132" s="86">
        <v>1.65</v>
      </c>
      <c r="F132" s="87">
        <v>4.0000000000000001E-3</v>
      </c>
      <c r="G132" s="87">
        <v>1.647</v>
      </c>
      <c r="H132" s="83"/>
      <c r="I132" s="86">
        <v>61.3</v>
      </c>
      <c r="J132" s="87">
        <v>1.344189969968957</v>
      </c>
      <c r="K132" s="83"/>
      <c r="L132" s="83" t="s">
        <v>193</v>
      </c>
    </row>
    <row r="133" spans="1:12" ht="13" customHeight="1">
      <c r="A133" s="88" t="s">
        <v>344</v>
      </c>
      <c r="B133" s="89">
        <v>45734</v>
      </c>
      <c r="C133" s="90">
        <v>0.59236111111111112</v>
      </c>
      <c r="D133" s="91">
        <v>0.15</v>
      </c>
      <c r="E133" s="91">
        <v>2.83</v>
      </c>
      <c r="F133" s="92">
        <v>5.0000000000000001E-3</v>
      </c>
      <c r="G133" s="92">
        <v>2.823</v>
      </c>
      <c r="H133" s="88"/>
      <c r="I133" s="91">
        <v>48.7</v>
      </c>
      <c r="J133" s="92">
        <v>1.067896436174359</v>
      </c>
      <c r="K133" s="88"/>
      <c r="L133" s="88" t="s">
        <v>193</v>
      </c>
    </row>
    <row r="134" spans="1:12" ht="13" customHeight="1">
      <c r="A134" s="83" t="s">
        <v>345</v>
      </c>
      <c r="B134" s="84">
        <v>45734</v>
      </c>
      <c r="C134" s="85">
        <v>0.59236111111111112</v>
      </c>
      <c r="D134" s="86">
        <v>0.09</v>
      </c>
      <c r="E134" s="86">
        <v>1.39</v>
      </c>
      <c r="F134" s="87">
        <v>4.0000000000000001E-3</v>
      </c>
      <c r="G134" s="87">
        <v>1.383</v>
      </c>
      <c r="H134" s="83"/>
      <c r="I134" s="86">
        <v>53.3</v>
      </c>
      <c r="J134" s="87">
        <v>1.1687655040676239</v>
      </c>
      <c r="K134" s="83"/>
      <c r="L134" s="83" t="s">
        <v>193</v>
      </c>
    </row>
    <row r="135" spans="1:12" ht="13" customHeight="1">
      <c r="A135" s="88" t="s">
        <v>346</v>
      </c>
      <c r="B135" s="89">
        <v>45734</v>
      </c>
      <c r="C135" s="90">
        <v>0.59236111111111112</v>
      </c>
      <c r="D135" s="91">
        <v>0.1</v>
      </c>
      <c r="E135" s="91">
        <v>1.37</v>
      </c>
      <c r="F135" s="92">
        <v>3.0000000000000001E-3</v>
      </c>
      <c r="G135" s="92">
        <v>1.3680000000000001</v>
      </c>
      <c r="H135" s="88"/>
      <c r="I135" s="91">
        <v>55.4</v>
      </c>
      <c r="J135" s="92">
        <v>1.214814426366724</v>
      </c>
      <c r="K135" s="88"/>
      <c r="L135" s="88" t="s">
        <v>193</v>
      </c>
    </row>
    <row r="136" spans="1:12" ht="13" customHeight="1">
      <c r="A136" s="83" t="s">
        <v>347</v>
      </c>
      <c r="B136" s="84">
        <v>45734</v>
      </c>
      <c r="C136" s="85">
        <v>0.59236111111111112</v>
      </c>
      <c r="D136" s="86">
        <v>0.12</v>
      </c>
      <c r="E136" s="86">
        <v>1.68</v>
      </c>
      <c r="F136" s="87">
        <v>4.0000000000000001E-3</v>
      </c>
      <c r="G136" s="87">
        <v>1.6739999999999999</v>
      </c>
      <c r="H136" s="94">
        <v>3.4089540252961692</v>
      </c>
      <c r="I136" s="86">
        <v>47.6</v>
      </c>
      <c r="J136" s="87">
        <v>1.043775572112926</v>
      </c>
      <c r="K136" s="83" t="s">
        <v>219</v>
      </c>
      <c r="L136" s="83" t="s">
        <v>193</v>
      </c>
    </row>
    <row r="137" spans="1:12" ht="13" customHeight="1">
      <c r="A137" s="88" t="s">
        <v>348</v>
      </c>
      <c r="B137" s="89">
        <v>45734</v>
      </c>
      <c r="C137" s="90">
        <v>0.59236111111111112</v>
      </c>
      <c r="D137" s="91">
        <v>0.12</v>
      </c>
      <c r="E137" s="91">
        <v>1.48</v>
      </c>
      <c r="F137" s="92">
        <v>3.0000000000000001E-3</v>
      </c>
      <c r="G137" s="92">
        <v>1.4790000000000001</v>
      </c>
      <c r="H137" s="88"/>
      <c r="I137" s="91">
        <v>46.5</v>
      </c>
      <c r="J137" s="92">
        <v>1.0196547080514919</v>
      </c>
      <c r="K137" s="88"/>
      <c r="L137" s="88" t="s">
        <v>193</v>
      </c>
    </row>
    <row r="138" spans="1:12" ht="13" customHeight="1">
      <c r="A138" s="83" t="s">
        <v>349</v>
      </c>
      <c r="B138" s="84">
        <v>45734</v>
      </c>
      <c r="C138" s="85">
        <v>0.59236111111111112</v>
      </c>
      <c r="D138" s="86">
        <v>0.11</v>
      </c>
      <c r="E138" s="86">
        <v>1.34</v>
      </c>
      <c r="F138" s="87">
        <v>3.0000000000000001E-3</v>
      </c>
      <c r="G138" s="87">
        <v>1.341</v>
      </c>
      <c r="H138" s="83"/>
      <c r="I138" s="86">
        <v>55.7</v>
      </c>
      <c r="J138" s="87">
        <v>1.2213928438380239</v>
      </c>
      <c r="K138" s="83" t="s">
        <v>350</v>
      </c>
      <c r="L138" s="83" t="s">
        <v>193</v>
      </c>
    </row>
    <row r="139" spans="1:12" ht="13" customHeight="1">
      <c r="A139" s="88" t="s">
        <v>351</v>
      </c>
      <c r="B139" s="89">
        <v>45734</v>
      </c>
      <c r="C139" s="90">
        <v>0.59236111111111112</v>
      </c>
      <c r="D139" s="91">
        <v>0.11</v>
      </c>
      <c r="E139" s="91">
        <v>1.23</v>
      </c>
      <c r="F139" s="92">
        <v>3.0000000000000001E-3</v>
      </c>
      <c r="G139" s="92">
        <v>1.222</v>
      </c>
      <c r="H139" s="88"/>
      <c r="I139" s="91">
        <v>51.7</v>
      </c>
      <c r="J139" s="92">
        <v>1.1336806108873581</v>
      </c>
      <c r="K139" s="88"/>
      <c r="L139" s="88" t="s">
        <v>193</v>
      </c>
    </row>
    <row r="140" spans="1:12" ht="13" customHeight="1">
      <c r="A140" s="83" t="s">
        <v>352</v>
      </c>
      <c r="B140" s="84">
        <v>45734</v>
      </c>
      <c r="C140" s="85">
        <v>0.59236111111111112</v>
      </c>
      <c r="D140" s="86">
        <v>0.1</v>
      </c>
      <c r="E140" s="86">
        <v>1.22</v>
      </c>
      <c r="F140" s="87">
        <v>2E-3</v>
      </c>
      <c r="G140" s="87">
        <v>1.222</v>
      </c>
      <c r="H140" s="83"/>
      <c r="I140" s="86">
        <v>56.1</v>
      </c>
      <c r="J140" s="87">
        <v>1.2301640671330909</v>
      </c>
      <c r="K140" s="83"/>
      <c r="L140" s="83" t="s">
        <v>193</v>
      </c>
    </row>
    <row r="141" spans="1:12" ht="13" customHeight="1">
      <c r="A141" s="88" t="s">
        <v>353</v>
      </c>
      <c r="B141" s="89">
        <v>45734</v>
      </c>
      <c r="C141" s="90">
        <v>0.59236111111111112</v>
      </c>
      <c r="D141" s="91">
        <v>0.12</v>
      </c>
      <c r="E141" s="91">
        <v>1.88</v>
      </c>
      <c r="F141" s="92">
        <v>3.0000000000000001E-3</v>
      </c>
      <c r="G141" s="92">
        <v>1.877</v>
      </c>
      <c r="H141" s="93">
        <v>3.5144285023375499</v>
      </c>
      <c r="I141" s="91">
        <v>108.6</v>
      </c>
      <c r="J141" s="92">
        <v>2.381387124610582</v>
      </c>
      <c r="K141" s="88"/>
      <c r="L141" s="88" t="s">
        <v>193</v>
      </c>
    </row>
    <row r="142" spans="1:12" ht="13" customHeight="1">
      <c r="A142" s="83" t="s">
        <v>354</v>
      </c>
      <c r="B142" s="84">
        <v>45734</v>
      </c>
      <c r="C142" s="85">
        <v>0.59236111111111112</v>
      </c>
      <c r="D142" s="86">
        <v>0.11</v>
      </c>
      <c r="E142" s="86">
        <v>1.76</v>
      </c>
      <c r="F142" s="87">
        <v>3.0000000000000001E-3</v>
      </c>
      <c r="G142" s="87">
        <v>1.7609999999999999</v>
      </c>
      <c r="H142" s="83"/>
      <c r="I142" s="86">
        <v>103.4</v>
      </c>
      <c r="J142" s="87">
        <v>2.267361221774717</v>
      </c>
      <c r="K142" s="83"/>
      <c r="L142" s="83" t="s">
        <v>193</v>
      </c>
    </row>
    <row r="143" spans="1:12" ht="13" customHeight="1">
      <c r="A143" s="88" t="s">
        <v>355</v>
      </c>
      <c r="B143" s="89">
        <v>45734</v>
      </c>
      <c r="C143" s="90">
        <v>0.59236111111111112</v>
      </c>
      <c r="D143" s="91">
        <v>0.11</v>
      </c>
      <c r="E143" s="91">
        <v>2.21</v>
      </c>
      <c r="F143" s="92">
        <v>3.0000000000000001E-3</v>
      </c>
      <c r="G143" s="92">
        <v>2.21</v>
      </c>
      <c r="H143" s="88"/>
      <c r="I143" s="91">
        <v>90.3</v>
      </c>
      <c r="J143" s="92">
        <v>1.980103658861285</v>
      </c>
      <c r="K143" s="88" t="s">
        <v>219</v>
      </c>
      <c r="L143" s="88" t="s">
        <v>193</v>
      </c>
    </row>
    <row r="144" spans="1:12" ht="13" customHeight="1">
      <c r="A144" s="83" t="s">
        <v>356</v>
      </c>
      <c r="B144" s="84">
        <v>45734</v>
      </c>
      <c r="C144" s="85">
        <v>0.59236111111111112</v>
      </c>
      <c r="D144" s="86">
        <v>0.14000000000000001</v>
      </c>
      <c r="E144" s="86">
        <v>3.19</v>
      </c>
      <c r="F144" s="87">
        <v>4.0000000000000001E-3</v>
      </c>
      <c r="G144" s="87">
        <v>3.1880000000000002</v>
      </c>
      <c r="H144" s="83"/>
      <c r="I144" s="86">
        <v>84.4</v>
      </c>
      <c r="J144" s="87">
        <v>1.8507281152590529</v>
      </c>
      <c r="K144" s="83"/>
      <c r="L144" s="83" t="s">
        <v>193</v>
      </c>
    </row>
    <row r="145" spans="1:12" ht="13" customHeight="1">
      <c r="A145" s="88" t="s">
        <v>357</v>
      </c>
      <c r="B145" s="89">
        <v>45734</v>
      </c>
      <c r="C145" s="90">
        <v>0.59236111111111112</v>
      </c>
      <c r="D145" s="91">
        <v>0.11</v>
      </c>
      <c r="E145" s="91">
        <v>2.2999999999999998</v>
      </c>
      <c r="F145" s="92">
        <v>3.0000000000000001E-3</v>
      </c>
      <c r="G145" s="92">
        <v>2.2989999999999999</v>
      </c>
      <c r="H145" s="88"/>
      <c r="I145" s="91">
        <v>86.8</v>
      </c>
      <c r="J145" s="92">
        <v>1.903355455029452</v>
      </c>
      <c r="K145" s="88"/>
      <c r="L145" s="88" t="s">
        <v>193</v>
      </c>
    </row>
    <row r="146" spans="1:12" ht="13" customHeight="1">
      <c r="A146" s="83" t="s">
        <v>358</v>
      </c>
      <c r="B146" s="84">
        <v>45734</v>
      </c>
      <c r="C146" s="85">
        <v>0.59236111111111112</v>
      </c>
      <c r="D146" s="86">
        <v>0.1</v>
      </c>
      <c r="E146" s="86">
        <v>1.89</v>
      </c>
      <c r="F146" s="87">
        <v>3.0000000000000001E-3</v>
      </c>
      <c r="G146" s="87">
        <v>1.889</v>
      </c>
      <c r="H146" s="94">
        <v>3.602264969278365</v>
      </c>
      <c r="I146" s="86">
        <v>14.4</v>
      </c>
      <c r="J146" s="87">
        <v>0.3157640386223976</v>
      </c>
      <c r="K146" s="83" t="s">
        <v>359</v>
      </c>
      <c r="L146" s="83" t="s">
        <v>193</v>
      </c>
    </row>
    <row r="147" spans="1:12" ht="13" customHeight="1">
      <c r="A147" s="88" t="s">
        <v>360</v>
      </c>
      <c r="B147" s="89"/>
      <c r="C147" s="88"/>
      <c r="D147" s="91">
        <v>0.28000000000000003</v>
      </c>
      <c r="E147" s="91">
        <v>4.16</v>
      </c>
      <c r="F147" s="92">
        <v>3.0000000000000001E-3</v>
      </c>
      <c r="G147" s="92">
        <v>4.157</v>
      </c>
      <c r="H147" s="88"/>
      <c r="I147" s="91">
        <v>75.400000000000006</v>
      </c>
      <c r="J147" s="92">
        <v>1.6533755911200541</v>
      </c>
      <c r="K147" s="88"/>
      <c r="L147" s="88" t="s">
        <v>193</v>
      </c>
    </row>
    <row r="148" spans="1:12" ht="13" customHeight="1">
      <c r="A148" s="83" t="s">
        <v>31</v>
      </c>
      <c r="B148" s="84">
        <v>45805</v>
      </c>
      <c r="C148" s="85">
        <v>0.51666666666666672</v>
      </c>
      <c r="D148" s="86">
        <v>0.25</v>
      </c>
      <c r="E148" s="86">
        <v>4.7</v>
      </c>
      <c r="F148" s="83"/>
      <c r="G148" s="83"/>
      <c r="H148" s="83"/>
      <c r="I148" s="86">
        <v>20.3</v>
      </c>
      <c r="J148" s="87">
        <v>0.44513958222463001</v>
      </c>
      <c r="K148" s="83"/>
      <c r="L148" s="83" t="s">
        <v>188</v>
      </c>
    </row>
    <row r="149" spans="1:12" ht="13" customHeight="1">
      <c r="A149" s="88" t="s">
        <v>32</v>
      </c>
      <c r="B149" s="89">
        <v>45805</v>
      </c>
      <c r="C149" s="90">
        <v>0.51666666666666672</v>
      </c>
      <c r="D149" s="91">
        <v>0.16</v>
      </c>
      <c r="E149" s="91">
        <v>2.87</v>
      </c>
      <c r="F149" s="88"/>
      <c r="G149" s="88"/>
      <c r="H149" s="93">
        <v>5.9</v>
      </c>
      <c r="I149" s="91">
        <v>38</v>
      </c>
      <c r="J149" s="92">
        <v>0.83326621303132709</v>
      </c>
      <c r="K149" s="88"/>
      <c r="L149" s="88" t="s">
        <v>188</v>
      </c>
    </row>
    <row r="150" spans="1:12" ht="13" customHeight="1">
      <c r="A150" s="83" t="s">
        <v>33</v>
      </c>
      <c r="B150" s="84">
        <v>45805</v>
      </c>
      <c r="C150" s="85">
        <v>0.51666666666666672</v>
      </c>
      <c r="D150" s="86">
        <v>0.19</v>
      </c>
      <c r="E150" s="86">
        <v>3.5</v>
      </c>
      <c r="F150" s="83"/>
      <c r="G150" s="83"/>
      <c r="H150" s="83"/>
      <c r="I150" s="86">
        <v>38.6</v>
      </c>
      <c r="J150" s="87">
        <v>0.84642304797392698</v>
      </c>
      <c r="K150" s="83"/>
      <c r="L150" s="83" t="s">
        <v>188</v>
      </c>
    </row>
    <row r="151" spans="1:12" ht="13" customHeight="1">
      <c r="A151" s="88" t="s">
        <v>34</v>
      </c>
      <c r="B151" s="89">
        <v>45805</v>
      </c>
      <c r="C151" s="90">
        <v>0.51666666666666672</v>
      </c>
      <c r="D151" s="91">
        <v>0.17</v>
      </c>
      <c r="E151" s="91">
        <v>3.27</v>
      </c>
      <c r="F151" s="88"/>
      <c r="G151" s="88"/>
      <c r="H151" s="88"/>
      <c r="I151" s="91">
        <v>45.599999999999987</v>
      </c>
      <c r="J151" s="92">
        <v>0.99991945563759232</v>
      </c>
      <c r="K151" s="88"/>
      <c r="L151" s="88" t="s">
        <v>188</v>
      </c>
    </row>
    <row r="152" spans="1:12" ht="13" customHeight="1">
      <c r="A152" s="83" t="s">
        <v>35</v>
      </c>
      <c r="B152" s="84">
        <v>45805</v>
      </c>
      <c r="C152" s="85">
        <v>0.51666666666666672</v>
      </c>
      <c r="D152" s="86">
        <v>0.22</v>
      </c>
      <c r="E152" s="86">
        <v>4.5</v>
      </c>
      <c r="F152" s="83"/>
      <c r="G152" s="83"/>
      <c r="H152" s="83"/>
      <c r="I152" s="86">
        <v>32.200000000000003</v>
      </c>
      <c r="J152" s="87">
        <v>0.70608347525286141</v>
      </c>
      <c r="K152" s="83"/>
      <c r="L152" s="83" t="s">
        <v>188</v>
      </c>
    </row>
    <row r="153" spans="1:12" ht="13" customHeight="1">
      <c r="A153" s="88" t="s">
        <v>36</v>
      </c>
      <c r="B153" s="89">
        <v>45805</v>
      </c>
      <c r="C153" s="90">
        <v>0.51666666666666672</v>
      </c>
      <c r="D153" s="91">
        <v>0.19</v>
      </c>
      <c r="E153" s="91">
        <v>3.82</v>
      </c>
      <c r="F153" s="88"/>
      <c r="G153" s="88"/>
      <c r="H153" s="88"/>
      <c r="I153" s="91">
        <v>40.299999999999997</v>
      </c>
      <c r="J153" s="92">
        <v>0.88370074697795997</v>
      </c>
      <c r="K153" s="88"/>
      <c r="L153" s="88" t="s">
        <v>188</v>
      </c>
    </row>
    <row r="154" spans="1:12" ht="13" customHeight="1">
      <c r="A154" s="83" t="s">
        <v>37</v>
      </c>
      <c r="B154" s="84">
        <v>45805</v>
      </c>
      <c r="C154" s="85">
        <v>0.51666666666666672</v>
      </c>
      <c r="D154" s="86">
        <v>0.19</v>
      </c>
      <c r="E154" s="86">
        <v>3.57</v>
      </c>
      <c r="F154" s="83"/>
      <c r="G154" s="83"/>
      <c r="H154" s="94">
        <v>5.8</v>
      </c>
      <c r="I154" s="86">
        <v>39.299999999999997</v>
      </c>
      <c r="J154" s="87">
        <v>0.86177268874029345</v>
      </c>
      <c r="K154" s="83"/>
      <c r="L154" s="83" t="s">
        <v>188</v>
      </c>
    </row>
    <row r="155" spans="1:12" ht="13" customHeight="1">
      <c r="A155" s="88" t="s">
        <v>38</v>
      </c>
      <c r="B155" s="89">
        <v>45805</v>
      </c>
      <c r="C155" s="90">
        <v>0.51666666666666672</v>
      </c>
      <c r="D155" s="91">
        <v>0.13</v>
      </c>
      <c r="E155" s="91">
        <v>2.46</v>
      </c>
      <c r="F155" s="88"/>
      <c r="G155" s="88"/>
      <c r="H155" s="88"/>
      <c r="I155" s="91">
        <v>45.1</v>
      </c>
      <c r="J155" s="92">
        <v>0.98895542651875923</v>
      </c>
      <c r="K155" s="88"/>
      <c r="L155" s="88" t="s">
        <v>188</v>
      </c>
    </row>
    <row r="156" spans="1:12" ht="13" customHeight="1">
      <c r="A156" s="83" t="s">
        <v>39</v>
      </c>
      <c r="B156" s="84">
        <v>45805</v>
      </c>
      <c r="C156" s="85">
        <v>0.51666666666666672</v>
      </c>
      <c r="D156" s="86">
        <v>0.17</v>
      </c>
      <c r="E156" s="86">
        <v>3.09</v>
      </c>
      <c r="F156" s="87">
        <v>5.0000000000000001E-3</v>
      </c>
      <c r="G156" s="87">
        <v>3.085</v>
      </c>
      <c r="H156" s="83"/>
      <c r="I156" s="86">
        <v>43.3</v>
      </c>
      <c r="J156" s="87">
        <v>0.94948492169095944</v>
      </c>
      <c r="K156" s="83"/>
      <c r="L156" s="83" t="s">
        <v>188</v>
      </c>
    </row>
    <row r="157" spans="1:12" ht="13" customHeight="1">
      <c r="A157" s="88" t="s">
        <v>40</v>
      </c>
      <c r="B157" s="89">
        <v>45805</v>
      </c>
      <c r="C157" s="90">
        <v>0.51666666666666672</v>
      </c>
      <c r="D157" s="91">
        <v>0.18</v>
      </c>
      <c r="E157" s="91">
        <v>3.63</v>
      </c>
      <c r="F157" s="88"/>
      <c r="G157" s="88"/>
      <c r="H157" s="88"/>
      <c r="I157" s="91">
        <v>47.3</v>
      </c>
      <c r="J157" s="92">
        <v>1.037197154641625</v>
      </c>
      <c r="K157" s="88"/>
      <c r="L157" s="88" t="s">
        <v>188</v>
      </c>
    </row>
    <row r="158" spans="1:12" ht="13" customHeight="1">
      <c r="A158" s="83" t="s">
        <v>41</v>
      </c>
      <c r="B158" s="84">
        <v>45805</v>
      </c>
      <c r="C158" s="85">
        <v>0.51666666666666672</v>
      </c>
      <c r="D158" s="86">
        <v>0.14000000000000001</v>
      </c>
      <c r="E158" s="86">
        <v>2.64</v>
      </c>
      <c r="F158" s="83"/>
      <c r="G158" s="83"/>
      <c r="H158" s="83"/>
      <c r="I158" s="86">
        <v>99.5</v>
      </c>
      <c r="J158" s="87">
        <v>2.1818417946478168</v>
      </c>
      <c r="K158" s="83"/>
      <c r="L158" s="83" t="s">
        <v>188</v>
      </c>
    </row>
    <row r="159" spans="1:12" ht="13" customHeight="1">
      <c r="A159" s="88" t="s">
        <v>42</v>
      </c>
      <c r="B159" s="89">
        <v>45805</v>
      </c>
      <c r="C159" s="90">
        <v>0.51666666666666672</v>
      </c>
      <c r="D159" s="91">
        <v>0.18</v>
      </c>
      <c r="E159" s="91">
        <v>3.05</v>
      </c>
      <c r="F159" s="88"/>
      <c r="G159" s="88"/>
      <c r="H159" s="93">
        <v>5.7</v>
      </c>
      <c r="I159" s="91">
        <v>88.899999999999991</v>
      </c>
      <c r="J159" s="92">
        <v>1.9494043773285521</v>
      </c>
      <c r="K159" s="88"/>
      <c r="L159" s="88" t="s">
        <v>188</v>
      </c>
    </row>
    <row r="160" spans="1:12" ht="13" customHeight="1">
      <c r="A160" s="83" t="s">
        <v>43</v>
      </c>
      <c r="B160" s="84">
        <v>45805</v>
      </c>
      <c r="C160" s="85">
        <v>0.51666666666666672</v>
      </c>
      <c r="D160" s="86">
        <v>0.11</v>
      </c>
      <c r="E160" s="86">
        <v>1.81</v>
      </c>
      <c r="F160" s="83"/>
      <c r="G160" s="83"/>
      <c r="H160" s="83"/>
      <c r="I160" s="86">
        <v>100.1</v>
      </c>
      <c r="J160" s="87">
        <v>2.1949986295904171</v>
      </c>
      <c r="K160" s="83"/>
      <c r="L160" s="83" t="s">
        <v>188</v>
      </c>
    </row>
    <row r="161" spans="1:12" ht="13" customHeight="1">
      <c r="A161" s="88" t="s">
        <v>44</v>
      </c>
      <c r="B161" s="89">
        <v>45805</v>
      </c>
      <c r="C161" s="90">
        <v>0.51666666666666672</v>
      </c>
      <c r="D161" s="91">
        <v>7.0000000000000007E-2</v>
      </c>
      <c r="E161" s="91">
        <v>1.31</v>
      </c>
      <c r="F161" s="88"/>
      <c r="G161" s="88"/>
      <c r="H161" s="88"/>
      <c r="I161" s="91">
        <v>110.5</v>
      </c>
      <c r="J161" s="92">
        <v>2.423050435262148</v>
      </c>
      <c r="K161" s="88"/>
      <c r="L161" s="88" t="s">
        <v>188</v>
      </c>
    </row>
    <row r="162" spans="1:12" ht="13" customHeight="1">
      <c r="A162" s="83" t="s">
        <v>45</v>
      </c>
      <c r="B162" s="84">
        <v>45805</v>
      </c>
      <c r="C162" s="85">
        <v>0.51666666666666672</v>
      </c>
      <c r="D162" s="86">
        <v>0.08</v>
      </c>
      <c r="E162" s="86">
        <v>1.56</v>
      </c>
      <c r="F162" s="83"/>
      <c r="G162" s="83"/>
      <c r="H162" s="83"/>
      <c r="I162" s="86">
        <v>113.8</v>
      </c>
      <c r="J162" s="87">
        <v>2.4954130274464479</v>
      </c>
      <c r="K162" s="83"/>
      <c r="L162" s="83" t="s">
        <v>188</v>
      </c>
    </row>
    <row r="163" spans="1:12" ht="13" customHeight="1">
      <c r="A163" s="88" t="s">
        <v>46</v>
      </c>
      <c r="B163" s="89">
        <v>45805</v>
      </c>
      <c r="C163" s="90">
        <v>0.51666666666666672</v>
      </c>
      <c r="D163" s="91">
        <v>0.13</v>
      </c>
      <c r="E163" s="91">
        <v>2.17</v>
      </c>
      <c r="F163" s="88"/>
      <c r="G163" s="88"/>
      <c r="H163" s="88"/>
      <c r="I163" s="91">
        <v>98.7</v>
      </c>
      <c r="J163" s="92">
        <v>2.1642993480576842</v>
      </c>
      <c r="K163" s="88"/>
      <c r="L163" s="88" t="s">
        <v>188</v>
      </c>
    </row>
    <row r="164" spans="1:12" ht="13" customHeight="1">
      <c r="A164" s="83" t="s">
        <v>47</v>
      </c>
      <c r="B164" s="84">
        <v>45805</v>
      </c>
      <c r="C164" s="85">
        <v>0.51666666666666672</v>
      </c>
      <c r="D164" s="86">
        <v>0.09</v>
      </c>
      <c r="E164" s="86">
        <v>1.69</v>
      </c>
      <c r="F164" s="83"/>
      <c r="G164" s="83"/>
      <c r="H164" s="94">
        <v>3.7</v>
      </c>
      <c r="I164" s="86">
        <v>101.3</v>
      </c>
      <c r="J164" s="87">
        <v>2.221312299475616</v>
      </c>
      <c r="K164" s="83"/>
      <c r="L164" s="83" t="s">
        <v>188</v>
      </c>
    </row>
    <row r="165" spans="1:12" ht="13" customHeight="1">
      <c r="A165" s="88" t="s">
        <v>48</v>
      </c>
      <c r="B165" s="89">
        <v>45805</v>
      </c>
      <c r="C165" s="90">
        <v>0.51666666666666672</v>
      </c>
      <c r="D165" s="91">
        <v>7.0000000000000007E-2</v>
      </c>
      <c r="E165" s="91">
        <v>1.41</v>
      </c>
      <c r="F165" s="92">
        <v>4.0000000000000001E-3</v>
      </c>
      <c r="G165" s="92">
        <v>1.4059999999999999</v>
      </c>
      <c r="H165" s="88"/>
      <c r="I165" s="91">
        <v>108</v>
      </c>
      <c r="J165" s="92">
        <v>2.3682302896679821</v>
      </c>
      <c r="K165" s="88"/>
      <c r="L165" s="88" t="s">
        <v>188</v>
      </c>
    </row>
    <row r="166" spans="1:12" ht="13" customHeight="1">
      <c r="A166" s="83" t="s">
        <v>49</v>
      </c>
      <c r="B166" s="84">
        <v>45805</v>
      </c>
      <c r="C166" s="85">
        <v>0.51666666666666672</v>
      </c>
      <c r="D166" s="86">
        <v>0.1</v>
      </c>
      <c r="E166" s="86">
        <v>1.97</v>
      </c>
      <c r="F166" s="83"/>
      <c r="G166" s="83"/>
      <c r="H166" s="83"/>
      <c r="I166" s="86">
        <v>108.7</v>
      </c>
      <c r="J166" s="87">
        <v>2.3835799304343488</v>
      </c>
      <c r="K166" s="83"/>
      <c r="L166" s="83" t="s">
        <v>188</v>
      </c>
    </row>
    <row r="167" spans="1:12" ht="13" customHeight="1">
      <c r="A167" s="88" t="s">
        <v>50</v>
      </c>
      <c r="B167" s="89">
        <v>45805</v>
      </c>
      <c r="C167" s="90">
        <v>0.51666666666666672</v>
      </c>
      <c r="D167" s="91">
        <v>0.1</v>
      </c>
      <c r="E167" s="91">
        <v>1.76</v>
      </c>
      <c r="F167" s="88"/>
      <c r="G167" s="88"/>
      <c r="H167" s="88"/>
      <c r="I167" s="91">
        <v>104.4</v>
      </c>
      <c r="J167" s="92">
        <v>2.2892892800123832</v>
      </c>
      <c r="K167" s="88"/>
      <c r="L167" s="88" t="s">
        <v>188</v>
      </c>
    </row>
    <row r="168" spans="1:12" ht="13" customHeight="1">
      <c r="A168" s="83" t="s">
        <v>51</v>
      </c>
      <c r="B168" s="84">
        <v>45805</v>
      </c>
      <c r="C168" s="85">
        <v>0.51666666666666672</v>
      </c>
      <c r="D168" s="86">
        <v>7.0000000000000007E-2</v>
      </c>
      <c r="E168" s="86">
        <v>1.05</v>
      </c>
      <c r="F168" s="83"/>
      <c r="G168" s="83"/>
      <c r="H168" s="83"/>
      <c r="I168" s="86">
        <v>123.2</v>
      </c>
      <c r="J168" s="87">
        <v>2.701536774880513</v>
      </c>
      <c r="K168" s="83"/>
      <c r="L168" s="83" t="s">
        <v>188</v>
      </c>
    </row>
    <row r="169" spans="1:12" ht="13" customHeight="1">
      <c r="A169" s="88" t="s">
        <v>52</v>
      </c>
      <c r="B169" s="89">
        <v>45805</v>
      </c>
      <c r="C169" s="90">
        <v>0.51666666666666672</v>
      </c>
      <c r="D169" s="91">
        <v>0.12</v>
      </c>
      <c r="E169" s="91">
        <v>1.85</v>
      </c>
      <c r="F169" s="88"/>
      <c r="G169" s="88"/>
      <c r="H169" s="93">
        <v>3.9</v>
      </c>
      <c r="I169" s="91">
        <v>103.3</v>
      </c>
      <c r="J169" s="92">
        <v>2.2651684159509502</v>
      </c>
      <c r="K169" s="88"/>
      <c r="L169" s="88" t="s">
        <v>188</v>
      </c>
    </row>
    <row r="170" spans="1:12" ht="13" customHeight="1">
      <c r="A170" s="83" t="s">
        <v>53</v>
      </c>
      <c r="B170" s="84">
        <v>45805</v>
      </c>
      <c r="C170" s="85">
        <v>0.51666666666666672</v>
      </c>
      <c r="D170" s="86">
        <v>0.12</v>
      </c>
      <c r="E170" s="86">
        <v>2.14</v>
      </c>
      <c r="F170" s="83"/>
      <c r="G170" s="83"/>
      <c r="H170" s="83"/>
      <c r="I170" s="86">
        <v>102.4</v>
      </c>
      <c r="J170" s="87">
        <v>2.2454331635370499</v>
      </c>
      <c r="K170" s="83"/>
      <c r="L170" s="83" t="s">
        <v>188</v>
      </c>
    </row>
    <row r="171" spans="1:12" ht="13" customHeight="1">
      <c r="A171" s="88" t="s">
        <v>54</v>
      </c>
      <c r="B171" s="89">
        <v>45805</v>
      </c>
      <c r="C171" s="90">
        <v>0.51666666666666672</v>
      </c>
      <c r="D171" s="91">
        <v>0.09</v>
      </c>
      <c r="E171" s="91">
        <v>1.27</v>
      </c>
      <c r="F171" s="88"/>
      <c r="G171" s="88"/>
      <c r="H171" s="88"/>
      <c r="I171" s="91">
        <v>115.5</v>
      </c>
      <c r="J171" s="92">
        <v>2.5326907264504812</v>
      </c>
      <c r="K171" s="88"/>
      <c r="L171" s="88" t="s">
        <v>188</v>
      </c>
    </row>
    <row r="172" spans="1:12" ht="13" customHeight="1">
      <c r="A172" s="83" t="s">
        <v>55</v>
      </c>
      <c r="B172" s="84">
        <v>45805</v>
      </c>
      <c r="C172" s="85">
        <v>0.51666666666666672</v>
      </c>
      <c r="D172" s="86">
        <v>7.0000000000000007E-2</v>
      </c>
      <c r="E172" s="86">
        <v>1.04</v>
      </c>
      <c r="F172" s="83"/>
      <c r="G172" s="83"/>
      <c r="H172" s="83"/>
      <c r="I172" s="86">
        <v>116.5</v>
      </c>
      <c r="J172" s="87">
        <v>2.554618784688147</v>
      </c>
      <c r="K172" s="83"/>
      <c r="L172" s="83" t="s">
        <v>188</v>
      </c>
    </row>
    <row r="173" spans="1:12" ht="13" customHeight="1">
      <c r="A173" s="88" t="s">
        <v>56</v>
      </c>
      <c r="B173" s="89">
        <v>45805</v>
      </c>
      <c r="C173" s="90">
        <v>0.51666666666666672</v>
      </c>
      <c r="D173" s="91">
        <v>0.11</v>
      </c>
      <c r="E173" s="91">
        <v>1.82</v>
      </c>
      <c r="F173" s="88"/>
      <c r="G173" s="88"/>
      <c r="H173" s="88"/>
      <c r="I173" s="91">
        <v>99.8</v>
      </c>
      <c r="J173" s="92">
        <v>2.1884202121191172</v>
      </c>
      <c r="K173" s="88"/>
      <c r="L173" s="88" t="s">
        <v>188</v>
      </c>
    </row>
    <row r="174" spans="1:12" ht="13" customHeight="1">
      <c r="A174" s="83" t="s">
        <v>57</v>
      </c>
      <c r="B174" s="84">
        <v>45805</v>
      </c>
      <c r="C174" s="85">
        <v>0.51666666666666672</v>
      </c>
      <c r="D174" s="86">
        <v>0.09</v>
      </c>
      <c r="E174" s="86">
        <v>1.3</v>
      </c>
      <c r="F174" s="87">
        <v>4.0000000000000001E-3</v>
      </c>
      <c r="G174" s="87">
        <v>1.296</v>
      </c>
      <c r="H174" s="94">
        <v>2.9</v>
      </c>
      <c r="I174" s="86">
        <v>108.5</v>
      </c>
      <c r="J174" s="87">
        <v>2.3791943187868152</v>
      </c>
      <c r="K174" s="83"/>
      <c r="L174" s="83" t="s">
        <v>188</v>
      </c>
    </row>
    <row r="175" spans="1:12" ht="13" customHeight="1">
      <c r="A175" s="88" t="s">
        <v>58</v>
      </c>
      <c r="B175" s="89">
        <v>45805</v>
      </c>
      <c r="C175" s="90">
        <v>0.51666666666666672</v>
      </c>
      <c r="D175" s="91">
        <v>0.13</v>
      </c>
      <c r="E175" s="91">
        <v>1.98</v>
      </c>
      <c r="F175" s="88"/>
      <c r="G175" s="88"/>
      <c r="H175" s="88"/>
      <c r="I175" s="91">
        <v>101.7</v>
      </c>
      <c r="J175" s="92">
        <v>2.2300835227706828</v>
      </c>
      <c r="K175" s="88"/>
      <c r="L175" s="88" t="s">
        <v>188</v>
      </c>
    </row>
    <row r="176" spans="1:12" ht="13" customHeight="1">
      <c r="A176" s="83" t="s">
        <v>59</v>
      </c>
      <c r="B176" s="84">
        <v>45805</v>
      </c>
      <c r="C176" s="85">
        <v>0.44583333333333341</v>
      </c>
      <c r="D176" s="86">
        <v>0.12</v>
      </c>
      <c r="E176" s="86">
        <v>1.26</v>
      </c>
      <c r="F176" s="83"/>
      <c r="G176" s="83"/>
      <c r="H176" s="83"/>
      <c r="I176" s="86">
        <v>68.900000000000006</v>
      </c>
      <c r="J176" s="87">
        <v>1.510843212575222</v>
      </c>
      <c r="K176" s="83"/>
      <c r="L176" s="83" t="s">
        <v>188</v>
      </c>
    </row>
    <row r="177" spans="1:12" ht="13" customHeight="1">
      <c r="A177" s="88" t="s">
        <v>60</v>
      </c>
      <c r="B177" s="89">
        <v>45805</v>
      </c>
      <c r="C177" s="90">
        <v>0.44583333333333341</v>
      </c>
      <c r="D177" s="91">
        <v>0.11</v>
      </c>
      <c r="E177" s="91">
        <v>1.23</v>
      </c>
      <c r="F177" s="88"/>
      <c r="G177" s="88"/>
      <c r="H177" s="93">
        <v>2.6</v>
      </c>
      <c r="I177" s="91">
        <v>42.900000000000013</v>
      </c>
      <c r="J177" s="92">
        <v>0.94071369839589303</v>
      </c>
      <c r="K177" s="88"/>
      <c r="L177" s="88" t="s">
        <v>188</v>
      </c>
    </row>
    <row r="178" spans="1:12" ht="13" customHeight="1">
      <c r="A178" s="83" t="s">
        <v>61</v>
      </c>
      <c r="B178" s="84">
        <v>45805</v>
      </c>
      <c r="C178" s="85">
        <v>0.44583333333333341</v>
      </c>
      <c r="D178" s="86">
        <v>0.11</v>
      </c>
      <c r="E178" s="86">
        <v>1.28</v>
      </c>
      <c r="F178" s="83"/>
      <c r="G178" s="83"/>
      <c r="H178" s="83"/>
      <c r="I178" s="86">
        <v>63.1</v>
      </c>
      <c r="J178" s="87">
        <v>1.383660474796756</v>
      </c>
      <c r="K178" s="83"/>
      <c r="L178" s="83" t="s">
        <v>188</v>
      </c>
    </row>
    <row r="179" spans="1:12" ht="13" customHeight="1">
      <c r="A179" s="88" t="s">
        <v>62</v>
      </c>
      <c r="B179" s="89">
        <v>45805</v>
      </c>
      <c r="C179" s="90">
        <v>0.44583333333333341</v>
      </c>
      <c r="D179" s="91">
        <v>0.1</v>
      </c>
      <c r="E179" s="91">
        <v>1.1499999999999999</v>
      </c>
      <c r="F179" s="88"/>
      <c r="G179" s="88"/>
      <c r="H179" s="88"/>
      <c r="I179" s="91">
        <v>43.8</v>
      </c>
      <c r="J179" s="92">
        <v>0.96044895080979287</v>
      </c>
      <c r="K179" s="88"/>
      <c r="L179" s="88" t="s">
        <v>188</v>
      </c>
    </row>
    <row r="180" spans="1:12" ht="13" customHeight="1">
      <c r="A180" s="83" t="s">
        <v>63</v>
      </c>
      <c r="B180" s="84">
        <v>45805</v>
      </c>
      <c r="C180" s="85">
        <v>0.44583333333333341</v>
      </c>
      <c r="D180" s="86">
        <v>0.1</v>
      </c>
      <c r="E180" s="86">
        <v>1.23</v>
      </c>
      <c r="F180" s="83"/>
      <c r="G180" s="83"/>
      <c r="H180" s="83"/>
      <c r="I180" s="86">
        <v>69.5</v>
      </c>
      <c r="J180" s="87">
        <v>1.5240000475178219</v>
      </c>
      <c r="K180" s="83"/>
      <c r="L180" s="83" t="s">
        <v>188</v>
      </c>
    </row>
    <row r="181" spans="1:12" ht="13" customHeight="1">
      <c r="A181" s="88" t="s">
        <v>64</v>
      </c>
      <c r="B181" s="89">
        <v>45805</v>
      </c>
      <c r="C181" s="90">
        <v>0.44583333333333341</v>
      </c>
      <c r="D181" s="91">
        <v>0.09</v>
      </c>
      <c r="E181" s="91">
        <v>1.19</v>
      </c>
      <c r="F181" s="88"/>
      <c r="G181" s="88"/>
      <c r="H181" s="88"/>
      <c r="I181" s="91">
        <v>58.9</v>
      </c>
      <c r="J181" s="92">
        <v>1.291562630198557</v>
      </c>
      <c r="K181" s="88"/>
      <c r="L181" s="88" t="s">
        <v>188</v>
      </c>
    </row>
    <row r="182" spans="1:12" ht="13" customHeight="1">
      <c r="A182" s="83" t="s">
        <v>65</v>
      </c>
      <c r="B182" s="84">
        <v>45805</v>
      </c>
      <c r="C182" s="85">
        <v>0.44583333333333341</v>
      </c>
      <c r="D182" s="86">
        <v>0.1</v>
      </c>
      <c r="E182" s="86">
        <v>1.45</v>
      </c>
      <c r="F182" s="83"/>
      <c r="G182" s="83"/>
      <c r="H182" s="94">
        <v>2.9</v>
      </c>
      <c r="I182" s="86">
        <v>53.8</v>
      </c>
      <c r="J182" s="87">
        <v>1.1797295331864579</v>
      </c>
      <c r="K182" s="83"/>
      <c r="L182" s="83" t="s">
        <v>188</v>
      </c>
    </row>
    <row r="183" spans="1:12" ht="13" customHeight="1">
      <c r="A183" s="88" t="s">
        <v>66</v>
      </c>
      <c r="B183" s="89">
        <v>45805</v>
      </c>
      <c r="C183" s="90">
        <v>0.44583333333333341</v>
      </c>
      <c r="D183" s="91">
        <v>0.1</v>
      </c>
      <c r="E183" s="91">
        <v>1.37</v>
      </c>
      <c r="F183" s="92">
        <v>3.0000000000000001E-3</v>
      </c>
      <c r="G183" s="92">
        <v>1.367</v>
      </c>
      <c r="H183" s="88"/>
      <c r="I183" s="91">
        <v>53.2</v>
      </c>
      <c r="J183" s="92">
        <v>1.166572698243858</v>
      </c>
      <c r="K183" s="88"/>
      <c r="L183" s="88" t="s">
        <v>188</v>
      </c>
    </row>
    <row r="184" spans="1:12" ht="13" customHeight="1">
      <c r="A184" s="83" t="s">
        <v>67</v>
      </c>
      <c r="B184" s="84">
        <v>45805</v>
      </c>
      <c r="C184" s="85">
        <v>0.44583333333333341</v>
      </c>
      <c r="D184" s="86">
        <v>0.1</v>
      </c>
      <c r="E184" s="86">
        <v>1.62</v>
      </c>
      <c r="F184" s="83"/>
      <c r="G184" s="83"/>
      <c r="H184" s="83"/>
      <c r="I184" s="86">
        <v>54.2</v>
      </c>
      <c r="J184" s="87">
        <v>1.188500756481524</v>
      </c>
      <c r="K184" s="83"/>
      <c r="L184" s="83" t="s">
        <v>188</v>
      </c>
    </row>
    <row r="185" spans="1:12" ht="13" customHeight="1">
      <c r="A185" s="88" t="s">
        <v>68</v>
      </c>
      <c r="B185" s="89">
        <v>45805</v>
      </c>
      <c r="C185" s="90">
        <v>0.44583333333333341</v>
      </c>
      <c r="D185" s="91">
        <v>0.09</v>
      </c>
      <c r="E185" s="91">
        <v>1.46</v>
      </c>
      <c r="F185" s="88"/>
      <c r="G185" s="88"/>
      <c r="H185" s="88"/>
      <c r="I185" s="91">
        <v>64.5</v>
      </c>
      <c r="J185" s="92">
        <v>1.414359756329489</v>
      </c>
      <c r="K185" s="88"/>
      <c r="L185" s="88" t="s">
        <v>188</v>
      </c>
    </row>
    <row r="186" spans="1:12" ht="13" customHeight="1">
      <c r="A186" s="83" t="s">
        <v>69</v>
      </c>
      <c r="B186" s="84">
        <v>45805</v>
      </c>
      <c r="C186" s="85">
        <v>0.44583333333333341</v>
      </c>
      <c r="D186" s="86">
        <v>0.13</v>
      </c>
      <c r="E186" s="86">
        <v>2.2599999999999998</v>
      </c>
      <c r="F186" s="83"/>
      <c r="G186" s="83"/>
      <c r="H186" s="83"/>
      <c r="I186" s="86">
        <v>102.6</v>
      </c>
      <c r="J186" s="87">
        <v>2.2498187751845831</v>
      </c>
      <c r="K186" s="83"/>
      <c r="L186" s="83" t="s">
        <v>188</v>
      </c>
    </row>
    <row r="187" spans="1:12" ht="13" customHeight="1">
      <c r="A187" s="88" t="s">
        <v>70</v>
      </c>
      <c r="B187" s="89">
        <v>45805</v>
      </c>
      <c r="C187" s="90">
        <v>0.44583333333333341</v>
      </c>
      <c r="D187" s="91">
        <v>0.11</v>
      </c>
      <c r="E187" s="91">
        <v>1.64</v>
      </c>
      <c r="F187" s="88"/>
      <c r="G187" s="88"/>
      <c r="H187" s="93">
        <v>3.2</v>
      </c>
      <c r="I187" s="91">
        <v>106.5</v>
      </c>
      <c r="J187" s="92">
        <v>2.3353382023114819</v>
      </c>
      <c r="K187" s="88"/>
      <c r="L187" s="88" t="s">
        <v>188</v>
      </c>
    </row>
    <row r="188" spans="1:12" ht="13" customHeight="1">
      <c r="A188" s="83" t="s">
        <v>71</v>
      </c>
      <c r="B188" s="84">
        <v>45805</v>
      </c>
      <c r="C188" s="85">
        <v>0.44583333333333341</v>
      </c>
      <c r="D188" s="86">
        <v>0.1</v>
      </c>
      <c r="E188" s="86">
        <v>1.62</v>
      </c>
      <c r="F188" s="83"/>
      <c r="G188" s="83"/>
      <c r="H188" s="83"/>
      <c r="I188" s="86">
        <v>126.6</v>
      </c>
      <c r="J188" s="87">
        <v>2.7760921728885801</v>
      </c>
      <c r="K188" s="83"/>
      <c r="L188" s="83" t="s">
        <v>188</v>
      </c>
    </row>
    <row r="189" spans="1:12" ht="13" customHeight="1">
      <c r="A189" s="88" t="s">
        <v>72</v>
      </c>
      <c r="B189" s="89">
        <v>45805</v>
      </c>
      <c r="C189" s="90">
        <v>0.44583333333333341</v>
      </c>
      <c r="D189" s="91">
        <v>0.05</v>
      </c>
      <c r="E189" s="91">
        <v>0.54</v>
      </c>
      <c r="F189" s="88"/>
      <c r="G189" s="88"/>
      <c r="H189" s="88"/>
      <c r="I189" s="91">
        <v>169.1</v>
      </c>
      <c r="J189" s="92">
        <v>3.7080346479894049</v>
      </c>
      <c r="K189" s="88"/>
      <c r="L189" s="88" t="s">
        <v>188</v>
      </c>
    </row>
    <row r="190" spans="1:12" ht="13" customHeight="1">
      <c r="A190" s="83" t="s">
        <v>73</v>
      </c>
      <c r="B190" s="84">
        <v>45805</v>
      </c>
      <c r="C190" s="85">
        <v>0.44583333333333341</v>
      </c>
      <c r="D190" s="86">
        <v>0.05</v>
      </c>
      <c r="E190" s="86">
        <v>0.54</v>
      </c>
      <c r="F190" s="83"/>
      <c r="G190" s="83"/>
      <c r="H190" s="83"/>
      <c r="I190" s="86">
        <v>149.9</v>
      </c>
      <c r="J190" s="87">
        <v>3.2870159298262078</v>
      </c>
      <c r="K190" s="83"/>
      <c r="L190" s="83" t="s">
        <v>188</v>
      </c>
    </row>
    <row r="191" spans="1:12" ht="13" customHeight="1">
      <c r="A191" s="88" t="s">
        <v>74</v>
      </c>
      <c r="B191" s="89">
        <v>45805</v>
      </c>
      <c r="C191" s="90">
        <v>0.44583333333333341</v>
      </c>
      <c r="D191" s="91">
        <v>0.06</v>
      </c>
      <c r="E191" s="91">
        <v>0.71</v>
      </c>
      <c r="F191" s="88"/>
      <c r="G191" s="88"/>
      <c r="H191" s="88"/>
      <c r="I191" s="91">
        <v>169.1</v>
      </c>
      <c r="J191" s="92">
        <v>3.7080346479894049</v>
      </c>
      <c r="K191" s="88"/>
      <c r="L191" s="88" t="s">
        <v>188</v>
      </c>
    </row>
    <row r="192" spans="1:12" ht="13" customHeight="1">
      <c r="A192" s="83" t="s">
        <v>75</v>
      </c>
      <c r="B192" s="84">
        <v>45805</v>
      </c>
      <c r="C192" s="85">
        <v>0.44583333333333341</v>
      </c>
      <c r="D192" s="86">
        <v>0.06</v>
      </c>
      <c r="E192" s="86">
        <v>0.86</v>
      </c>
      <c r="F192" s="87">
        <v>2E-3</v>
      </c>
      <c r="G192" s="87">
        <v>0.85799999999999998</v>
      </c>
      <c r="H192" s="94">
        <v>2</v>
      </c>
      <c r="I192" s="86">
        <v>180.6</v>
      </c>
      <c r="J192" s="87">
        <v>3.9602073177225701</v>
      </c>
      <c r="K192" s="83"/>
      <c r="L192" s="83" t="s">
        <v>188</v>
      </c>
    </row>
    <row r="193" spans="1:12" ht="13" customHeight="1">
      <c r="A193" s="88" t="s">
        <v>76</v>
      </c>
      <c r="B193" s="89">
        <v>45805</v>
      </c>
      <c r="C193" s="90">
        <v>0.44583333333333341</v>
      </c>
      <c r="D193" s="91">
        <v>0.06</v>
      </c>
      <c r="E193" s="91">
        <v>0.81</v>
      </c>
      <c r="F193" s="88"/>
      <c r="G193" s="88"/>
      <c r="H193" s="88"/>
      <c r="I193" s="91">
        <v>175.8</v>
      </c>
      <c r="J193" s="92">
        <v>3.85495263818177</v>
      </c>
      <c r="K193" s="88"/>
      <c r="L193" s="88" t="s">
        <v>188</v>
      </c>
    </row>
    <row r="194" spans="1:12" ht="13" customHeight="1">
      <c r="A194" s="83" t="s">
        <v>77</v>
      </c>
      <c r="B194" s="84">
        <v>45805</v>
      </c>
      <c r="C194" s="85">
        <v>0.44583333333333341</v>
      </c>
      <c r="D194" s="86">
        <v>0.04</v>
      </c>
      <c r="E194" s="86">
        <v>0.39</v>
      </c>
      <c r="F194" s="83"/>
      <c r="G194" s="83"/>
      <c r="H194" s="83"/>
      <c r="I194" s="86">
        <v>182.7</v>
      </c>
      <c r="J194" s="87">
        <v>4.0062562400216706</v>
      </c>
      <c r="K194" s="83"/>
      <c r="L194" s="83" t="s">
        <v>188</v>
      </c>
    </row>
    <row r="195" spans="1:12" ht="13" customHeight="1">
      <c r="A195" s="88" t="s">
        <v>78</v>
      </c>
      <c r="B195" s="89">
        <v>45805</v>
      </c>
      <c r="C195" s="90">
        <v>0.44583333333333341</v>
      </c>
      <c r="D195" s="91">
        <v>0.04</v>
      </c>
      <c r="E195" s="91">
        <v>0.41</v>
      </c>
      <c r="F195" s="88"/>
      <c r="G195" s="88"/>
      <c r="H195" s="88"/>
      <c r="I195" s="91">
        <v>178.8</v>
      </c>
      <c r="J195" s="92">
        <v>3.9207368128947699</v>
      </c>
      <c r="K195" s="88"/>
      <c r="L195" s="88" t="s">
        <v>188</v>
      </c>
    </row>
    <row r="196" spans="1:12" ht="13" customHeight="1">
      <c r="A196" s="83" t="s">
        <v>79</v>
      </c>
      <c r="B196" s="84">
        <v>45805</v>
      </c>
      <c r="C196" s="85">
        <v>0.44583333333333341</v>
      </c>
      <c r="D196" s="86">
        <v>0.06</v>
      </c>
      <c r="E196" s="86">
        <v>0.7</v>
      </c>
      <c r="F196" s="83"/>
      <c r="G196" s="83"/>
      <c r="H196" s="83"/>
      <c r="I196" s="86">
        <v>171.1</v>
      </c>
      <c r="J196" s="87">
        <v>3.751890764464739</v>
      </c>
      <c r="K196" s="83"/>
      <c r="L196" s="83" t="s">
        <v>188</v>
      </c>
    </row>
    <row r="197" spans="1:12" ht="13" customHeight="1">
      <c r="A197" s="88" t="s">
        <v>80</v>
      </c>
      <c r="B197" s="89">
        <v>45805</v>
      </c>
      <c r="C197" s="90">
        <v>0.44583333333333341</v>
      </c>
      <c r="D197" s="91">
        <v>0.05</v>
      </c>
      <c r="E197" s="91">
        <v>0.59</v>
      </c>
      <c r="F197" s="88"/>
      <c r="G197" s="88"/>
      <c r="H197" s="93">
        <v>1.3</v>
      </c>
      <c r="I197" s="91">
        <v>171.5</v>
      </c>
      <c r="J197" s="92">
        <v>3.7606619877598049</v>
      </c>
      <c r="K197" s="88"/>
      <c r="L197" s="88" t="s">
        <v>188</v>
      </c>
    </row>
    <row r="198" spans="1:12" ht="13" customHeight="1">
      <c r="A198" s="83" t="s">
        <v>81</v>
      </c>
      <c r="B198" s="84">
        <v>45805</v>
      </c>
      <c r="C198" s="85">
        <v>0.47986111111111113</v>
      </c>
      <c r="D198" s="86">
        <v>0.1</v>
      </c>
      <c r="E198" s="86">
        <v>1.1100000000000001</v>
      </c>
      <c r="F198" s="83"/>
      <c r="G198" s="83"/>
      <c r="H198" s="83"/>
      <c r="I198" s="86">
        <v>37.4</v>
      </c>
      <c r="J198" s="87">
        <v>0.82010937808872708</v>
      </c>
      <c r="K198" s="83"/>
      <c r="L198" s="83" t="s">
        <v>188</v>
      </c>
    </row>
    <row r="199" spans="1:12" ht="13" customHeight="1">
      <c r="A199" s="88" t="s">
        <v>82</v>
      </c>
      <c r="B199" s="89">
        <v>45805</v>
      </c>
      <c r="C199" s="90">
        <v>0.47986111111111113</v>
      </c>
      <c r="D199" s="91">
        <v>0.11</v>
      </c>
      <c r="E199" s="91">
        <v>1.45</v>
      </c>
      <c r="F199" s="88"/>
      <c r="G199" s="88"/>
      <c r="H199" s="93">
        <v>2.7</v>
      </c>
      <c r="I199" s="91">
        <v>40.400000000000013</v>
      </c>
      <c r="J199" s="92">
        <v>0.88589355280172677</v>
      </c>
      <c r="K199" s="88"/>
      <c r="L199" s="88" t="s">
        <v>188</v>
      </c>
    </row>
    <row r="200" spans="1:12" ht="13" customHeight="1">
      <c r="A200" s="83" t="s">
        <v>83</v>
      </c>
      <c r="B200" s="84">
        <v>45805</v>
      </c>
      <c r="C200" s="85">
        <v>0.47986111111111113</v>
      </c>
      <c r="D200" s="86">
        <v>0.1</v>
      </c>
      <c r="E200" s="86">
        <v>1.34</v>
      </c>
      <c r="F200" s="83"/>
      <c r="G200" s="83"/>
      <c r="H200" s="83"/>
      <c r="I200" s="86">
        <v>47</v>
      </c>
      <c r="J200" s="87">
        <v>1.030618737170325</v>
      </c>
      <c r="K200" s="83"/>
      <c r="L200" s="83" t="s">
        <v>188</v>
      </c>
    </row>
    <row r="201" spans="1:12" ht="13" customHeight="1">
      <c r="A201" s="88" t="s">
        <v>84</v>
      </c>
      <c r="B201" s="89">
        <v>45805</v>
      </c>
      <c r="C201" s="90">
        <v>0.47986111111111113</v>
      </c>
      <c r="D201" s="91">
        <v>0.11</v>
      </c>
      <c r="E201" s="91">
        <v>1.43</v>
      </c>
      <c r="F201" s="92">
        <v>1.2E-2</v>
      </c>
      <c r="G201" s="92">
        <v>1.4179999999999999</v>
      </c>
      <c r="H201" s="88"/>
      <c r="I201" s="91">
        <v>45.4</v>
      </c>
      <c r="J201" s="92">
        <v>0.99553384399005918</v>
      </c>
      <c r="K201" s="88"/>
      <c r="L201" s="88" t="s">
        <v>188</v>
      </c>
    </row>
    <row r="202" spans="1:12" ht="13" customHeight="1">
      <c r="A202" s="83" t="s">
        <v>85</v>
      </c>
      <c r="B202" s="84">
        <v>45805</v>
      </c>
      <c r="C202" s="85">
        <v>0.47986111111111113</v>
      </c>
      <c r="D202" s="86">
        <v>0.1</v>
      </c>
      <c r="E202" s="86">
        <v>1.28</v>
      </c>
      <c r="F202" s="83"/>
      <c r="G202" s="83"/>
      <c r="H202" s="83"/>
      <c r="I202" s="86">
        <v>44.6</v>
      </c>
      <c r="J202" s="87">
        <v>0.97799139739992602</v>
      </c>
      <c r="K202" s="83"/>
      <c r="L202" s="83" t="s">
        <v>188</v>
      </c>
    </row>
    <row r="203" spans="1:12" ht="13" customHeight="1">
      <c r="A203" s="88" t="s">
        <v>86</v>
      </c>
      <c r="B203" s="89">
        <v>45805</v>
      </c>
      <c r="C203" s="90">
        <v>0.47986111111111113</v>
      </c>
      <c r="D203" s="91">
        <v>0.1</v>
      </c>
      <c r="E203" s="91">
        <v>1.23</v>
      </c>
      <c r="F203" s="88"/>
      <c r="G203" s="88"/>
      <c r="H203" s="88"/>
      <c r="I203" s="91">
        <v>39.900000000000013</v>
      </c>
      <c r="J203" s="92">
        <v>0.87492952368289356</v>
      </c>
      <c r="K203" s="88"/>
      <c r="L203" s="88" t="s">
        <v>188</v>
      </c>
    </row>
    <row r="204" spans="1:12" ht="13" customHeight="1">
      <c r="A204" s="83" t="s">
        <v>87</v>
      </c>
      <c r="B204" s="84">
        <v>45805</v>
      </c>
      <c r="C204" s="85">
        <v>0.47986111111111113</v>
      </c>
      <c r="D204" s="86">
        <v>0.1</v>
      </c>
      <c r="E204" s="86">
        <v>1.1499999999999999</v>
      </c>
      <c r="F204" s="83"/>
      <c r="G204" s="83"/>
      <c r="H204" s="94">
        <v>2.5</v>
      </c>
      <c r="I204" s="86">
        <v>51.7</v>
      </c>
      <c r="J204" s="87">
        <v>1.1336806108873581</v>
      </c>
      <c r="K204" s="83"/>
      <c r="L204" s="83" t="s">
        <v>188</v>
      </c>
    </row>
    <row r="205" spans="1:12" ht="13" customHeight="1">
      <c r="A205" s="88" t="s">
        <v>88</v>
      </c>
      <c r="B205" s="89">
        <v>45805</v>
      </c>
      <c r="C205" s="90">
        <v>0.47986111111111113</v>
      </c>
      <c r="D205" s="91">
        <v>0.09</v>
      </c>
      <c r="E205" s="91">
        <v>1.07</v>
      </c>
      <c r="F205" s="88"/>
      <c r="G205" s="88"/>
      <c r="H205" s="88"/>
      <c r="I205" s="91">
        <v>50.1</v>
      </c>
      <c r="J205" s="92">
        <v>1.098595717707092</v>
      </c>
      <c r="K205" s="88"/>
      <c r="L205" s="88" t="s">
        <v>188</v>
      </c>
    </row>
    <row r="206" spans="1:12" ht="13" customHeight="1">
      <c r="A206" s="83" t="s">
        <v>89</v>
      </c>
      <c r="B206" s="84">
        <v>45805</v>
      </c>
      <c r="C206" s="85">
        <v>0.47986111111111113</v>
      </c>
      <c r="D206" s="86">
        <v>0.09</v>
      </c>
      <c r="E206" s="86">
        <v>1.06</v>
      </c>
      <c r="F206" s="83"/>
      <c r="G206" s="83"/>
      <c r="H206" s="83"/>
      <c r="I206" s="86">
        <v>40</v>
      </c>
      <c r="J206" s="87">
        <v>0.87712232950666003</v>
      </c>
      <c r="K206" s="83"/>
      <c r="L206" s="83" t="s">
        <v>188</v>
      </c>
    </row>
    <row r="207" spans="1:12" ht="13" customHeight="1">
      <c r="A207" s="88" t="s">
        <v>90</v>
      </c>
      <c r="B207" s="89">
        <v>45805</v>
      </c>
      <c r="C207" s="90">
        <v>0.47986111111111113</v>
      </c>
      <c r="D207" s="91">
        <v>0.09</v>
      </c>
      <c r="E207" s="91">
        <v>1.06</v>
      </c>
      <c r="F207" s="88"/>
      <c r="G207" s="88"/>
      <c r="H207" s="88"/>
      <c r="I207" s="91">
        <v>56.5</v>
      </c>
      <c r="J207" s="92">
        <v>1.238935290428157</v>
      </c>
      <c r="K207" s="88"/>
      <c r="L207" s="88" t="s">
        <v>188</v>
      </c>
    </row>
    <row r="208" spans="1:12" ht="13" customHeight="1">
      <c r="A208" s="83" t="s">
        <v>91</v>
      </c>
      <c r="B208" s="84">
        <v>45805</v>
      </c>
      <c r="C208" s="85">
        <v>0.47986111111111113</v>
      </c>
      <c r="D208" s="86">
        <v>0.08</v>
      </c>
      <c r="E208" s="86">
        <v>0.96</v>
      </c>
      <c r="F208" s="83"/>
      <c r="G208" s="83"/>
      <c r="H208" s="83"/>
      <c r="I208" s="86">
        <v>118.2</v>
      </c>
      <c r="J208" s="87">
        <v>2.5918964836921812</v>
      </c>
      <c r="K208" s="83"/>
      <c r="L208" s="83" t="s">
        <v>188</v>
      </c>
    </row>
    <row r="209" spans="1:12" ht="13" customHeight="1">
      <c r="A209" s="88" t="s">
        <v>92</v>
      </c>
      <c r="B209" s="89">
        <v>45805</v>
      </c>
      <c r="C209" s="90">
        <v>0.47986111111111113</v>
      </c>
      <c r="D209" s="91">
        <v>0.09</v>
      </c>
      <c r="E209" s="91">
        <v>1.1000000000000001</v>
      </c>
      <c r="F209" s="88"/>
      <c r="G209" s="88"/>
      <c r="H209" s="93">
        <v>2.4</v>
      </c>
      <c r="I209" s="91">
        <v>115.5</v>
      </c>
      <c r="J209" s="92">
        <v>2.5326907264504812</v>
      </c>
      <c r="K209" s="88"/>
      <c r="L209" s="88" t="s">
        <v>188</v>
      </c>
    </row>
    <row r="210" spans="1:12" ht="13" customHeight="1">
      <c r="A210" s="83" t="s">
        <v>93</v>
      </c>
      <c r="B210" s="84">
        <v>45805</v>
      </c>
      <c r="C210" s="85">
        <v>0.47986111111111113</v>
      </c>
      <c r="D210" s="86">
        <v>0.11</v>
      </c>
      <c r="E210" s="86">
        <v>1.64</v>
      </c>
      <c r="F210" s="87">
        <v>3.0000000000000001E-3</v>
      </c>
      <c r="G210" s="87">
        <v>1.637</v>
      </c>
      <c r="H210" s="83"/>
      <c r="I210" s="86">
        <v>114.6</v>
      </c>
      <c r="J210" s="87">
        <v>2.5129554740365809</v>
      </c>
      <c r="K210" s="83"/>
      <c r="L210" s="83" t="s">
        <v>188</v>
      </c>
    </row>
    <row r="211" spans="1:12" ht="13" customHeight="1">
      <c r="A211" s="88" t="s">
        <v>94</v>
      </c>
      <c r="B211" s="89">
        <v>45805</v>
      </c>
      <c r="C211" s="90">
        <v>0.47986111111111113</v>
      </c>
      <c r="D211" s="91">
        <v>0.09</v>
      </c>
      <c r="E211" s="91">
        <v>1.36</v>
      </c>
      <c r="F211" s="88"/>
      <c r="G211" s="88"/>
      <c r="H211" s="88"/>
      <c r="I211" s="91">
        <v>116.1</v>
      </c>
      <c r="J211" s="92">
        <v>2.5458475613930811</v>
      </c>
      <c r="K211" s="88"/>
      <c r="L211" s="88" t="s">
        <v>188</v>
      </c>
    </row>
    <row r="212" spans="1:12" ht="13" customHeight="1">
      <c r="A212" s="83" t="s">
        <v>95</v>
      </c>
      <c r="B212" s="84">
        <v>45805</v>
      </c>
      <c r="C212" s="85">
        <v>0.47986111111111113</v>
      </c>
      <c r="D212" s="86">
        <v>7.0000000000000007E-2</v>
      </c>
      <c r="E212" s="86">
        <v>0.96</v>
      </c>
      <c r="F212" s="83"/>
      <c r="G212" s="83"/>
      <c r="H212" s="83"/>
      <c r="I212" s="86">
        <v>125.2</v>
      </c>
      <c r="J212" s="87">
        <v>2.7453928913558459</v>
      </c>
      <c r="K212" s="83"/>
      <c r="L212" s="83" t="s">
        <v>188</v>
      </c>
    </row>
    <row r="213" spans="1:12" ht="13" customHeight="1">
      <c r="A213" s="88" t="s">
        <v>96</v>
      </c>
      <c r="B213" s="89">
        <v>45805</v>
      </c>
      <c r="C213" s="90">
        <v>0.47986111111111113</v>
      </c>
      <c r="D213" s="91">
        <v>7.0000000000000007E-2</v>
      </c>
      <c r="E213" s="91">
        <v>0.98</v>
      </c>
      <c r="F213" s="88"/>
      <c r="G213" s="88"/>
      <c r="H213" s="88"/>
      <c r="I213" s="91">
        <v>143.5</v>
      </c>
      <c r="J213" s="92">
        <v>3.146676357105143</v>
      </c>
      <c r="K213" s="88"/>
      <c r="L213" s="88" t="s">
        <v>188</v>
      </c>
    </row>
    <row r="214" spans="1:12" ht="13" customHeight="1">
      <c r="A214" s="83" t="s">
        <v>97</v>
      </c>
      <c r="B214" s="84">
        <v>45805</v>
      </c>
      <c r="C214" s="85">
        <v>0.47986111111111113</v>
      </c>
      <c r="D214" s="86">
        <v>0.08</v>
      </c>
      <c r="E214" s="86">
        <v>0.91</v>
      </c>
      <c r="F214" s="83"/>
      <c r="G214" s="83"/>
      <c r="H214" s="94">
        <v>1.9</v>
      </c>
      <c r="I214" s="86">
        <v>121.3</v>
      </c>
      <c r="J214" s="87">
        <v>2.659873464228947</v>
      </c>
      <c r="K214" s="83"/>
      <c r="L214" s="83" t="s">
        <v>188</v>
      </c>
    </row>
    <row r="215" spans="1:12" ht="13" customHeight="1">
      <c r="A215" s="88" t="s">
        <v>98</v>
      </c>
      <c r="B215" s="89">
        <v>45805</v>
      </c>
      <c r="C215" s="90">
        <v>0.47986111111111113</v>
      </c>
      <c r="D215" s="91">
        <v>7.0000000000000007E-2</v>
      </c>
      <c r="E215" s="91">
        <v>0.92</v>
      </c>
      <c r="F215" s="88"/>
      <c r="G215" s="88"/>
      <c r="H215" s="88"/>
      <c r="I215" s="91">
        <v>123.3</v>
      </c>
      <c r="J215" s="92">
        <v>2.7037295807042789</v>
      </c>
      <c r="K215" s="88"/>
      <c r="L215" s="88" t="s">
        <v>188</v>
      </c>
    </row>
    <row r="216" spans="1:12" ht="13" customHeight="1">
      <c r="A216" s="83" t="s">
        <v>99</v>
      </c>
      <c r="B216" s="84">
        <v>45805</v>
      </c>
      <c r="C216" s="85">
        <v>0.47986111111111113</v>
      </c>
      <c r="D216" s="86">
        <v>0.08</v>
      </c>
      <c r="E216" s="86">
        <v>1.32</v>
      </c>
      <c r="F216" s="83"/>
      <c r="G216" s="83"/>
      <c r="H216" s="83"/>
      <c r="I216" s="86">
        <v>117</v>
      </c>
      <c r="J216" s="87">
        <v>2.5655828138069809</v>
      </c>
      <c r="K216" s="83"/>
      <c r="L216" s="83" t="s">
        <v>188</v>
      </c>
    </row>
    <row r="217" spans="1:12" ht="13" customHeight="1">
      <c r="A217" s="88" t="s">
        <v>100</v>
      </c>
      <c r="B217" s="89">
        <v>45805</v>
      </c>
      <c r="C217" s="90">
        <v>0.47986111111111113</v>
      </c>
      <c r="D217" s="91">
        <v>0.08</v>
      </c>
      <c r="E217" s="91">
        <v>1.1299999999999999</v>
      </c>
      <c r="F217" s="88"/>
      <c r="G217" s="88"/>
      <c r="H217" s="88"/>
      <c r="I217" s="91">
        <v>110.7</v>
      </c>
      <c r="J217" s="92">
        <v>2.4274360469096821</v>
      </c>
      <c r="K217" s="88"/>
      <c r="L217" s="88" t="s">
        <v>188</v>
      </c>
    </row>
    <row r="218" spans="1:12" ht="13" customHeight="1">
      <c r="A218" s="83" t="s">
        <v>101</v>
      </c>
      <c r="B218" s="84">
        <v>45805</v>
      </c>
      <c r="C218" s="85">
        <v>0.47986111111111113</v>
      </c>
      <c r="D218" s="86">
        <v>7.0000000000000007E-2</v>
      </c>
      <c r="E218" s="86">
        <v>0.86</v>
      </c>
      <c r="F218" s="83"/>
      <c r="G218" s="83"/>
      <c r="H218" s="83"/>
      <c r="I218" s="86">
        <v>130.4</v>
      </c>
      <c r="J218" s="87">
        <v>2.8594187941917122</v>
      </c>
      <c r="K218" s="83"/>
      <c r="L218" s="83" t="s">
        <v>188</v>
      </c>
    </row>
    <row r="219" spans="1:12" ht="13" customHeight="1">
      <c r="A219" s="88" t="s">
        <v>102</v>
      </c>
      <c r="B219" s="89">
        <v>45805</v>
      </c>
      <c r="C219" s="90">
        <v>0.47986111111111113</v>
      </c>
      <c r="D219" s="91">
        <v>7.0000000000000007E-2</v>
      </c>
      <c r="E219" s="91">
        <v>0.98</v>
      </c>
      <c r="F219" s="92">
        <v>2E-3</v>
      </c>
      <c r="G219" s="92">
        <v>0.97799999999999998</v>
      </c>
      <c r="H219" s="93">
        <v>1.9</v>
      </c>
      <c r="I219" s="91">
        <v>128.5</v>
      </c>
      <c r="J219" s="92">
        <v>2.8177554835401448</v>
      </c>
      <c r="K219" s="88"/>
      <c r="L219" s="88" t="s">
        <v>188</v>
      </c>
    </row>
    <row r="220" spans="1:12" ht="13" customHeight="1">
      <c r="A220" s="83" t="s">
        <v>103</v>
      </c>
      <c r="B220" s="84">
        <v>45805</v>
      </c>
      <c r="C220" s="85">
        <v>0.47986111111111113</v>
      </c>
      <c r="D220" s="86">
        <v>7.0000000000000007E-2</v>
      </c>
      <c r="E220" s="86">
        <v>0.91</v>
      </c>
      <c r="F220" s="83"/>
      <c r="G220" s="83"/>
      <c r="H220" s="83"/>
      <c r="I220" s="86">
        <v>127.7</v>
      </c>
      <c r="J220" s="87">
        <v>2.8002130369500118</v>
      </c>
      <c r="K220" s="83"/>
      <c r="L220" s="83" t="s">
        <v>188</v>
      </c>
    </row>
    <row r="221" spans="1:12" ht="13" customHeight="1">
      <c r="A221" s="88" t="s">
        <v>104</v>
      </c>
      <c r="B221" s="89">
        <v>45805</v>
      </c>
      <c r="C221" s="90">
        <v>0.47986111111111113</v>
      </c>
      <c r="D221" s="91">
        <v>7.0000000000000007E-2</v>
      </c>
      <c r="E221" s="91">
        <v>1.05</v>
      </c>
      <c r="F221" s="88"/>
      <c r="G221" s="88"/>
      <c r="H221" s="88"/>
      <c r="I221" s="91">
        <v>139.9</v>
      </c>
      <c r="J221" s="92">
        <v>3.0677353474495441</v>
      </c>
      <c r="K221" s="88"/>
      <c r="L221" s="88" t="s">
        <v>188</v>
      </c>
    </row>
    <row r="222" spans="1:12" ht="13" customHeight="1">
      <c r="A222" s="83" t="s">
        <v>105</v>
      </c>
      <c r="B222" s="84">
        <v>45805</v>
      </c>
      <c r="C222" s="85">
        <v>0.47986111111111113</v>
      </c>
      <c r="D222" s="86">
        <v>0.08</v>
      </c>
      <c r="E222" s="86">
        <v>1.31</v>
      </c>
      <c r="F222" s="83"/>
      <c r="G222" s="83"/>
      <c r="H222" s="83"/>
      <c r="I222" s="86">
        <v>130.19999999999999</v>
      </c>
      <c r="J222" s="87">
        <v>2.855033182544179</v>
      </c>
      <c r="K222" s="83"/>
      <c r="L222" s="83" t="s">
        <v>188</v>
      </c>
    </row>
    <row r="223" spans="1:12" ht="13" customHeight="1">
      <c r="A223" s="88" t="s">
        <v>106</v>
      </c>
      <c r="B223" s="89">
        <v>45805</v>
      </c>
      <c r="C223" s="90">
        <v>0.47986111111111113</v>
      </c>
      <c r="D223" s="91">
        <v>7.0000000000000007E-2</v>
      </c>
      <c r="E223" s="91">
        <v>1</v>
      </c>
      <c r="F223" s="88"/>
      <c r="G223" s="88"/>
      <c r="H223" s="88"/>
      <c r="I223" s="91">
        <v>133</v>
      </c>
      <c r="J223" s="92">
        <v>2.9164317456096449</v>
      </c>
      <c r="K223" s="88"/>
      <c r="L223" s="88" t="s">
        <v>188</v>
      </c>
    </row>
    <row r="224" spans="1:12" ht="13" customHeight="1">
      <c r="A224" s="83" t="s">
        <v>107</v>
      </c>
      <c r="B224" s="84">
        <v>45805</v>
      </c>
      <c r="C224" s="85">
        <v>0.47986111111111113</v>
      </c>
      <c r="D224" s="86">
        <v>7.0000000000000007E-2</v>
      </c>
      <c r="E224" s="86">
        <v>1</v>
      </c>
      <c r="F224" s="83"/>
      <c r="G224" s="83"/>
      <c r="H224" s="94">
        <v>2</v>
      </c>
      <c r="I224" s="86">
        <v>141.19999999999999</v>
      </c>
      <c r="J224" s="87">
        <v>3.0962418231585098</v>
      </c>
      <c r="K224" s="83"/>
      <c r="L224" s="83" t="s">
        <v>188</v>
      </c>
    </row>
    <row r="225" spans="1:12" ht="13" customHeight="1">
      <c r="A225" s="88" t="s">
        <v>108</v>
      </c>
      <c r="B225" s="89">
        <v>45805</v>
      </c>
      <c r="C225" s="90">
        <v>0.47986111111111113</v>
      </c>
      <c r="D225" s="91">
        <v>0.08</v>
      </c>
      <c r="E225" s="91">
        <v>1.37</v>
      </c>
      <c r="F225" s="88"/>
      <c r="G225" s="88"/>
      <c r="H225" s="88"/>
      <c r="I225" s="91">
        <v>123.1</v>
      </c>
      <c r="J225" s="92">
        <v>2.6993439690567471</v>
      </c>
      <c r="K225" s="88"/>
      <c r="L225" s="88" t="s">
        <v>188</v>
      </c>
    </row>
    <row r="226" spans="1:12" ht="13" customHeight="1">
      <c r="A226" s="83" t="s">
        <v>109</v>
      </c>
      <c r="B226" s="84">
        <v>45805</v>
      </c>
      <c r="C226" s="85">
        <v>0.47986111111111113</v>
      </c>
      <c r="D226" s="86">
        <v>7.0000000000000007E-2</v>
      </c>
      <c r="E226" s="86">
        <v>1.2</v>
      </c>
      <c r="F226" s="83"/>
      <c r="G226" s="83"/>
      <c r="H226" s="83"/>
      <c r="I226" s="86">
        <v>141.69999999999999</v>
      </c>
      <c r="J226" s="87">
        <v>3.1072058522773429</v>
      </c>
      <c r="K226" s="83"/>
      <c r="L226" s="83" t="s">
        <v>188</v>
      </c>
    </row>
    <row r="227" spans="1:12" ht="13" customHeight="1">
      <c r="A227" s="88" t="s">
        <v>110</v>
      </c>
      <c r="B227" s="89">
        <v>45805</v>
      </c>
      <c r="C227" s="90">
        <v>0.47986111111111113</v>
      </c>
      <c r="D227" s="91">
        <v>7.0000000000000007E-2</v>
      </c>
      <c r="E227" s="91">
        <v>1.36</v>
      </c>
      <c r="F227" s="88"/>
      <c r="G227" s="88"/>
      <c r="H227" s="88"/>
      <c r="I227" s="91">
        <v>129.6</v>
      </c>
      <c r="J227" s="92">
        <v>2.8418763476015778</v>
      </c>
      <c r="K227" s="88"/>
      <c r="L227" s="88" t="s">
        <v>188</v>
      </c>
    </row>
    <row r="228" spans="1:12" ht="13" customHeight="1">
      <c r="A228" s="83" t="s">
        <v>111</v>
      </c>
      <c r="B228" s="84">
        <v>45805</v>
      </c>
      <c r="C228" s="85">
        <v>0.47986111111111113</v>
      </c>
      <c r="D228" s="86">
        <v>0.08</v>
      </c>
      <c r="E228" s="86">
        <v>1.88</v>
      </c>
      <c r="F228" s="87">
        <v>3.0000000000000001E-3</v>
      </c>
      <c r="G228" s="87">
        <v>1.877</v>
      </c>
      <c r="H228" s="83"/>
      <c r="I228" s="86">
        <v>119.7</v>
      </c>
      <c r="J228" s="87">
        <v>2.62478857104868</v>
      </c>
      <c r="K228" s="83"/>
      <c r="L228" s="83" t="s">
        <v>188</v>
      </c>
    </row>
    <row r="229" spans="1:12" ht="13" customHeight="1">
      <c r="A229" s="88" t="s">
        <v>112</v>
      </c>
      <c r="B229" s="89">
        <v>45805</v>
      </c>
      <c r="C229" s="90">
        <v>0.47986111111111113</v>
      </c>
      <c r="D229" s="91">
        <v>7.0000000000000007E-2</v>
      </c>
      <c r="E229" s="91">
        <v>1.32</v>
      </c>
      <c r="F229" s="88"/>
      <c r="G229" s="88"/>
      <c r="H229" s="93">
        <v>2.2999999999999998</v>
      </c>
      <c r="I229" s="91">
        <v>142.19999999999999</v>
      </c>
      <c r="J229" s="92">
        <v>3.1181698813961769</v>
      </c>
      <c r="K229" s="88"/>
      <c r="L229" s="88" t="s">
        <v>188</v>
      </c>
    </row>
    <row r="230" spans="1:12" ht="13" customHeight="1">
      <c r="A230" s="83" t="s">
        <v>113</v>
      </c>
      <c r="B230" s="84">
        <v>45805</v>
      </c>
      <c r="C230" s="85">
        <v>0.47986111111111113</v>
      </c>
      <c r="D230" s="86">
        <v>0.06</v>
      </c>
      <c r="E230" s="86">
        <v>0.96</v>
      </c>
      <c r="F230" s="83"/>
      <c r="G230" s="83"/>
      <c r="H230" s="83"/>
      <c r="I230" s="86">
        <v>254.9</v>
      </c>
      <c r="J230" s="87">
        <v>5.5894620447811914</v>
      </c>
      <c r="K230" s="83"/>
      <c r="L230" s="83" t="s">
        <v>188</v>
      </c>
    </row>
    <row r="231" spans="1:12" ht="13" customHeight="1">
      <c r="A231" s="88" t="s">
        <v>114</v>
      </c>
      <c r="B231" s="89">
        <v>45805</v>
      </c>
      <c r="C231" s="90">
        <v>0.4152777777777778</v>
      </c>
      <c r="D231" s="91">
        <v>0.38</v>
      </c>
      <c r="E231" s="91">
        <v>3.96</v>
      </c>
      <c r="F231" s="88"/>
      <c r="G231" s="88"/>
      <c r="H231" s="88"/>
      <c r="I231" s="91">
        <v>24.4</v>
      </c>
      <c r="J231" s="92">
        <v>0.53504462099906258</v>
      </c>
      <c r="K231" s="88"/>
      <c r="L231" s="88" t="s">
        <v>188</v>
      </c>
    </row>
    <row r="232" spans="1:12" ht="13" customHeight="1">
      <c r="A232" s="83" t="s">
        <v>115</v>
      </c>
      <c r="B232" s="84">
        <v>45805</v>
      </c>
      <c r="C232" s="85">
        <v>0.4152777777777778</v>
      </c>
      <c r="D232" s="86">
        <v>0.24</v>
      </c>
      <c r="E232" s="86">
        <v>3.09</v>
      </c>
      <c r="F232" s="83"/>
      <c r="G232" s="83"/>
      <c r="H232" s="94">
        <v>5.3</v>
      </c>
      <c r="I232" s="86">
        <v>43.3</v>
      </c>
      <c r="J232" s="87">
        <v>0.94948492169095944</v>
      </c>
      <c r="K232" s="83"/>
      <c r="L232" s="83" t="s">
        <v>188</v>
      </c>
    </row>
    <row r="233" spans="1:12" ht="13" customHeight="1">
      <c r="A233" s="88" t="s">
        <v>116</v>
      </c>
      <c r="B233" s="89">
        <v>45805</v>
      </c>
      <c r="C233" s="90">
        <v>0.4152777777777778</v>
      </c>
      <c r="D233" s="91">
        <v>0.2</v>
      </c>
      <c r="E233" s="91">
        <v>3.36</v>
      </c>
      <c r="F233" s="88"/>
      <c r="G233" s="88"/>
      <c r="H233" s="88"/>
      <c r="I233" s="91">
        <v>35.5</v>
      </c>
      <c r="J233" s="92">
        <v>0.77844606743716083</v>
      </c>
      <c r="K233" s="88"/>
      <c r="L233" s="88" t="s">
        <v>188</v>
      </c>
    </row>
    <row r="234" spans="1:12" ht="13" customHeight="1">
      <c r="A234" s="83" t="s">
        <v>117</v>
      </c>
      <c r="B234" s="84">
        <v>45805</v>
      </c>
      <c r="C234" s="85">
        <v>0.4152777777777778</v>
      </c>
      <c r="D234" s="86">
        <v>0.19</v>
      </c>
      <c r="E234" s="86">
        <v>3.19</v>
      </c>
      <c r="F234" s="83"/>
      <c r="G234" s="83"/>
      <c r="H234" s="83"/>
      <c r="I234" s="86">
        <v>36.6</v>
      </c>
      <c r="J234" s="87">
        <v>0.80256693149859404</v>
      </c>
      <c r="K234" s="83"/>
      <c r="L234" s="83" t="s">
        <v>188</v>
      </c>
    </row>
    <row r="235" spans="1:12" ht="13" customHeight="1">
      <c r="A235" s="88" t="s">
        <v>118</v>
      </c>
      <c r="B235" s="89">
        <v>45805</v>
      </c>
      <c r="C235" s="90">
        <v>0.4152777777777778</v>
      </c>
      <c r="D235" s="91">
        <v>0.17</v>
      </c>
      <c r="E235" s="91">
        <v>2.93</v>
      </c>
      <c r="F235" s="88"/>
      <c r="G235" s="88"/>
      <c r="H235" s="88"/>
      <c r="I235" s="91">
        <v>41</v>
      </c>
      <c r="J235" s="92">
        <v>0.89905038774432655</v>
      </c>
      <c r="K235" s="88"/>
      <c r="L235" s="88" t="s">
        <v>188</v>
      </c>
    </row>
    <row r="236" spans="1:12" ht="13" customHeight="1">
      <c r="A236" s="83" t="s">
        <v>119</v>
      </c>
      <c r="B236" s="84">
        <v>45805</v>
      </c>
      <c r="C236" s="85">
        <v>0.4152777777777778</v>
      </c>
      <c r="D236" s="86">
        <v>0.23</v>
      </c>
      <c r="E236" s="86">
        <v>4.13</v>
      </c>
      <c r="F236" s="83"/>
      <c r="G236" s="83"/>
      <c r="H236" s="83"/>
      <c r="I236" s="86">
        <v>31.29999999999999</v>
      </c>
      <c r="J236" s="87">
        <v>0.68634822283896135</v>
      </c>
      <c r="K236" s="83"/>
      <c r="L236" s="83" t="s">
        <v>188</v>
      </c>
    </row>
    <row r="237" spans="1:12" ht="13" customHeight="1">
      <c r="A237" s="88" t="s">
        <v>120</v>
      </c>
      <c r="B237" s="89">
        <v>45805</v>
      </c>
      <c r="C237" s="90">
        <v>0.4152777777777778</v>
      </c>
      <c r="D237" s="91">
        <v>0.28000000000000003</v>
      </c>
      <c r="E237" s="91">
        <v>4.76</v>
      </c>
      <c r="F237" s="92">
        <v>5.0000000000000001E-3</v>
      </c>
      <c r="G237" s="92">
        <v>4.7549999999999999</v>
      </c>
      <c r="H237" s="93">
        <v>9.4</v>
      </c>
      <c r="I237" s="91">
        <v>27.2</v>
      </c>
      <c r="J237" s="92">
        <v>0.59644318406452879</v>
      </c>
      <c r="K237" s="88"/>
      <c r="L237" s="88" t="s">
        <v>188</v>
      </c>
    </row>
    <row r="238" spans="1:12" ht="13" customHeight="1">
      <c r="A238" s="83" t="s">
        <v>121</v>
      </c>
      <c r="B238" s="84">
        <v>45805</v>
      </c>
      <c r="C238" s="85">
        <v>0.4152777777777778</v>
      </c>
      <c r="D238" s="86">
        <v>0.18</v>
      </c>
      <c r="E238" s="86">
        <v>3.39</v>
      </c>
      <c r="F238" s="83"/>
      <c r="G238" s="83"/>
      <c r="H238" s="83"/>
      <c r="I238" s="86">
        <v>41.8</v>
      </c>
      <c r="J238" s="87">
        <v>0.91659283433445971</v>
      </c>
      <c r="K238" s="83"/>
      <c r="L238" s="83" t="s">
        <v>188</v>
      </c>
    </row>
    <row r="239" spans="1:12" ht="13" customHeight="1">
      <c r="A239" s="88" t="s">
        <v>122</v>
      </c>
      <c r="B239" s="89">
        <v>45805</v>
      </c>
      <c r="C239" s="90">
        <v>0.4152777777777778</v>
      </c>
      <c r="D239" s="91">
        <v>0.24</v>
      </c>
      <c r="E239" s="91">
        <v>4.4800000000000004</v>
      </c>
      <c r="F239" s="88"/>
      <c r="G239" s="88"/>
      <c r="H239" s="88"/>
      <c r="I239" s="91">
        <v>33.5</v>
      </c>
      <c r="J239" s="92">
        <v>0.73458995096182778</v>
      </c>
      <c r="K239" s="88"/>
      <c r="L239" s="88" t="s">
        <v>188</v>
      </c>
    </row>
    <row r="240" spans="1:12" ht="13" customHeight="1">
      <c r="A240" s="83" t="s">
        <v>123</v>
      </c>
      <c r="B240" s="84">
        <v>45805</v>
      </c>
      <c r="C240" s="85">
        <v>0.4152777777777778</v>
      </c>
      <c r="D240" s="86">
        <v>0.22</v>
      </c>
      <c r="E240" s="86">
        <v>3.84</v>
      </c>
      <c r="F240" s="83"/>
      <c r="G240" s="83"/>
      <c r="H240" s="83"/>
      <c r="I240" s="86">
        <v>36.200000000000003</v>
      </c>
      <c r="J240" s="87">
        <v>0.79379570820352741</v>
      </c>
      <c r="K240" s="83"/>
      <c r="L240" s="83" t="s">
        <v>188</v>
      </c>
    </row>
    <row r="241" spans="1:12" ht="13" customHeight="1">
      <c r="A241" s="88" t="s">
        <v>124</v>
      </c>
      <c r="B241" s="89">
        <v>45805</v>
      </c>
      <c r="C241" s="90">
        <v>0.4152777777777778</v>
      </c>
      <c r="D241" s="91">
        <v>0.21</v>
      </c>
      <c r="E241" s="91">
        <v>3.59</v>
      </c>
      <c r="F241" s="88"/>
      <c r="G241" s="88"/>
      <c r="H241" s="88"/>
      <c r="I241" s="91">
        <v>67.400000000000006</v>
      </c>
      <c r="J241" s="92">
        <v>1.4779511252187221</v>
      </c>
      <c r="K241" s="88"/>
      <c r="L241" s="88" t="s">
        <v>188</v>
      </c>
    </row>
    <row r="242" spans="1:12" ht="13" customHeight="1">
      <c r="A242" s="83" t="s">
        <v>125</v>
      </c>
      <c r="B242" s="84">
        <v>45805</v>
      </c>
      <c r="C242" s="85">
        <v>0.4152777777777778</v>
      </c>
      <c r="D242" s="86">
        <v>0.23</v>
      </c>
      <c r="E242" s="86">
        <v>3.61</v>
      </c>
      <c r="F242" s="83"/>
      <c r="G242" s="83"/>
      <c r="H242" s="94">
        <v>7.4</v>
      </c>
      <c r="I242" s="86">
        <v>66.599999999999994</v>
      </c>
      <c r="J242" s="87">
        <v>1.460408678628589</v>
      </c>
      <c r="K242" s="83"/>
      <c r="L242" s="83" t="s">
        <v>188</v>
      </c>
    </row>
    <row r="243" spans="1:12" ht="13" customHeight="1">
      <c r="A243" s="88" t="s">
        <v>126</v>
      </c>
      <c r="B243" s="89">
        <v>45805</v>
      </c>
      <c r="C243" s="90">
        <v>0.4152777777777778</v>
      </c>
      <c r="D243" s="91">
        <v>0.19</v>
      </c>
      <c r="E243" s="91">
        <v>3.05</v>
      </c>
      <c r="F243" s="88"/>
      <c r="G243" s="88"/>
      <c r="H243" s="88"/>
      <c r="I243" s="91">
        <v>71.599999999999994</v>
      </c>
      <c r="J243" s="92">
        <v>1.5700489698169211</v>
      </c>
      <c r="K243" s="88"/>
      <c r="L243" s="88" t="s">
        <v>188</v>
      </c>
    </row>
    <row r="244" spans="1:12" ht="13" customHeight="1">
      <c r="A244" s="83" t="s">
        <v>127</v>
      </c>
      <c r="B244" s="84">
        <v>45805</v>
      </c>
      <c r="C244" s="85">
        <v>0.4152777777777778</v>
      </c>
      <c r="D244" s="86">
        <v>0.19</v>
      </c>
      <c r="E244" s="86">
        <v>3.07</v>
      </c>
      <c r="F244" s="83"/>
      <c r="G244" s="83"/>
      <c r="H244" s="83"/>
      <c r="I244" s="86">
        <v>73.2</v>
      </c>
      <c r="J244" s="87">
        <v>1.6051338629971881</v>
      </c>
      <c r="K244" s="83"/>
      <c r="L244" s="83" t="s">
        <v>188</v>
      </c>
    </row>
    <row r="245" spans="1:12" ht="13" customHeight="1">
      <c r="A245" s="88" t="s">
        <v>128</v>
      </c>
      <c r="B245" s="89">
        <v>45805</v>
      </c>
      <c r="C245" s="90">
        <v>0.4152777777777778</v>
      </c>
      <c r="D245" s="91">
        <v>0.23</v>
      </c>
      <c r="E245" s="91">
        <v>3.66</v>
      </c>
      <c r="F245" s="88"/>
      <c r="G245" s="88"/>
      <c r="H245" s="88"/>
      <c r="I245" s="91">
        <v>80.5</v>
      </c>
      <c r="J245" s="92">
        <v>1.7652086881321529</v>
      </c>
      <c r="K245" s="88"/>
      <c r="L245" s="88" t="s">
        <v>188</v>
      </c>
    </row>
    <row r="246" spans="1:12" ht="13" customHeight="1">
      <c r="A246" s="83" t="s">
        <v>129</v>
      </c>
      <c r="B246" s="84">
        <v>45805</v>
      </c>
      <c r="C246" s="85">
        <v>0.4152777777777778</v>
      </c>
      <c r="D246" s="86">
        <v>0.22</v>
      </c>
      <c r="E246" s="86">
        <v>3.49</v>
      </c>
      <c r="F246" s="87">
        <v>5.0000000000000001E-3</v>
      </c>
      <c r="G246" s="87">
        <v>3.4849999999999999</v>
      </c>
      <c r="H246" s="83"/>
      <c r="I246" s="86">
        <v>71.599999999999994</v>
      </c>
      <c r="J246" s="87">
        <v>1.5700489698169211</v>
      </c>
      <c r="K246" s="83"/>
      <c r="L246" s="83" t="s">
        <v>188</v>
      </c>
    </row>
    <row r="247" spans="1:12" ht="13" customHeight="1">
      <c r="A247" s="88" t="s">
        <v>130</v>
      </c>
      <c r="B247" s="89">
        <v>45805</v>
      </c>
      <c r="C247" s="90">
        <v>0.4152777777777778</v>
      </c>
      <c r="D247" s="91">
        <v>0.14000000000000001</v>
      </c>
      <c r="E247" s="91">
        <v>2.41</v>
      </c>
      <c r="F247" s="88"/>
      <c r="G247" s="88"/>
      <c r="H247" s="93">
        <v>4.5999999999999996</v>
      </c>
      <c r="I247" s="91">
        <v>99.199999999999989</v>
      </c>
      <c r="J247" s="92">
        <v>2.1752633771765169</v>
      </c>
      <c r="K247" s="88"/>
      <c r="L247" s="88" t="s">
        <v>188</v>
      </c>
    </row>
    <row r="248" spans="1:12" ht="13" customHeight="1">
      <c r="A248" s="83" t="s">
        <v>131</v>
      </c>
      <c r="B248" s="84">
        <v>45805</v>
      </c>
      <c r="C248" s="85">
        <v>0.4152777777777778</v>
      </c>
      <c r="D248" s="86">
        <v>0.17</v>
      </c>
      <c r="E248" s="86">
        <v>2.7</v>
      </c>
      <c r="F248" s="83"/>
      <c r="G248" s="83"/>
      <c r="H248" s="83"/>
      <c r="I248" s="86">
        <v>115.6</v>
      </c>
      <c r="J248" s="87">
        <v>2.534883532274248</v>
      </c>
      <c r="K248" s="83"/>
      <c r="L248" s="83" t="s">
        <v>188</v>
      </c>
    </row>
    <row r="249" spans="1:12" ht="13" customHeight="1">
      <c r="A249" s="88" t="s">
        <v>132</v>
      </c>
      <c r="B249" s="89">
        <v>45805</v>
      </c>
      <c r="C249" s="90">
        <v>0.4152777777777778</v>
      </c>
      <c r="D249" s="91">
        <v>0.12</v>
      </c>
      <c r="E249" s="91">
        <v>1.85</v>
      </c>
      <c r="F249" s="88"/>
      <c r="G249" s="88"/>
      <c r="H249" s="88"/>
      <c r="I249" s="91">
        <v>97.899999999999991</v>
      </c>
      <c r="J249" s="92">
        <v>2.1467569014675498</v>
      </c>
      <c r="K249" s="88"/>
      <c r="L249" s="88" t="s">
        <v>188</v>
      </c>
    </row>
    <row r="250" spans="1:12" ht="13" customHeight="1">
      <c r="A250" s="83" t="s">
        <v>133</v>
      </c>
      <c r="B250" s="84">
        <v>45805</v>
      </c>
      <c r="C250" s="85">
        <v>0.4152777777777778</v>
      </c>
      <c r="D250" s="86">
        <v>0.09</v>
      </c>
      <c r="E250" s="86">
        <v>1.28</v>
      </c>
      <c r="F250" s="83"/>
      <c r="G250" s="83"/>
      <c r="H250" s="83"/>
      <c r="I250" s="86">
        <v>109.9</v>
      </c>
      <c r="J250" s="87">
        <v>2.4098936003195481</v>
      </c>
      <c r="K250" s="83"/>
      <c r="L250" s="83" t="s">
        <v>188</v>
      </c>
    </row>
    <row r="251" spans="1:12" ht="13" customHeight="1">
      <c r="A251" s="88" t="s">
        <v>134</v>
      </c>
      <c r="B251" s="89">
        <v>45805</v>
      </c>
      <c r="C251" s="90">
        <v>0.4152777777777778</v>
      </c>
      <c r="D251" s="91">
        <v>7.0000000000000007E-2</v>
      </c>
      <c r="E251" s="91">
        <v>0.91</v>
      </c>
      <c r="F251" s="88"/>
      <c r="G251" s="88"/>
      <c r="H251" s="88"/>
      <c r="I251" s="91">
        <v>100.1</v>
      </c>
      <c r="J251" s="92">
        <v>2.1949986295904171</v>
      </c>
      <c r="K251" s="88"/>
      <c r="L251" s="88" t="s">
        <v>188</v>
      </c>
    </row>
    <row r="252" spans="1:12" ht="13" customHeight="1">
      <c r="A252" s="83" t="s">
        <v>135</v>
      </c>
      <c r="B252" s="84">
        <v>45805</v>
      </c>
      <c r="C252" s="85">
        <v>0.4152777777777778</v>
      </c>
      <c r="D252" s="86">
        <v>0.05</v>
      </c>
      <c r="E252" s="86">
        <v>0.68</v>
      </c>
      <c r="F252" s="83"/>
      <c r="G252" s="83"/>
      <c r="H252" s="94">
        <v>1.8</v>
      </c>
      <c r="I252" s="86">
        <v>149.4</v>
      </c>
      <c r="J252" s="87">
        <v>3.2760519007073752</v>
      </c>
      <c r="K252" s="83"/>
      <c r="L252" s="83" t="s">
        <v>188</v>
      </c>
    </row>
    <row r="253" spans="1:12" ht="13" customHeight="1">
      <c r="A253" s="88" t="s">
        <v>136</v>
      </c>
      <c r="B253" s="89">
        <v>45805</v>
      </c>
      <c r="C253" s="90">
        <v>0.4152777777777778</v>
      </c>
      <c r="D253" s="91">
        <v>0.11</v>
      </c>
      <c r="E253" s="91">
        <v>1.64</v>
      </c>
      <c r="F253" s="88"/>
      <c r="G253" s="88"/>
      <c r="H253" s="88"/>
      <c r="I253" s="91">
        <v>54.7</v>
      </c>
      <c r="J253" s="92">
        <v>1.199464785600358</v>
      </c>
      <c r="K253" s="88"/>
      <c r="L253" s="88" t="s">
        <v>188</v>
      </c>
    </row>
    <row r="254" spans="1:12" ht="13" customHeight="1">
      <c r="A254" s="83" t="s">
        <v>137</v>
      </c>
      <c r="B254" s="84">
        <v>45805</v>
      </c>
      <c r="C254" s="85">
        <v>0.42499999999999999</v>
      </c>
      <c r="D254" s="86">
        <v>0.28000000000000003</v>
      </c>
      <c r="E254" s="86">
        <v>4.5199999999999996</v>
      </c>
      <c r="F254" s="83"/>
      <c r="G254" s="83"/>
      <c r="H254" s="83"/>
      <c r="I254" s="86">
        <v>34.299999999999997</v>
      </c>
      <c r="J254" s="87">
        <v>0.75213239755196093</v>
      </c>
      <c r="K254" s="83"/>
      <c r="L254" s="83" t="s">
        <v>188</v>
      </c>
    </row>
    <row r="255" spans="1:12" ht="13" customHeight="1">
      <c r="A255" s="88" t="s">
        <v>138</v>
      </c>
      <c r="B255" s="89">
        <v>45805</v>
      </c>
      <c r="C255" s="90">
        <v>0.42499999999999999</v>
      </c>
      <c r="D255" s="91">
        <v>0.2</v>
      </c>
      <c r="E255" s="91">
        <v>3.81</v>
      </c>
      <c r="F255" s="92">
        <v>5.0000000000000001E-3</v>
      </c>
      <c r="G255" s="92">
        <v>3.8050000000000002</v>
      </c>
      <c r="H255" s="93">
        <v>7.2</v>
      </c>
      <c r="I255" s="91">
        <v>26.2</v>
      </c>
      <c r="J255" s="92">
        <v>0.57451512582686237</v>
      </c>
      <c r="K255" s="88"/>
      <c r="L255" s="88" t="s">
        <v>188</v>
      </c>
    </row>
    <row r="256" spans="1:12" ht="13" customHeight="1">
      <c r="A256" s="83" t="s">
        <v>139</v>
      </c>
      <c r="B256" s="84">
        <v>45805</v>
      </c>
      <c r="C256" s="85">
        <v>0.42499999999999999</v>
      </c>
      <c r="D256" s="86">
        <v>0.25</v>
      </c>
      <c r="E256" s="86">
        <v>4.8</v>
      </c>
      <c r="F256" s="83"/>
      <c r="G256" s="83"/>
      <c r="H256" s="83"/>
      <c r="I256" s="86">
        <v>30</v>
      </c>
      <c r="J256" s="87">
        <v>0.6578417471299951</v>
      </c>
      <c r="K256" s="83"/>
      <c r="L256" s="83" t="s">
        <v>188</v>
      </c>
    </row>
    <row r="257" spans="1:12" ht="13" customHeight="1">
      <c r="A257" s="88" t="s">
        <v>140</v>
      </c>
      <c r="B257" s="89">
        <v>45805</v>
      </c>
      <c r="C257" s="90">
        <v>0.42499999999999999</v>
      </c>
      <c r="D257" s="91">
        <v>0.28000000000000003</v>
      </c>
      <c r="E257" s="91">
        <v>4.99</v>
      </c>
      <c r="F257" s="88"/>
      <c r="G257" s="88"/>
      <c r="H257" s="88"/>
      <c r="I257" s="91">
        <v>32.4</v>
      </c>
      <c r="J257" s="92">
        <v>0.71046908690039456</v>
      </c>
      <c r="K257" s="88"/>
      <c r="L257" s="88" t="s">
        <v>188</v>
      </c>
    </row>
    <row r="258" spans="1:12" ht="13" customHeight="1">
      <c r="A258" s="83" t="s">
        <v>141</v>
      </c>
      <c r="B258" s="84">
        <v>45805</v>
      </c>
      <c r="C258" s="85">
        <v>0.42499999999999999</v>
      </c>
      <c r="D258" s="86">
        <v>0.3</v>
      </c>
      <c r="E258" s="86">
        <v>5.35</v>
      </c>
      <c r="F258" s="83"/>
      <c r="G258" s="83"/>
      <c r="H258" s="83"/>
      <c r="I258" s="86">
        <v>28</v>
      </c>
      <c r="J258" s="87">
        <v>0.61398563065466194</v>
      </c>
      <c r="K258" s="83"/>
      <c r="L258" s="83" t="s">
        <v>188</v>
      </c>
    </row>
    <row r="259" spans="1:12" ht="13" customHeight="1">
      <c r="A259" s="88" t="s">
        <v>142</v>
      </c>
      <c r="B259" s="89">
        <v>45805</v>
      </c>
      <c r="C259" s="90">
        <v>0.42499999999999999</v>
      </c>
      <c r="D259" s="91">
        <v>0.33</v>
      </c>
      <c r="E259" s="91">
        <v>5.83</v>
      </c>
      <c r="F259" s="88"/>
      <c r="G259" s="88"/>
      <c r="H259" s="88"/>
      <c r="I259" s="91">
        <v>26.9</v>
      </c>
      <c r="J259" s="92">
        <v>0.58986476659322884</v>
      </c>
      <c r="K259" s="88"/>
      <c r="L259" s="88" t="s">
        <v>188</v>
      </c>
    </row>
    <row r="260" spans="1:12" ht="13" customHeight="1">
      <c r="A260" s="83" t="s">
        <v>143</v>
      </c>
      <c r="B260" s="84">
        <v>45805</v>
      </c>
      <c r="C260" s="85">
        <v>0.42499999999999999</v>
      </c>
      <c r="D260" s="86">
        <v>0.31</v>
      </c>
      <c r="E260" s="86">
        <v>5.03</v>
      </c>
      <c r="F260" s="83"/>
      <c r="G260" s="83"/>
      <c r="H260" s="94">
        <v>9.1</v>
      </c>
      <c r="I260" s="86">
        <v>34.400000000000013</v>
      </c>
      <c r="J260" s="87">
        <v>0.75432520337572773</v>
      </c>
      <c r="K260" s="83"/>
      <c r="L260" s="83" t="s">
        <v>188</v>
      </c>
    </row>
    <row r="261" spans="1:12" ht="13" customHeight="1">
      <c r="A261" s="88" t="s">
        <v>144</v>
      </c>
      <c r="B261" s="89">
        <v>45805</v>
      </c>
      <c r="C261" s="90">
        <v>0.42499999999999999</v>
      </c>
      <c r="D261" s="91">
        <v>0.27</v>
      </c>
      <c r="E261" s="91">
        <v>4.41</v>
      </c>
      <c r="F261" s="88"/>
      <c r="G261" s="88"/>
      <c r="H261" s="88"/>
      <c r="I261" s="91">
        <v>27.7</v>
      </c>
      <c r="J261" s="92">
        <v>0.6074072131833621</v>
      </c>
      <c r="K261" s="88"/>
      <c r="L261" s="88" t="s">
        <v>188</v>
      </c>
    </row>
    <row r="262" spans="1:12" ht="13" customHeight="1">
      <c r="A262" s="83" t="s">
        <v>145</v>
      </c>
      <c r="B262" s="84">
        <v>45805</v>
      </c>
      <c r="C262" s="85">
        <v>0.42499999999999999</v>
      </c>
      <c r="D262" s="86">
        <v>0.33</v>
      </c>
      <c r="E262" s="86">
        <v>5.27</v>
      </c>
      <c r="F262" s="83"/>
      <c r="G262" s="83"/>
      <c r="H262" s="83"/>
      <c r="I262" s="86">
        <v>24</v>
      </c>
      <c r="J262" s="87">
        <v>0.52627339770399595</v>
      </c>
      <c r="K262" s="83"/>
      <c r="L262" s="83" t="s">
        <v>188</v>
      </c>
    </row>
    <row r="263" spans="1:12" ht="13" customHeight="1">
      <c r="A263" s="88" t="s">
        <v>146</v>
      </c>
      <c r="B263" s="89">
        <v>45805</v>
      </c>
      <c r="C263" s="90">
        <v>0.42499999999999999</v>
      </c>
      <c r="D263" s="91">
        <v>0.26</v>
      </c>
      <c r="E263" s="91">
        <v>4.12</v>
      </c>
      <c r="F263" s="88"/>
      <c r="G263" s="88"/>
      <c r="H263" s="88"/>
      <c r="I263" s="91">
        <v>30.8</v>
      </c>
      <c r="J263" s="92">
        <v>0.67538419372012826</v>
      </c>
      <c r="K263" s="88"/>
      <c r="L263" s="88" t="s">
        <v>188</v>
      </c>
    </row>
    <row r="264" spans="1:12" ht="13" customHeight="1">
      <c r="A264" s="83" t="s">
        <v>147</v>
      </c>
      <c r="B264" s="84">
        <v>45805</v>
      </c>
      <c r="C264" s="85">
        <v>0.42499999999999999</v>
      </c>
      <c r="D264" s="86">
        <v>0.26</v>
      </c>
      <c r="E264" s="86">
        <v>3.71</v>
      </c>
      <c r="F264" s="87">
        <v>1.2999999999999999E-2</v>
      </c>
      <c r="G264" s="87">
        <v>3.6970000000000001</v>
      </c>
      <c r="H264" s="83"/>
      <c r="I264" s="86">
        <v>61.2</v>
      </c>
      <c r="J264" s="87">
        <v>1.34199716414519</v>
      </c>
      <c r="K264" s="83"/>
      <c r="L264" s="83" t="s">
        <v>188</v>
      </c>
    </row>
    <row r="265" spans="1:12" ht="13" customHeight="1">
      <c r="A265" s="88" t="s">
        <v>148</v>
      </c>
      <c r="B265" s="89">
        <v>45805</v>
      </c>
      <c r="C265" s="90">
        <v>0.42499999999999999</v>
      </c>
      <c r="D265" s="91">
        <v>0.15</v>
      </c>
      <c r="E265" s="91">
        <v>2.59</v>
      </c>
      <c r="F265" s="88"/>
      <c r="G265" s="88"/>
      <c r="H265" s="93">
        <v>5.0999999999999996</v>
      </c>
      <c r="I265" s="91">
        <v>75</v>
      </c>
      <c r="J265" s="92">
        <v>1.644604367824988</v>
      </c>
      <c r="K265" s="88"/>
      <c r="L265" s="88" t="s">
        <v>188</v>
      </c>
    </row>
    <row r="266" spans="1:12" ht="13" customHeight="1">
      <c r="A266" s="83" t="s">
        <v>149</v>
      </c>
      <c r="B266" s="84">
        <v>45805</v>
      </c>
      <c r="C266" s="85">
        <v>0.42499999999999999</v>
      </c>
      <c r="D266" s="86">
        <v>0.16</v>
      </c>
      <c r="E266" s="86">
        <v>2.9</v>
      </c>
      <c r="F266" s="83"/>
      <c r="G266" s="83"/>
      <c r="H266" s="83"/>
      <c r="I266" s="86">
        <v>89.5</v>
      </c>
      <c r="J266" s="87">
        <v>1.962561212271152</v>
      </c>
      <c r="K266" s="83"/>
      <c r="L266" s="83" t="s">
        <v>188</v>
      </c>
    </row>
    <row r="267" spans="1:12" ht="13" customHeight="1">
      <c r="A267" s="88" t="s">
        <v>150</v>
      </c>
      <c r="B267" s="89">
        <v>45805</v>
      </c>
      <c r="C267" s="90">
        <v>0.42499999999999999</v>
      </c>
      <c r="D267" s="91">
        <v>0.14000000000000001</v>
      </c>
      <c r="E267" s="91">
        <v>2.23</v>
      </c>
      <c r="F267" s="88"/>
      <c r="G267" s="88"/>
      <c r="H267" s="88"/>
      <c r="I267" s="91">
        <v>94.2</v>
      </c>
      <c r="J267" s="92">
        <v>2.065623085988185</v>
      </c>
      <c r="K267" s="88"/>
      <c r="L267" s="88" t="s">
        <v>188</v>
      </c>
    </row>
    <row r="268" spans="1:12" ht="13" customHeight="1">
      <c r="A268" s="83" t="s">
        <v>151</v>
      </c>
      <c r="B268" s="84">
        <v>45805</v>
      </c>
      <c r="C268" s="85">
        <v>0.42499999999999999</v>
      </c>
      <c r="D268" s="86">
        <v>0.15</v>
      </c>
      <c r="E268" s="86">
        <v>2.68</v>
      </c>
      <c r="F268" s="83"/>
      <c r="G268" s="83"/>
      <c r="H268" s="83"/>
      <c r="I268" s="86">
        <v>82.8</v>
      </c>
      <c r="J268" s="87">
        <v>1.8156432220787859</v>
      </c>
      <c r="K268" s="83"/>
      <c r="L268" s="83" t="s">
        <v>188</v>
      </c>
    </row>
    <row r="269" spans="1:12" ht="13" customHeight="1">
      <c r="A269" s="88" t="s">
        <v>152</v>
      </c>
      <c r="B269" s="89">
        <v>45805</v>
      </c>
      <c r="C269" s="90">
        <v>0.42499999999999999</v>
      </c>
      <c r="D269" s="91">
        <v>0.16</v>
      </c>
      <c r="E269" s="91">
        <v>2.89</v>
      </c>
      <c r="F269" s="88"/>
      <c r="G269" s="88"/>
      <c r="H269" s="88"/>
      <c r="I269" s="91">
        <v>85.3</v>
      </c>
      <c r="J269" s="92">
        <v>1.870463367672953</v>
      </c>
      <c r="K269" s="88"/>
      <c r="L269" s="88" t="s">
        <v>188</v>
      </c>
    </row>
    <row r="270" spans="1:12" ht="13" customHeight="1">
      <c r="A270" s="83" t="s">
        <v>153</v>
      </c>
      <c r="B270" s="84">
        <v>45805</v>
      </c>
      <c r="C270" s="85">
        <v>0.42499999999999999</v>
      </c>
      <c r="D270" s="86">
        <v>0.2</v>
      </c>
      <c r="E270" s="86">
        <v>3.43</v>
      </c>
      <c r="F270" s="83"/>
      <c r="G270" s="83"/>
      <c r="H270" s="94">
        <v>6.4</v>
      </c>
      <c r="I270" s="86">
        <v>80.400000000000006</v>
      </c>
      <c r="J270" s="87">
        <v>1.763015882308387</v>
      </c>
      <c r="K270" s="83"/>
      <c r="L270" s="83" t="s">
        <v>188</v>
      </c>
    </row>
    <row r="271" spans="1:12" ht="13" customHeight="1">
      <c r="A271" s="88" t="s">
        <v>154</v>
      </c>
      <c r="B271" s="89">
        <v>45805</v>
      </c>
      <c r="C271" s="90">
        <v>0.42499999999999999</v>
      </c>
      <c r="D271" s="91">
        <v>0.22</v>
      </c>
      <c r="E271" s="91">
        <v>3.83</v>
      </c>
      <c r="F271" s="88"/>
      <c r="G271" s="88"/>
      <c r="H271" s="88"/>
      <c r="I271" s="91">
        <v>75.300000000000011</v>
      </c>
      <c r="J271" s="92">
        <v>1.6511827852962879</v>
      </c>
      <c r="K271" s="88"/>
      <c r="L271" s="88" t="s">
        <v>188</v>
      </c>
    </row>
    <row r="272" spans="1:12" ht="13" customHeight="1">
      <c r="A272" s="83" t="s">
        <v>155</v>
      </c>
      <c r="B272" s="84">
        <v>45805</v>
      </c>
      <c r="C272" s="85">
        <v>0.42499999999999999</v>
      </c>
      <c r="D272" s="86">
        <v>0.19</v>
      </c>
      <c r="E272" s="86">
        <v>3.38</v>
      </c>
      <c r="F272" s="83"/>
      <c r="G272" s="83"/>
      <c r="H272" s="83"/>
      <c r="I272" s="86">
        <v>80.3</v>
      </c>
      <c r="J272" s="87">
        <v>1.76082307648462</v>
      </c>
      <c r="K272" s="83"/>
      <c r="L272" s="83" t="s">
        <v>188</v>
      </c>
    </row>
    <row r="273" spans="1:12" ht="13" customHeight="1">
      <c r="A273" s="88" t="s">
        <v>156</v>
      </c>
      <c r="B273" s="89">
        <v>45805</v>
      </c>
      <c r="C273" s="90">
        <v>0.42499999999999999</v>
      </c>
      <c r="D273" s="91">
        <v>0.11</v>
      </c>
      <c r="E273" s="91">
        <v>2.0499999999999998</v>
      </c>
      <c r="F273" s="92">
        <v>3.0000000000000001E-3</v>
      </c>
      <c r="G273" s="92">
        <v>2.0470000000000002</v>
      </c>
      <c r="H273" s="88"/>
      <c r="I273" s="91">
        <v>100</v>
      </c>
      <c r="J273" s="92">
        <v>2.1928058237666499</v>
      </c>
      <c r="K273" s="88"/>
      <c r="L273" s="88" t="s">
        <v>188</v>
      </c>
    </row>
    <row r="274" spans="1:12" ht="13" customHeight="1">
      <c r="A274" s="83" t="s">
        <v>157</v>
      </c>
      <c r="B274" s="84">
        <v>45805</v>
      </c>
      <c r="C274" s="85">
        <v>0.42499999999999999</v>
      </c>
      <c r="D274" s="86">
        <v>0.12</v>
      </c>
      <c r="E274" s="86">
        <v>2.2200000000000002</v>
      </c>
      <c r="F274" s="83"/>
      <c r="G274" s="83"/>
      <c r="H274" s="83"/>
      <c r="I274" s="86">
        <v>103.4</v>
      </c>
      <c r="J274" s="87">
        <v>2.267361221774717</v>
      </c>
      <c r="K274" s="83"/>
      <c r="L274" s="83" t="s">
        <v>188</v>
      </c>
    </row>
    <row r="275" spans="1:12" ht="13" customHeight="1">
      <c r="A275" s="88" t="s">
        <v>158</v>
      </c>
      <c r="B275" s="89">
        <v>45805</v>
      </c>
      <c r="C275" s="90">
        <v>0.42499999999999999</v>
      </c>
      <c r="D275" s="91">
        <v>0.16</v>
      </c>
      <c r="E275" s="91">
        <v>2.88</v>
      </c>
      <c r="F275" s="88"/>
      <c r="G275" s="88"/>
      <c r="H275" s="93">
        <v>5.2</v>
      </c>
      <c r="I275" s="91">
        <v>87.399999999999991</v>
      </c>
      <c r="J275" s="92">
        <v>1.9165122899720519</v>
      </c>
      <c r="K275" s="88"/>
      <c r="L275" s="88" t="s">
        <v>188</v>
      </c>
    </row>
    <row r="276" spans="1:12" ht="13" customHeight="1">
      <c r="A276" s="83" t="s">
        <v>159</v>
      </c>
      <c r="B276" s="84">
        <v>45805</v>
      </c>
      <c r="C276" s="85">
        <v>0.42499999999999999</v>
      </c>
      <c r="D276" s="86">
        <v>0.17</v>
      </c>
      <c r="E276" s="86">
        <v>3.09</v>
      </c>
      <c r="F276" s="83"/>
      <c r="G276" s="83"/>
      <c r="H276" s="83"/>
      <c r="I276" s="86">
        <v>85.7</v>
      </c>
      <c r="J276" s="87">
        <v>1.879234590968019</v>
      </c>
      <c r="K276" s="83"/>
      <c r="L276" s="83" t="s">
        <v>188</v>
      </c>
    </row>
    <row r="277" spans="1:12" ht="13" customHeight="1">
      <c r="A277" s="88" t="s">
        <v>160</v>
      </c>
      <c r="B277" s="89">
        <v>45805</v>
      </c>
      <c r="C277" s="90">
        <v>0.42499999999999999</v>
      </c>
      <c r="D277" s="91">
        <v>0.12</v>
      </c>
      <c r="E277" s="91">
        <v>2.42</v>
      </c>
      <c r="F277" s="88"/>
      <c r="G277" s="88"/>
      <c r="H277" s="88"/>
      <c r="I277" s="91">
        <v>102.2</v>
      </c>
      <c r="J277" s="92">
        <v>2.2410475518895159</v>
      </c>
      <c r="K277" s="88"/>
      <c r="L277" s="88" t="s">
        <v>188</v>
      </c>
    </row>
    <row r="278" spans="1:12" ht="13" customHeight="1">
      <c r="A278" s="83" t="s">
        <v>161</v>
      </c>
      <c r="B278" s="84">
        <v>45805</v>
      </c>
      <c r="C278" s="85">
        <v>0.42499999999999999</v>
      </c>
      <c r="D278" s="86">
        <v>0.1</v>
      </c>
      <c r="E278" s="86">
        <v>1.76</v>
      </c>
      <c r="F278" s="83"/>
      <c r="G278" s="83"/>
      <c r="H278" s="83"/>
      <c r="I278" s="86">
        <v>136.69999999999999</v>
      </c>
      <c r="J278" s="87">
        <v>2.9975655610890111</v>
      </c>
      <c r="K278" s="83"/>
      <c r="L278" s="83" t="s">
        <v>188</v>
      </c>
    </row>
    <row r="279" spans="1:12" ht="13" customHeight="1">
      <c r="A279" s="88" t="s">
        <v>162</v>
      </c>
      <c r="B279" s="89">
        <v>45805</v>
      </c>
      <c r="C279" s="90">
        <v>0.43611111111111112</v>
      </c>
      <c r="D279" s="91">
        <v>0.51</v>
      </c>
      <c r="E279" s="91">
        <v>6.24</v>
      </c>
      <c r="F279" s="88"/>
      <c r="G279" s="88"/>
      <c r="H279" s="88"/>
      <c r="I279" s="91">
        <v>20.9</v>
      </c>
      <c r="J279" s="92">
        <v>0.45829641716722991</v>
      </c>
      <c r="K279" s="88"/>
      <c r="L279" s="88" t="s">
        <v>188</v>
      </c>
    </row>
    <row r="280" spans="1:12" ht="13" customHeight="1">
      <c r="A280" s="83" t="s">
        <v>163</v>
      </c>
      <c r="B280" s="84">
        <v>45805</v>
      </c>
      <c r="C280" s="85">
        <v>0.43611111111111112</v>
      </c>
      <c r="D280" s="86">
        <v>0.35</v>
      </c>
      <c r="E280" s="86">
        <v>4.62</v>
      </c>
      <c r="F280" s="83"/>
      <c r="G280" s="83"/>
      <c r="H280" s="94">
        <v>9.4</v>
      </c>
      <c r="I280" s="86">
        <v>29.9</v>
      </c>
      <c r="J280" s="87">
        <v>0.65564894130622842</v>
      </c>
      <c r="K280" s="83"/>
      <c r="L280" s="83" t="s">
        <v>188</v>
      </c>
    </row>
    <row r="281" spans="1:12" ht="13" customHeight="1">
      <c r="A281" s="88" t="s">
        <v>164</v>
      </c>
      <c r="B281" s="89">
        <v>45805</v>
      </c>
      <c r="C281" s="90">
        <v>0.43611111111111112</v>
      </c>
      <c r="D281" s="91">
        <v>0.3</v>
      </c>
      <c r="E281" s="91">
        <v>4.75</v>
      </c>
      <c r="F281" s="88"/>
      <c r="G281" s="88"/>
      <c r="H281" s="88"/>
      <c r="I281" s="91">
        <v>28.8</v>
      </c>
      <c r="J281" s="92">
        <v>0.63152807724479521</v>
      </c>
      <c r="K281" s="88"/>
      <c r="L281" s="88" t="s">
        <v>188</v>
      </c>
    </row>
    <row r="282" spans="1:12" ht="13" customHeight="1">
      <c r="A282" s="83" t="s">
        <v>165</v>
      </c>
      <c r="B282" s="84">
        <v>45805</v>
      </c>
      <c r="C282" s="85">
        <v>0.43611111111111112</v>
      </c>
      <c r="D282" s="86">
        <v>0.28999999999999998</v>
      </c>
      <c r="E282" s="86">
        <v>4.49</v>
      </c>
      <c r="F282" s="87">
        <v>8.0000000000000002E-3</v>
      </c>
      <c r="G282" s="87">
        <v>4.4820000000000002</v>
      </c>
      <c r="H282" s="83"/>
      <c r="I282" s="86">
        <v>28.1</v>
      </c>
      <c r="J282" s="87">
        <v>0.61617843647842874</v>
      </c>
      <c r="K282" s="83"/>
      <c r="L282" s="83" t="s">
        <v>188</v>
      </c>
    </row>
    <row r="283" spans="1:12" ht="13" customHeight="1">
      <c r="A283" s="88" t="s">
        <v>166</v>
      </c>
      <c r="B283" s="89">
        <v>45805</v>
      </c>
      <c r="C283" s="90">
        <v>0.43611111111111112</v>
      </c>
      <c r="D283" s="91">
        <v>0.44</v>
      </c>
      <c r="E283" s="91">
        <v>6.54</v>
      </c>
      <c r="F283" s="88"/>
      <c r="G283" s="88"/>
      <c r="H283" s="88"/>
      <c r="I283" s="91">
        <v>22</v>
      </c>
      <c r="J283" s="92">
        <v>0.48241728122866301</v>
      </c>
      <c r="K283" s="88"/>
      <c r="L283" s="88" t="s">
        <v>188</v>
      </c>
    </row>
    <row r="284" spans="1:12" ht="13" customHeight="1">
      <c r="A284" s="83" t="s">
        <v>167</v>
      </c>
      <c r="B284" s="84">
        <v>45805</v>
      </c>
      <c r="C284" s="85">
        <v>0.43611111111111112</v>
      </c>
      <c r="D284" s="86">
        <v>0.34</v>
      </c>
      <c r="E284" s="86">
        <v>5.76</v>
      </c>
      <c r="F284" s="83"/>
      <c r="G284" s="83"/>
      <c r="H284" s="83"/>
      <c r="I284" s="86">
        <v>30.6</v>
      </c>
      <c r="J284" s="87">
        <v>0.670998582072595</v>
      </c>
      <c r="K284" s="83"/>
      <c r="L284" s="83" t="s">
        <v>188</v>
      </c>
    </row>
    <row r="285" spans="1:12" ht="13" customHeight="1">
      <c r="A285" s="88" t="s">
        <v>168</v>
      </c>
      <c r="B285" s="89">
        <v>45805</v>
      </c>
      <c r="C285" s="90">
        <v>0.43611111111111112</v>
      </c>
      <c r="D285" s="91">
        <v>0.35</v>
      </c>
      <c r="E285" s="91">
        <v>5.88</v>
      </c>
      <c r="F285" s="88"/>
      <c r="G285" s="88"/>
      <c r="H285" s="93">
        <v>11.1</v>
      </c>
      <c r="I285" s="91">
        <v>33.299999999999997</v>
      </c>
      <c r="J285" s="92">
        <v>0.7302043393142944</v>
      </c>
      <c r="K285" s="88"/>
      <c r="L285" s="88" t="s">
        <v>188</v>
      </c>
    </row>
    <row r="286" spans="1:12" ht="13" customHeight="1">
      <c r="A286" s="83" t="s">
        <v>169</v>
      </c>
      <c r="B286" s="84">
        <v>45805</v>
      </c>
      <c r="C286" s="85">
        <v>0.43611111111111112</v>
      </c>
      <c r="D286" s="86">
        <v>0.28999999999999998</v>
      </c>
      <c r="E286" s="86">
        <v>4.8600000000000003</v>
      </c>
      <c r="F286" s="83"/>
      <c r="G286" s="83"/>
      <c r="H286" s="83"/>
      <c r="I286" s="86">
        <v>22.3</v>
      </c>
      <c r="J286" s="87">
        <v>0.48899569869996301</v>
      </c>
      <c r="K286" s="83"/>
      <c r="L286" s="83" t="s">
        <v>188</v>
      </c>
    </row>
    <row r="287" spans="1:12" ht="13" customHeight="1">
      <c r="A287" s="88" t="s">
        <v>170</v>
      </c>
      <c r="B287" s="89">
        <v>45805</v>
      </c>
      <c r="C287" s="90">
        <v>0.43611111111111112</v>
      </c>
      <c r="D287" s="91">
        <v>0.21</v>
      </c>
      <c r="E287" s="91">
        <v>3.7</v>
      </c>
      <c r="F287" s="88"/>
      <c r="G287" s="88"/>
      <c r="H287" s="88"/>
      <c r="I287" s="91">
        <v>29.6</v>
      </c>
      <c r="J287" s="92">
        <v>0.64907052383492847</v>
      </c>
      <c r="K287" s="88"/>
      <c r="L287" s="88" t="s">
        <v>188</v>
      </c>
    </row>
    <row r="288" spans="1:12" ht="13" customHeight="1">
      <c r="A288" s="83" t="s">
        <v>171</v>
      </c>
      <c r="B288" s="84">
        <v>45805</v>
      </c>
      <c r="C288" s="85">
        <v>0.43611111111111112</v>
      </c>
      <c r="D288" s="86">
        <v>0.23</v>
      </c>
      <c r="E288" s="86">
        <v>4.34</v>
      </c>
      <c r="F288" s="83"/>
      <c r="G288" s="83"/>
      <c r="H288" s="83"/>
      <c r="I288" s="86">
        <v>28.7</v>
      </c>
      <c r="J288" s="87">
        <v>0.62933527142102863</v>
      </c>
      <c r="K288" s="83"/>
      <c r="L288" s="83" t="s">
        <v>188</v>
      </c>
    </row>
    <row r="289" spans="1:12" ht="13" customHeight="1">
      <c r="A289" s="88" t="s">
        <v>172</v>
      </c>
      <c r="B289" s="89">
        <v>45805</v>
      </c>
      <c r="C289" s="90">
        <v>0.43611111111111112</v>
      </c>
      <c r="D289" s="91">
        <v>0.28999999999999998</v>
      </c>
      <c r="E289" s="91">
        <v>5.0999999999999996</v>
      </c>
      <c r="F289" s="88"/>
      <c r="G289" s="88"/>
      <c r="H289" s="88"/>
      <c r="I289" s="91">
        <v>53.400000000000013</v>
      </c>
      <c r="J289" s="92">
        <v>1.1709583098913909</v>
      </c>
      <c r="K289" s="88"/>
      <c r="L289" s="88" t="s">
        <v>188</v>
      </c>
    </row>
    <row r="290" spans="1:12" ht="13" customHeight="1">
      <c r="A290" s="83" t="s">
        <v>173</v>
      </c>
      <c r="B290" s="84">
        <v>45805</v>
      </c>
      <c r="C290" s="85">
        <v>0.43611111111111112</v>
      </c>
      <c r="D290" s="86">
        <v>0.31</v>
      </c>
      <c r="E290" s="86">
        <v>4.91</v>
      </c>
      <c r="F290" s="83"/>
      <c r="G290" s="83"/>
      <c r="H290" s="94">
        <v>9.4</v>
      </c>
      <c r="I290" s="86">
        <v>53.1</v>
      </c>
      <c r="J290" s="87">
        <v>1.164379892420091</v>
      </c>
      <c r="K290" s="83"/>
      <c r="L290" s="83" t="s">
        <v>188</v>
      </c>
    </row>
    <row r="291" spans="1:12" ht="13" customHeight="1">
      <c r="A291" s="88" t="s">
        <v>174</v>
      </c>
      <c r="B291" s="89">
        <v>45805</v>
      </c>
      <c r="C291" s="90">
        <v>0.43611111111111112</v>
      </c>
      <c r="D291" s="91">
        <v>0.25</v>
      </c>
      <c r="E291" s="91">
        <v>3.99</v>
      </c>
      <c r="F291" s="92">
        <v>7.0000000000000001E-3</v>
      </c>
      <c r="G291" s="92">
        <v>3.9830000000000001</v>
      </c>
      <c r="H291" s="88"/>
      <c r="I291" s="91">
        <v>55.6</v>
      </c>
      <c r="J291" s="92">
        <v>1.219200038014258</v>
      </c>
      <c r="K291" s="88"/>
      <c r="L291" s="88" t="s">
        <v>188</v>
      </c>
    </row>
    <row r="292" spans="1:12" ht="13" customHeight="1">
      <c r="A292" s="83" t="s">
        <v>175</v>
      </c>
      <c r="B292" s="84">
        <v>45805</v>
      </c>
      <c r="C292" s="85">
        <v>0.43611111111111112</v>
      </c>
      <c r="D292" s="86">
        <v>0.2</v>
      </c>
      <c r="E292" s="86">
        <v>3.18</v>
      </c>
      <c r="F292" s="83"/>
      <c r="G292" s="83"/>
      <c r="H292" s="83"/>
      <c r="I292" s="86">
        <v>67.3</v>
      </c>
      <c r="J292" s="87">
        <v>1.4757583193949551</v>
      </c>
      <c r="K292" s="83"/>
      <c r="L292" s="83" t="s">
        <v>188</v>
      </c>
    </row>
    <row r="293" spans="1:12" ht="13" customHeight="1">
      <c r="A293" s="88" t="s">
        <v>176</v>
      </c>
      <c r="B293" s="89">
        <v>45805</v>
      </c>
      <c r="C293" s="90">
        <v>0.43611111111111112</v>
      </c>
      <c r="D293" s="91">
        <v>0.24</v>
      </c>
      <c r="E293" s="91">
        <v>3.47</v>
      </c>
      <c r="F293" s="88"/>
      <c r="G293" s="88"/>
      <c r="H293" s="88"/>
      <c r="I293" s="91">
        <v>55.2</v>
      </c>
      <c r="J293" s="92">
        <v>1.2104288147191911</v>
      </c>
      <c r="K293" s="88"/>
      <c r="L293" s="88" t="s">
        <v>188</v>
      </c>
    </row>
    <row r="294" spans="1:12" ht="13" customHeight="1">
      <c r="A294" s="83" t="s">
        <v>177</v>
      </c>
      <c r="B294" s="84">
        <v>45805</v>
      </c>
      <c r="C294" s="85">
        <v>0.43611111111111112</v>
      </c>
      <c r="D294" s="86">
        <v>0.21</v>
      </c>
      <c r="E294" s="86">
        <v>3.06</v>
      </c>
      <c r="F294" s="83"/>
      <c r="G294" s="83"/>
      <c r="H294" s="83"/>
      <c r="I294" s="86">
        <v>59.8</v>
      </c>
      <c r="J294" s="87">
        <v>1.3112978826124571</v>
      </c>
      <c r="K294" s="83"/>
      <c r="L294" s="83" t="s">
        <v>188</v>
      </c>
    </row>
    <row r="295" spans="1:12" ht="13" customHeight="1">
      <c r="A295" s="88" t="s">
        <v>178</v>
      </c>
      <c r="B295" s="89">
        <v>45805</v>
      </c>
      <c r="C295" s="90">
        <v>0.43611111111111112</v>
      </c>
      <c r="D295" s="91">
        <v>0.21</v>
      </c>
      <c r="E295" s="91">
        <v>3.22</v>
      </c>
      <c r="F295" s="88"/>
      <c r="G295" s="88"/>
      <c r="H295" s="93">
        <v>6.3</v>
      </c>
      <c r="I295" s="91">
        <v>59.600000000000009</v>
      </c>
      <c r="J295" s="92">
        <v>1.3069122709649239</v>
      </c>
      <c r="K295" s="88"/>
      <c r="L295" s="88" t="s">
        <v>188</v>
      </c>
    </row>
    <row r="296" spans="1:12" ht="13" customHeight="1">
      <c r="A296" s="83" t="s">
        <v>179</v>
      </c>
      <c r="B296" s="84">
        <v>45805</v>
      </c>
      <c r="C296" s="85">
        <v>0.43611111111111112</v>
      </c>
      <c r="D296" s="86">
        <v>0.21</v>
      </c>
      <c r="E296" s="86">
        <v>3.22</v>
      </c>
      <c r="F296" s="83"/>
      <c r="G296" s="83"/>
      <c r="H296" s="83"/>
      <c r="I296" s="86">
        <v>80</v>
      </c>
      <c r="J296" s="87">
        <v>1.7542446590133201</v>
      </c>
      <c r="K296" s="83"/>
      <c r="L296" s="83" t="s">
        <v>188</v>
      </c>
    </row>
    <row r="297" spans="1:12" ht="13" customHeight="1">
      <c r="A297" s="88" t="s">
        <v>180</v>
      </c>
      <c r="B297" s="89">
        <v>45805</v>
      </c>
      <c r="C297" s="90">
        <v>0.43611111111111112</v>
      </c>
      <c r="D297" s="91">
        <v>0.18</v>
      </c>
      <c r="E297" s="91">
        <v>3.02</v>
      </c>
      <c r="F297" s="88"/>
      <c r="G297" s="88"/>
      <c r="H297" s="88"/>
      <c r="I297" s="91">
        <v>82.300000000000011</v>
      </c>
      <c r="J297" s="92">
        <v>1.804679192959953</v>
      </c>
      <c r="K297" s="88"/>
      <c r="L297" s="88" t="s">
        <v>188</v>
      </c>
    </row>
    <row r="298" spans="1:12" ht="13" customHeight="1">
      <c r="A298" s="83" t="s">
        <v>181</v>
      </c>
      <c r="B298" s="84">
        <v>45805</v>
      </c>
      <c r="C298" s="85">
        <v>0.43611111111111112</v>
      </c>
      <c r="D298" s="86">
        <v>0.18</v>
      </c>
      <c r="E298" s="86">
        <v>3.3</v>
      </c>
      <c r="F298" s="83"/>
      <c r="G298" s="83"/>
      <c r="H298" s="83"/>
      <c r="I298" s="86">
        <v>98.6</v>
      </c>
      <c r="J298" s="87">
        <v>2.162106542233917</v>
      </c>
      <c r="K298" s="83"/>
      <c r="L298" s="83" t="s">
        <v>188</v>
      </c>
    </row>
    <row r="299" spans="1:12" ht="13" customHeight="1">
      <c r="A299" s="88" t="s">
        <v>182</v>
      </c>
      <c r="B299" s="89">
        <v>45805</v>
      </c>
      <c r="C299" s="90">
        <v>0.43611111111111112</v>
      </c>
      <c r="D299" s="91">
        <v>0.19</v>
      </c>
      <c r="E299" s="91">
        <v>4.3099999999999996</v>
      </c>
      <c r="F299" s="88"/>
      <c r="G299" s="88"/>
      <c r="H299" s="88"/>
      <c r="I299" s="91">
        <v>91.1</v>
      </c>
      <c r="J299" s="92">
        <v>1.9976461054514181</v>
      </c>
      <c r="K299" s="88"/>
      <c r="L299" s="88" t="s">
        <v>188</v>
      </c>
    </row>
    <row r="300" spans="1:12" ht="13" customHeight="1">
      <c r="A300" s="83" t="s">
        <v>183</v>
      </c>
      <c r="B300" s="84">
        <v>45805</v>
      </c>
      <c r="C300" s="85">
        <v>0.43611111111111112</v>
      </c>
      <c r="D300" s="86">
        <v>0.13</v>
      </c>
      <c r="E300" s="86">
        <v>2.7</v>
      </c>
      <c r="F300" s="87">
        <v>8.9999999999999993E-3</v>
      </c>
      <c r="G300" s="87">
        <v>2.6909999999999998</v>
      </c>
      <c r="H300" s="94">
        <v>4.9000000000000004</v>
      </c>
      <c r="I300" s="86">
        <v>125.2</v>
      </c>
      <c r="J300" s="87">
        <v>2.7453928913558459</v>
      </c>
      <c r="K300" s="83"/>
      <c r="L300" s="83" t="s">
        <v>188</v>
      </c>
    </row>
    <row r="302" spans="1:12" ht="11.15" customHeight="1">
      <c r="A302" s="95" t="s">
        <v>370</v>
      </c>
    </row>
    <row r="303" spans="1:12" ht="11.15" customHeight="1">
      <c r="A303" s="95" t="s">
        <v>371</v>
      </c>
    </row>
    <row r="304" spans="1:12" ht="11.15" customHeight="1">
      <c r="A304" s="95" t="s">
        <v>372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2c8715f-13ef-404c-b551-483bc15f3392" xsi:nil="true"/>
    <lcf76f155ced4ddcb4097134ff3c332f xmlns="2ca061e2-7a0e-4eb7-b526-b6370c7b2ec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D17BA32B534343B75883520F03A37A" ma:contentTypeVersion="15" ma:contentTypeDescription="Create a new document." ma:contentTypeScope="" ma:versionID="e4b36e0c56860afaf12084b424b76508">
  <xsd:schema xmlns:xsd="http://www.w3.org/2001/XMLSchema" xmlns:xs="http://www.w3.org/2001/XMLSchema" xmlns:p="http://schemas.microsoft.com/office/2006/metadata/properties" xmlns:ns2="2ca061e2-7a0e-4eb7-b526-b6370c7b2ecb" xmlns:ns3="42c8715f-13ef-404c-b551-483bc15f3392" targetNamespace="http://schemas.microsoft.com/office/2006/metadata/properties" ma:root="true" ma:fieldsID="7524f533a089c869c764d5d7a76f94af" ns2:_="" ns3:_="">
    <xsd:import namespace="2ca061e2-7a0e-4eb7-b526-b6370c7b2ecb"/>
    <xsd:import namespace="42c8715f-13ef-404c-b551-483bc15f33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a061e2-7a0e-4eb7-b526-b6370c7b2e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a05d9b2-8179-4e30-8524-26aee539a64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c8715f-13ef-404c-b551-483bc15f339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ef6cc9-7301-42cd-a086-fb2685a0322d}" ma:internalName="TaxCatchAll" ma:showField="CatchAllData" ma:web="42c8715f-13ef-404c-b551-483bc15f339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5E6B09B-4B6B-4588-AF3E-0CB3D9147524}">
  <ds:schemaRefs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2ca061e2-7a0e-4eb7-b526-b6370c7b2ecb"/>
    <ds:schemaRef ds:uri="http://purl.org/dc/terms/"/>
    <ds:schemaRef ds:uri="http://www.w3.org/XML/1998/namespace"/>
    <ds:schemaRef ds:uri="42c8715f-13ef-404c-b551-483bc15f3392"/>
    <ds:schemaRef ds:uri="http://schemas.microsoft.com/office/2006/documentManagement/types"/>
    <ds:schemaRef ds:uri="http://purl.org/dc/dcmitype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593BAC8-55A5-4A77-B924-5D1058CE6E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E0A8A3-AA5C-4904-843E-95C6FD5B7A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a061e2-7a0e-4eb7-b526-b6370c7b2ecb"/>
    <ds:schemaRef ds:uri="42c8715f-13ef-404c-b551-483bc15f339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Cores_metadata</vt:lpstr>
      <vt:lpstr>CHE_Mar18-19_BCEL_results</vt:lpstr>
      <vt:lpstr>CHE_May28_BCEL_results</vt:lpstr>
      <vt:lpstr>CHE_BCEL_results-combined</vt:lpstr>
      <vt:lpstr>'CHE_Mar18-19_BCEL_results'!Print_Area</vt:lpstr>
      <vt:lpstr>CHE_May28_BCEL_results!Print_Area</vt:lpstr>
      <vt:lpstr>'CHE_Mar18-19_BCEL_results'!Print_Titles</vt:lpstr>
      <vt:lpstr>CHE_May28_BCEL_results!Print_Titles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Branch</dc:creator>
  <cp:lastModifiedBy>Cathal Doherty</cp:lastModifiedBy>
  <cp:lastPrinted>2018-08-17T20:36:22Z</cp:lastPrinted>
  <dcterms:created xsi:type="dcterms:W3CDTF">1998-12-10T16:26:02Z</dcterms:created>
  <dcterms:modified xsi:type="dcterms:W3CDTF">2026-10-06T15:06:47Z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0x010100CAD17BA32B534343B75883520F03A37A</vt:lpwstr>
  </property>
  <property fmtid="{D5CDD505-2E9C-101B-9397-08002B2CF9AE}" pid="3" name="MediaServiceImageTags">
    <vt:lpwstr/>
  </property>
</Properties>
</file>