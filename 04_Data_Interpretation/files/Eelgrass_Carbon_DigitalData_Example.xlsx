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Instructions" sheetId="1" state="visible" r:id="rId3"/>
    <sheet name="2. Plot &amp; Core Log" sheetId="2" state="visible" r:id="rId4"/>
    <sheet name="3. Sample Data" sheetId="3" state="visible" r:id="rId5"/>
    <sheet name="4. Core Summary" sheetId="4" state="visible" r:id="rId6"/>
  </sheets>
  <definedNames>
    <definedName function="false" hidden="false" name="CORER_DIAMETER_CM" vbProcedure="false">'1. Instructions'!$B$11</definedName>
    <definedName function="false" hidden="false" name="LOI_INTERCEPT" vbProcedure="false">'1. Instructions'!$B$30</definedName>
    <definedName function="false" hidden="false" name="LOI_SLOPE" vbProcedure="false">'1. Instructions'!$B$31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<sst xmlns="http://schemas.openxmlformats.org/spreadsheetml/2006/main" count="309" uniqueCount="160">
  <si>
    <t xml:space="preserve">Eelgrass Workshop — Digital Data Sheet</t>
  </si>
  <si>
    <t xml:space="preserve">Companion to WWF-Canada, Measuring Carbon in Coastal Sediments (2026), and Part 4 of the Blue Carbon Eelgrass Workshop.</t>
  </si>
  <si>
    <t xml:space="preserve">HOW TO USE THIS WORKBOOK</t>
  </si>
  <si>
    <t xml:space="preserve">Sheet 2 — Plot &amp; Core Log</t>
  </si>
  <si>
    <t xml:space="preserve">One row per CORE. Enter plot/core notes, the two compaction depths and (if you stratified) the stratum. The compaction factor calculates itself. Enter a corer diameter there only for a core taken with a different tube from the one below.</t>
  </si>
  <si>
    <t xml:space="preserve">Sheet 3 — Sample Data</t>
  </si>
  <si>
    <t xml:space="preserve">One row per SLICE. Enter the field columns before you leave site, then add the lab columns when results come back. Everything else calculates, and the Slice check column tells you what is missing or inconsistent.</t>
  </si>
  <si>
    <t xml:space="preserve">Sheet 4 — Core Summary</t>
  </si>
  <si>
    <t xml:space="preserve">Per-core totals and standard depth increments. Fully automatic — nothing to type here.</t>
  </si>
  <si>
    <t xml:space="preserve">YOUR CORER</t>
  </si>
  <si>
    <t xml:space="preserve">Corer internal diameter (cm)</t>
  </si>
  <si>
    <t xml:space="preserve">About the diameter</t>
  </si>
  <si>
    <t xml:space="preserve">Measured inside the tube with calipers — not the nominal pipe size (see THINGS THAT CATCH PEOPLE OUT). Used for every core, unless Sheet 2 column J gives a different value for that core. Leave it blank and the slices are flagged: the volume, and so the bulk density, cannot be calculated.</t>
  </si>
  <si>
    <t xml:space="preserve">COLOUR KEY</t>
  </si>
  <si>
    <t xml:space="preserve">Yellow fill / blue text</t>
  </si>
  <si>
    <t xml:space="preserve">You type here: data from the field data sheet, or from the lab.</t>
  </si>
  <si>
    <t xml:space="preserve">Grey fill / black text</t>
  </si>
  <si>
    <t xml:space="preserve">Calculated. Do not type over these — you will break the column.</t>
  </si>
  <si>
    <t xml:space="preserve">Green text</t>
  </si>
  <si>
    <t xml:space="preserve">Pulled from another sheet in this workbook.</t>
  </si>
  <si>
    <t xml:space="preserve">THE FIVE BANDS ON SHEET 3</t>
  </si>
  <si>
    <t xml:space="preserve">1. Data from the field</t>
  </si>
  <si>
    <t xml:space="preserve">Copy directly from the field data sheet.</t>
  </si>
  <si>
    <t xml:space="preserve">2. Calculated before the lab</t>
  </si>
  <si>
    <t xml:space="preserve">Depth interval, compaction-corrected (in-situ) depths, and sample volume. You need the volume to hand to the lab, or to compute bulk density yourself.</t>
  </si>
  <si>
    <t xml:space="preserve">3. Measured by the lab</t>
  </si>
  <si>
    <t xml:space="preserve">Wet weight, dry weight of the whole slice, the carbon value, and what that carbon value is (column O: OC, TC or LOI).</t>
  </si>
  <si>
    <t xml:space="preserve">4. Calculated after the lab</t>
  </si>
  <si>
    <t xml:space="preserve">Bulk density, organic carbon, carbon density, carbon stock per slice, and the share of each slice's stock that falls in each standard depth increment.</t>
  </si>
  <si>
    <t xml:space="preserve">5. Check</t>
  </si>
  <si>
    <t xml:space="preserve">One plain-language message per slice. A core is only totalled when all its slices say OK.</t>
  </si>
  <si>
    <t xml:space="preserve">CARBON: WHAT THE LAB MEASURED</t>
  </si>
  <si>
    <t xml:space="preserve">OC</t>
  </si>
  <si>
    <t xml:space="preserve">Organic carbon measured directly — elemental analyser on acid-treated sample, or total carbon minus measured inorganic carbon. Used as is.</t>
  </si>
  <si>
    <t xml:space="preserve">TC</t>
  </si>
  <si>
    <t xml:space="preserve">Total carbon. Includes shell and other carbonate, which is not organic carbon. It is not used: ask the lab for inorganic carbon (IC) and enter OC = TC − IC instead.</t>
  </si>
  <si>
    <t xml:space="preserve">LOI</t>
  </si>
  <si>
    <t xml:space="preserve">Loss on ignition (% organic matter). Converted to organic carbon with the equation below: OC% = intercept + slope × LOI%. A value that would convert to below zero is outside the equation's range and is flagged, not set to zero.</t>
  </si>
  <si>
    <t xml:space="preserve">LOI intercept</t>
  </si>
  <si>
    <t xml:space="preserve">Example: local calibration from the 16 slices in these cores with both elemental OC and LOI (r² = 0.73).</t>
  </si>
  <si>
    <t xml:space="preserve">LOI slope</t>
  </si>
  <si>
    <t xml:space="preserve">Where the equation comes from</t>
  </si>
  <si>
    <t xml:space="preserve">Best: your own calibration — run elemental analysis on a subset of the same samples and fit OC against LOI. Otherwise use a published seagrass equation and cite it. Leave these blank and LOI rows stay unconverted (the Slice check says so). Report the equation you used.</t>
  </si>
  <si>
    <t xml:space="preserve">UNITS</t>
  </si>
  <si>
    <t xml:space="preserve">Depths</t>
  </si>
  <si>
    <t xml:space="preserve">centimetres (cm)</t>
  </si>
  <si>
    <t xml:space="preserve">Weights</t>
  </si>
  <si>
    <t xml:space="preserve">grams (g). Some labs report kilograms — convert before typing.</t>
  </si>
  <si>
    <t xml:space="preserve">Volume</t>
  </si>
  <si>
    <t xml:space="preserve">cubic centimetres (cm3)</t>
  </si>
  <si>
    <t xml:space="preserve">Carbon value</t>
  </si>
  <si>
    <t xml:space="preserve">percent of dry mass (0–100). If the lab reports a fraction (0–1), multiply by 100.</t>
  </si>
  <si>
    <t xml:space="preserve">Dry bulk density</t>
  </si>
  <si>
    <t xml:space="preserve">g/cm3 = dry weight of the whole slice ÷ slice volume</t>
  </si>
  <si>
    <t xml:space="preserve">Carbon stock</t>
  </si>
  <si>
    <t xml:space="preserve">g C/cm2 per slice (field guide Eq 4) and kg C/m2 (Eq 6). × 10 gives Mg C/ha.</t>
  </si>
  <si>
    <t xml:space="preserve">STANDARD DEPTH INCREMENTS</t>
  </si>
  <si>
    <t xml:space="preserve">0–15, 15–30, 30–50, 50–100 cm</t>
  </si>
  <si>
    <t xml:space="preserve">Measured on in-situ depths. A slice that crosses a boundary is split in proportion to how much of it lies on each side. Sheet 4 only reports an increment when the core reaches its bottom; otherwise it says 'partial' or 'not reached'.</t>
  </si>
  <si>
    <t xml:space="preserve">THE ANALYSIS (Part 4)</t>
  </si>
  <si>
    <t xml:space="preserve">No export needed</t>
  </si>
  <si>
    <t xml:space="preserve">The R workflow reads this workbook directly. Keep the tab names and the header rows as they are, save as .xlsx (in Google Sheets: File → Download → Microsoft Excel), and point the workflow's settings file at it.</t>
  </si>
  <si>
    <t xml:space="preserve">THINGS THAT CATCH PEOPLE OUT</t>
  </si>
  <si>
    <t xml:space="preserve">Measure your actual corer diameter</t>
  </si>
  <si>
    <t xml:space="preserve">Nominal pipe size is not internal diameter. A '3 inch' Schedule 40 PVC pipe has an internal diameter noticeably larger than 7.62 cm. Volume sits in the denominator of bulk density, so an assumed diameter biases EVERY carbon stock in the dataset. Measure the ID with calipers and enter it under YOUR CORER above (and on the field data sheet).</t>
  </si>
  <si>
    <t xml:space="preserve">Compaction corrects depths, not stocks</t>
  </si>
  <si>
    <t xml:space="preserve">Carbon stock per slice uses the MEASURED interval and the recovered-slice volume. The dry mass in the tube already came from a taller in-situ column, so multiplying by the compaction factor as well would double-count it. The corrected depths (columns I–J) tell you which in-situ depth each slice represents, which is what the depth increments need.</t>
  </si>
  <si>
    <t xml:space="preserve">Dry weight and volume must be the same material</t>
  </si>
  <si>
    <t xml:space="preserve">Bulk density needs the dry weight of the WHOLE slice. If the lab only weighs a subsample, use the whole-slice dry weight you recorded before subsampling — never the subsample mass against the whole-slice volume.</t>
  </si>
  <si>
    <t xml:space="preserve">A blank is not a zero</t>
  </si>
  <si>
    <t xml:space="preserve">Missing slices, gaps between slices and missing lab values are flagged, and the core is not totalled until they are resolved. Nothing is filled in for you.</t>
  </si>
  <si>
    <t xml:space="preserve">Plot &amp; Core Log — one row per core</t>
  </si>
  <si>
    <t xml:space="preserve">Enter one row for every core you collect. Core ID must be unique and must match exactly what you type on Sheet 3 — the sample rows look up their compaction factor and corer diameter from here.</t>
  </si>
  <si>
    <t xml:space="preserve">Plot &amp; core identification</t>
  </si>
  <si>
    <t xml:space="preserve">Coring measurements</t>
  </si>
  <si>
    <t xml:space="preserve">Calculated</t>
  </si>
  <si>
    <t xml:space="preserve">Design &amp; notes</t>
  </si>
  <si>
    <t xml:space="preserve">Corer used</t>
  </si>
  <si>
    <t xml:space="preserve">Plot ID</t>
  </si>
  <si>
    <t xml:space="preserve">Core ID</t>
  </si>
  <si>
    <t xml:space="preserve">Date</t>
  </si>
  <si>
    <t xml:space="preserve">Time</t>
  </si>
  <si>
    <t xml:space="preserve">Study area / site</t>
  </si>
  <si>
    <t xml:space="preserve">Latitude</t>
  </si>
  <si>
    <t xml:space="preserve">Longitude</t>
  </si>
  <si>
    <t xml:space="preserve">Photo series ID</t>
  </si>
  <si>
    <t xml:space="preserve">Weather / tidal conditions</t>
  </si>
  <si>
    <t xml:space="preserve">Corer internal
diameter (cm)
only if different
from Instructions</t>
  </si>
  <si>
    <t xml:space="preserve">Outside depth (cm)
= depth of corer inserted</t>
  </si>
  <si>
    <t xml:space="preserve">Inside depth (cm)
= length of core extracted</t>
  </si>
  <si>
    <t xml:space="preserve">Compaction factor
= outside / inside</t>
  </si>
  <si>
    <t xml:space="preserve">Compaction (cm)
= outside - inside</t>
  </si>
  <si>
    <t xml:space="preserve">QC check</t>
  </si>
  <si>
    <t xml:space="preserve">Stratum (code)
e.g. SG</t>
  </si>
  <si>
    <t xml:space="preserve">Compaction not measured?
enter: assume none</t>
  </si>
  <si>
    <t xml:space="preserve">Core notes</t>
  </si>
  <si>
    <t xml:space="preserve">Corer diameter
used (cm)</t>
  </si>
  <si>
    <t xml:space="preserve">Diameter
from</t>
  </si>
  <si>
    <t xml:space="preserve">S5</t>
  </si>
  <si>
    <t xml:space="preserve">COW-S5</t>
  </si>
  <si>
    <t xml:space="preserve">Cowichan Estuary, BC — eelgrass</t>
  </si>
  <si>
    <t xml:space="preserve">SG</t>
  </si>
  <si>
    <t xml:space="preserve">assume none</t>
  </si>
  <si>
    <t xml:space="preserve">Published core (Douglas et al. 2022, via Janousek et al. 2025). Sampling date and insertion depth not published; source reports no compaction observed.</t>
  </si>
  <si>
    <t xml:space="preserve">S6</t>
  </si>
  <si>
    <t xml:space="preserve">COW-S6</t>
  </si>
  <si>
    <t xml:space="preserve">S7</t>
  </si>
  <si>
    <t xml:space="preserve">COW-S7</t>
  </si>
  <si>
    <t xml:space="preserve">Definitions — outside vs inside depth</t>
  </si>
  <si>
    <t xml:space="preserve">Outside depth = how far the corer was driven into the sediment (the datasheet's 'Depth of corer inserted'). Inside depth = the length of core actually recovered in the tube ('Length of core extracted'). Compaction factor = outside / inside: the number a measured depth is multiplied by to give its true in-situ depth. If compaction was not measured, leave both blank and type 'assume none' in column Q only if you have a reason to believe there was none — the QC check will then say ASSUMED, never OK. Stratum: the code from your sampling design (Part 2), e.g. SG; leave blank if you did not stratify. Corer diameter: enter it once on the Instructions tab (YOUR CORER); fill column J only for a core taken with a different tube. Column S shows the diameter used.</t>
  </si>
  <si>
    <t xml:space="preserve">Sample Data — one row per slice</t>
  </si>
  <si>
    <t xml:space="preserve">Type only in the yellow columns. Core ID must match Sheet 2 exactly. Enter the carbon value as a percent of dry mass (0.9 means 0.9%), and say what it is in column O: OC, TC or LOI.</t>
  </si>
  <si>
    <t xml:space="preserve">Sample ID</t>
  </si>
  <si>
    <t xml:space="preserve">Top depth
(cm)</t>
  </si>
  <si>
    <t xml:space="preserve">Bottom depth
(cm)</t>
  </si>
  <si>
    <t xml:space="preserve">Notes</t>
  </si>
  <si>
    <t xml:space="preserve">Depth interval
(cm)</t>
  </si>
  <si>
    <t xml:space="preserve">Compaction
factor</t>
  </si>
  <si>
    <t xml:space="preserve">Corer diameter
(cm)</t>
  </si>
  <si>
    <t xml:space="preserve">In-situ top
depth (cm)</t>
  </si>
  <si>
    <t xml:space="preserve">In-situ bottom
depth (cm)</t>
  </si>
  <si>
    <t xml:space="preserve">Sample volume
(cm3)</t>
  </si>
  <si>
    <t xml:space="preserve">Wet weight
(g)</t>
  </si>
  <si>
    <t xml:space="preserve">Dry weight
(g)
whole slice</t>
  </si>
  <si>
    <t xml:space="preserve">Carbon value
(% of dry mass)</t>
  </si>
  <si>
    <t xml:space="preserve">Carbon measured as
OC / TC / LOI</t>
  </si>
  <si>
    <t xml:space="preserve">Water content
(%)</t>
  </si>
  <si>
    <t xml:space="preserve">Dry bulk density
(g/cm3)</t>
  </si>
  <si>
    <t xml:space="preserve">Organic carbon
(%)</t>
  </si>
  <si>
    <t xml:space="preserve">Organic carbon
(g/kg)</t>
  </si>
  <si>
    <t xml:space="preserve">Carbon density
(g C/cm3)</t>
  </si>
  <si>
    <t xml:space="preserve">Carbon stock
(g C/cm2)</t>
  </si>
  <si>
    <t xml:space="preserve">Carbon stock
(kg C/m2)</t>
  </si>
  <si>
    <t xml:space="preserve">Stock in
0–15 cm
(kg C/m2)</t>
  </si>
  <si>
    <t xml:space="preserve">Stock in
15–30 cm
(kg C/m2)</t>
  </si>
  <si>
    <t xml:space="preserve">Stock in
30–50 cm
(kg C/m2)</t>
  </si>
  <si>
    <t xml:space="preserve">Stock in
50–100 cm
(kg C/m2)</t>
  </si>
  <si>
    <t xml:space="preserve">Slice check</t>
  </si>
  <si>
    <t xml:space="preserve">OC: elemental analyser, carbonate removed by acid fumigation. Dry weight back-calculated from published bulk density.</t>
  </si>
  <si>
    <t xml:space="preserve">LOI 550 °C, 5 h (no elemental C for this slice). Dry weight back-calculated from published bulk density.</t>
  </si>
  <si>
    <t xml:space="preserve">Depths in columns C–D are measured down the recovered core (in the tube). The increment columns W–Z use in-situ depths (I–J), splitting a slice that crosses a boundary in proportion to its overlap, so no carbon is gained or lost.</t>
  </si>
  <si>
    <t xml:space="preserve">Core Summary — automatic, nothing to type</t>
  </si>
  <si>
    <t xml:space="preserve">One row per core on Sheet 2. A core is totalled only when its QC check on Sheet 2 is OK (or ASSUMED) and every one of its slices passes the Slice check on Sheet 3 — a missing value is never counted as zero. Increments use in-situ depths.</t>
  </si>
  <si>
    <t xml:space="preserve">Stratum</t>
  </si>
  <si>
    <t xml:space="preserve">Slices entered</t>
  </si>
  <si>
    <t xml:space="preserve">Slices checked OK</t>
  </si>
  <si>
    <t xml:space="preserve">Measured to —
in tube (cm)</t>
  </si>
  <si>
    <t xml:space="preserve">Measured to —
in situ (cm)</t>
  </si>
  <si>
    <t xml:space="preserve">Status</t>
  </si>
  <si>
    <t xml:space="preserve">Dry bulk density
(g/cm3)
thickness-weighted</t>
  </si>
  <si>
    <t xml:space="preserve">Organic carbon
(%)
mass-weighted</t>
  </si>
  <si>
    <t xml:space="preserve">Measured core stock
(kg C/m2)</t>
  </si>
  <si>
    <t xml:space="preserve">Measured core stock
(Mg C/ha)</t>
  </si>
  <si>
    <t xml:space="preserve">0–15 cm
(kg C/m2)</t>
  </si>
  <si>
    <t xml:space="preserve">15–30 cm
(kg C/m2)</t>
  </si>
  <si>
    <t xml:space="preserve">30–50 cm
(kg C/m2)</t>
  </si>
  <si>
    <t xml:space="preserve">50–100 cm
(kg C/m2)</t>
  </si>
  <si>
    <t xml:space="preserve">Mean of complete cores</t>
  </si>
  <si>
    <t xml:space="preserve">Number of cores in that mean</t>
  </si>
  <si>
    <t xml:space="preserve">Each increment's mean uses only the cores that reach the bottom of that increment, so the number of cores can differ between columns. 'Measured core stock' is to whatever depth each core reached, so it is NOT comparable between cores of different lengths — compare increments instead. A mean of cores is not an estimate for a meadow: see Part 4, Option B.</t>
  </si>
</sst>
</file>

<file path=xl/styles.xml><?xml version="1.0" encoding="utf-8"?>
<styleSheet xmlns="http://schemas.openxmlformats.org/spreadsheetml/2006/main">
  <numFmts count="7">
    <numFmt numFmtId="164" formatCode="General"/>
    <numFmt numFmtId="165" formatCode="0.00"/>
    <numFmt numFmtId="166" formatCode="0.000"/>
    <numFmt numFmtId="167" formatCode="0.0"/>
    <numFmt numFmtId="168" formatCode="0.00000"/>
    <numFmt numFmtId="169" formatCode="0.0000"/>
    <numFmt numFmtId="170" formatCode="0"/>
  </numFmts>
  <fonts count="18">
    <font>
      <sz val="11"/>
      <color theme="1"/>
      <name val="Calibri"/>
      <family val="0"/>
      <charset val="1"/>
    </font>
    <font>
      <sz val="10"/>
      <name val="Arial"/>
      <family val="0"/>
    </font>
    <font>
      <sz val="10"/>
      <name val="Arial"/>
      <family val="0"/>
    </font>
    <font>
      <sz val="10"/>
      <name val="Arial"/>
      <family val="0"/>
    </font>
    <font>
      <b val="true"/>
      <sz val="16"/>
      <color rgb="FF222222"/>
      <name val="Arial"/>
      <family val="0"/>
      <charset val="1"/>
    </font>
    <font>
      <i val="true"/>
      <sz val="10"/>
      <color theme="1"/>
      <name val="Arial"/>
      <family val="0"/>
      <charset val="1"/>
    </font>
    <font>
      <b val="true"/>
      <sz val="11"/>
      <color rgb="FF1B7B8C"/>
      <name val="Arial"/>
      <family val="0"/>
      <charset val="1"/>
    </font>
    <font>
      <sz val="10"/>
      <color theme="1"/>
      <name val="Arial"/>
      <family val="0"/>
      <charset val="1"/>
    </font>
    <font>
      <b val="true"/>
      <sz val="10"/>
      <color theme="1"/>
      <name val="Arial"/>
      <family val="0"/>
      <charset val="1"/>
    </font>
    <font>
      <sz val="9"/>
      <color rgb="FF0000FF"/>
      <name val="Arial"/>
      <family val="0"/>
      <charset val="1"/>
    </font>
    <font>
      <b val="true"/>
      <sz val="14"/>
      <color rgb="FF222222"/>
      <name val="Arial"/>
      <family val="0"/>
      <charset val="1"/>
    </font>
    <font>
      <i val="true"/>
      <sz val="9"/>
      <color theme="1"/>
      <name val="Arial"/>
      <family val="0"/>
      <charset val="1"/>
    </font>
    <font>
      <b val="true"/>
      <sz val="10"/>
      <color rgb="FFFFFFFF"/>
      <name val="Arial"/>
      <family val="0"/>
      <charset val="1"/>
    </font>
    <font>
      <b val="true"/>
      <sz val="9"/>
      <color rgb="FFFFFFFF"/>
      <name val="Arial"/>
      <family val="0"/>
      <charset val="1"/>
    </font>
    <font>
      <sz val="9"/>
      <color rgb="FF000000"/>
      <name val="Arial"/>
      <family val="0"/>
      <charset val="1"/>
    </font>
    <font>
      <sz val="9"/>
      <color theme="1"/>
      <name val="Arial"/>
      <family val="0"/>
      <charset val="1"/>
    </font>
    <font>
      <sz val="9"/>
      <color rgb="FF008000"/>
      <name val="Arial"/>
      <family val="0"/>
      <charset val="1"/>
    </font>
    <font>
      <b val="true"/>
      <i val="true"/>
      <sz val="9"/>
      <color rgb="FFB03030"/>
      <name val="Arial"/>
      <family val="0"/>
      <charset val="1"/>
    </font>
  </fonts>
  <fills count="8">
    <fill>
      <patternFill patternType="none"/>
    </fill>
    <fill>
      <patternFill patternType="gray125"/>
    </fill>
    <fill>
      <patternFill patternType="solid">
        <fgColor rgb="FFFFF9DB"/>
        <bgColor rgb="FFFFFFFF"/>
      </patternFill>
    </fill>
    <fill>
      <patternFill patternType="solid">
        <fgColor rgb="FF1B7B8C"/>
        <bgColor rgb="FF008080"/>
      </patternFill>
    </fill>
    <fill>
      <patternFill patternType="solid">
        <fgColor rgb="FF4A9D5F"/>
        <bgColor rgb="FF808080"/>
      </patternFill>
    </fill>
    <fill>
      <patternFill patternType="solid">
        <fgColor rgb="FFF0F0F0"/>
        <bgColor rgb="FFFFF9DB"/>
      </patternFill>
    </fill>
    <fill>
      <patternFill patternType="solid">
        <fgColor rgb="FFC8722B"/>
        <bgColor rgb="FFFF8080"/>
      </patternFill>
    </fill>
    <fill>
      <patternFill patternType="solid">
        <fgColor rgb="FF5B4E9D"/>
        <bgColor rgb="FF3333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left" vertical="bottom" textRotation="0" wrapText="false" indent="0" shrinkToFit="false"/>
      <protection locked="true" hidden="false"/>
    </xf>
    <xf numFmtId="166" fontId="9" fillId="2" borderId="1"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center" vertical="bottom" textRotation="0" wrapText="false" indent="0" shrinkToFit="false"/>
      <protection locked="true" hidden="false"/>
    </xf>
    <xf numFmtId="167" fontId="14" fillId="5" borderId="1" xfId="0" applyFont="true" applyBorder="true" applyAlignment="true" applyProtection="false">
      <alignment horizontal="center"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5"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7" fontId="9" fillId="2" borderId="1" xfId="0" applyFont="true" applyBorder="true" applyAlignment="true" applyProtection="false">
      <alignment horizontal="general" vertical="bottom" textRotation="0" wrapText="false" indent="0" shrinkToFit="false"/>
      <protection locked="true" hidden="false"/>
    </xf>
    <xf numFmtId="166" fontId="16" fillId="5" borderId="1" xfId="0" applyFont="true" applyBorder="true" applyAlignment="true" applyProtection="false">
      <alignment horizontal="center" vertical="bottom" textRotation="0" wrapText="false" indent="0" shrinkToFit="false"/>
      <protection locked="true" hidden="false"/>
    </xf>
    <xf numFmtId="165" fontId="16" fillId="5"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general" vertical="bottom" textRotation="0" wrapText="false" indent="0" shrinkToFit="false"/>
      <protection locked="true" hidden="false"/>
    </xf>
    <xf numFmtId="168" fontId="14" fillId="5" borderId="1" xfId="0" applyFont="true" applyBorder="true" applyAlignment="true" applyProtection="false">
      <alignment horizontal="center" vertical="bottom" textRotation="0" wrapText="false" indent="0" shrinkToFit="false"/>
      <protection locked="true" hidden="false"/>
    </xf>
    <xf numFmtId="169" fontId="14" fillId="5"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6" fontId="13" fillId="7" borderId="1" xfId="0" applyFont="true" applyBorder="true" applyAlignment="true" applyProtection="false">
      <alignment horizontal="center" vertical="bottom" textRotation="0" wrapText="false" indent="0" shrinkToFit="false"/>
      <protection locked="true" hidden="false"/>
    </xf>
    <xf numFmtId="170" fontId="13" fillId="7" borderId="1" xfId="0" applyFont="true" applyBorder="true" applyAlignment="true" applyProtection="false">
      <alignment horizontal="center" vertical="bottom" textRotation="0" wrapText="false" indent="0" shrinkToFit="false"/>
      <protection locked="true" hidden="false"/>
    </xf>
    <xf numFmtId="170" fontId="14" fillId="5"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B8C"/>
      <rgbColor rgb="FFBBBBBB"/>
      <rgbColor rgb="FF808080"/>
      <rgbColor rgb="FF9999FF"/>
      <rgbColor rgb="FF993366"/>
      <rgbColor rgb="FFFFF9DB"/>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8722B"/>
      <rgbColor rgb="FF5B4E9D"/>
      <rgbColor rgb="FF969696"/>
      <rgbColor rgb="FF003366"/>
      <rgbColor rgb="FF4A9D5F"/>
      <rgbColor rgb="FF003300"/>
      <rgbColor rgb="FF333300"/>
      <rgbColor rgb="FFB0303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26" min="3" style="0" width="8.71"/>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40.5" hidden="false" customHeight="true" outlineLevel="0" collapsed="false">
      <c r="A6" s="5" t="s">
        <v>3</v>
      </c>
      <c r="B6" s="4" t="s">
        <v>4</v>
      </c>
    </row>
    <row r="7" customFormat="false" ht="40.5" hidden="false" customHeight="true" outlineLevel="0" collapsed="false">
      <c r="A7" s="5" t="s">
        <v>5</v>
      </c>
      <c r="B7" s="4" t="s">
        <v>6</v>
      </c>
    </row>
    <row r="8" customFormat="false" ht="15.75" hidden="false" customHeight="true" outlineLevel="0" collapsed="false">
      <c r="A8" s="5" t="s">
        <v>7</v>
      </c>
      <c r="B8" s="4" t="s">
        <v>8</v>
      </c>
    </row>
    <row r="9" customFormat="false" ht="15" hidden="false" customHeight="false" outlineLevel="0" collapsed="false">
      <c r="A9" s="4"/>
      <c r="B9" s="4"/>
    </row>
    <row r="10" customFormat="false" ht="15" hidden="false" customHeight="false" outlineLevel="0" collapsed="false">
      <c r="A10" s="3" t="s">
        <v>9</v>
      </c>
      <c r="B10" s="4"/>
    </row>
    <row r="11" customFormat="false" ht="15" hidden="false" customHeight="false" outlineLevel="0" collapsed="false">
      <c r="A11" s="5" t="s">
        <v>10</v>
      </c>
      <c r="B11" s="6" t="n">
        <v>7.6</v>
      </c>
    </row>
    <row r="12" customFormat="false" ht="40.5" hidden="false" customHeight="true" outlineLevel="0" collapsed="false">
      <c r="A12" s="5" t="s">
        <v>11</v>
      </c>
      <c r="B12" s="4" t="s">
        <v>12</v>
      </c>
    </row>
    <row r="13" customFormat="false" ht="15" hidden="false" customHeight="false" outlineLevel="0" collapsed="false">
      <c r="A13" s="4"/>
      <c r="B13" s="4"/>
    </row>
    <row r="14" customFormat="false" ht="15" hidden="false" customHeight="false" outlineLevel="0" collapsed="false">
      <c r="A14" s="3" t="s">
        <v>13</v>
      </c>
      <c r="B14" s="4"/>
    </row>
    <row r="15" customFormat="false" ht="15.75" hidden="false" customHeight="true" outlineLevel="0" collapsed="false">
      <c r="A15" s="5" t="s">
        <v>14</v>
      </c>
      <c r="B15" s="4" t="s">
        <v>15</v>
      </c>
    </row>
    <row r="16" customFormat="false" ht="15.75" hidden="false" customHeight="true" outlineLevel="0" collapsed="false">
      <c r="A16" s="5" t="s">
        <v>16</v>
      </c>
      <c r="B16" s="4" t="s">
        <v>17</v>
      </c>
    </row>
    <row r="17" customFormat="false" ht="15.75" hidden="false" customHeight="true" outlineLevel="0" collapsed="false">
      <c r="A17" s="5" t="s">
        <v>18</v>
      </c>
      <c r="B17" s="4" t="s">
        <v>19</v>
      </c>
    </row>
    <row r="18" customFormat="false" ht="15" hidden="false" customHeight="false" outlineLevel="0" collapsed="false">
      <c r="A18" s="4"/>
      <c r="B18" s="4"/>
    </row>
    <row r="19" customFormat="false" ht="15" hidden="false" customHeight="false" outlineLevel="0" collapsed="false">
      <c r="A19" s="3" t="s">
        <v>20</v>
      </c>
      <c r="B19" s="4"/>
    </row>
    <row r="20" customFormat="false" ht="15.75" hidden="false" customHeight="true" outlineLevel="0" collapsed="false">
      <c r="A20" s="5" t="s">
        <v>21</v>
      </c>
      <c r="B20" s="4" t="s">
        <v>22</v>
      </c>
    </row>
    <row r="21" customFormat="false" ht="27" hidden="false" customHeight="true" outlineLevel="0" collapsed="false">
      <c r="A21" s="5" t="s">
        <v>23</v>
      </c>
      <c r="B21" s="4" t="s">
        <v>24</v>
      </c>
    </row>
    <row r="22" customFormat="false" ht="27" hidden="false" customHeight="true" outlineLevel="0" collapsed="false">
      <c r="A22" s="5" t="s">
        <v>25</v>
      </c>
      <c r="B22" s="4" t="s">
        <v>26</v>
      </c>
    </row>
    <row r="23" customFormat="false" ht="27" hidden="false" customHeight="true" outlineLevel="0" collapsed="false">
      <c r="A23" s="5" t="s">
        <v>27</v>
      </c>
      <c r="B23" s="4" t="s">
        <v>28</v>
      </c>
    </row>
    <row r="24" customFormat="false" ht="15.75" hidden="false" customHeight="true" outlineLevel="0" collapsed="false">
      <c r="A24" s="5" t="s">
        <v>29</v>
      </c>
      <c r="B24" s="4" t="s">
        <v>30</v>
      </c>
    </row>
    <row r="25" customFormat="false" ht="15.75" hidden="false" customHeight="true" outlineLevel="0" collapsed="false">
      <c r="A25" s="4"/>
      <c r="B25" s="4"/>
    </row>
    <row r="26" customFormat="false" ht="15.75" hidden="false" customHeight="true" outlineLevel="0" collapsed="false">
      <c r="A26" s="3" t="s">
        <v>31</v>
      </c>
      <c r="B26" s="4"/>
    </row>
    <row r="27" customFormat="false" ht="27" hidden="false" customHeight="true" outlineLevel="0" collapsed="false">
      <c r="A27" s="5" t="s">
        <v>32</v>
      </c>
      <c r="B27" s="4" t="s">
        <v>33</v>
      </c>
    </row>
    <row r="28" customFormat="false" ht="27" hidden="false" customHeight="true" outlineLevel="0" collapsed="false">
      <c r="A28" s="5" t="s">
        <v>34</v>
      </c>
      <c r="B28" s="4" t="s">
        <v>35</v>
      </c>
    </row>
    <row r="29" customFormat="false" ht="40.5" hidden="false" customHeight="true" outlineLevel="0" collapsed="false">
      <c r="A29" s="5" t="s">
        <v>36</v>
      </c>
      <c r="B29" s="4" t="s">
        <v>37</v>
      </c>
    </row>
    <row r="30" customFormat="false" ht="15.75" hidden="false" customHeight="true" outlineLevel="0" collapsed="false">
      <c r="A30" s="5" t="s">
        <v>38</v>
      </c>
      <c r="B30" s="7" t="n">
        <v>-0.197</v>
      </c>
      <c r="C30" s="0" t="s">
        <v>39</v>
      </c>
    </row>
    <row r="31" customFormat="false" ht="15.75" hidden="false" customHeight="true" outlineLevel="0" collapsed="false">
      <c r="A31" s="5" t="s">
        <v>40</v>
      </c>
      <c r="B31" s="7" t="n">
        <v>0.32</v>
      </c>
    </row>
    <row r="32" customFormat="false" ht="40.5" hidden="false" customHeight="true" outlineLevel="0" collapsed="false">
      <c r="A32" s="5" t="s">
        <v>41</v>
      </c>
      <c r="B32" s="4" t="s">
        <v>42</v>
      </c>
    </row>
    <row r="33" customFormat="false" ht="15.75" hidden="false" customHeight="true" outlineLevel="0" collapsed="false">
      <c r="A33" s="4"/>
      <c r="B33" s="4"/>
    </row>
    <row r="34" customFormat="false" ht="15.75" hidden="false" customHeight="true" outlineLevel="0" collapsed="false">
      <c r="A34" s="3" t="s">
        <v>43</v>
      </c>
      <c r="B34" s="4"/>
    </row>
    <row r="35" customFormat="false" ht="15.75" hidden="false" customHeight="true" outlineLevel="0" collapsed="false">
      <c r="A35" s="5" t="s">
        <v>44</v>
      </c>
      <c r="B35" s="4" t="s">
        <v>45</v>
      </c>
    </row>
    <row r="36" customFormat="false" ht="15.75" hidden="false" customHeight="true" outlineLevel="0" collapsed="false">
      <c r="A36" s="5" t="s">
        <v>46</v>
      </c>
      <c r="B36" s="4" t="s">
        <v>47</v>
      </c>
    </row>
    <row r="37" customFormat="false" ht="15.75" hidden="false" customHeight="true" outlineLevel="0" collapsed="false">
      <c r="A37" s="5" t="s">
        <v>48</v>
      </c>
      <c r="B37" s="4" t="s">
        <v>49</v>
      </c>
    </row>
    <row r="38" customFormat="false" ht="15.75" hidden="false" customHeight="true" outlineLevel="0" collapsed="false">
      <c r="A38" s="5" t="s">
        <v>50</v>
      </c>
      <c r="B38" s="4" t="s">
        <v>51</v>
      </c>
    </row>
    <row r="39" customFormat="false" ht="15.75" hidden="false" customHeight="true" outlineLevel="0" collapsed="false">
      <c r="A39" s="5" t="s">
        <v>52</v>
      </c>
      <c r="B39" s="4" t="s">
        <v>53</v>
      </c>
    </row>
    <row r="40" customFormat="false" ht="15.75" hidden="false" customHeight="true" outlineLevel="0" collapsed="false">
      <c r="A40" s="5" t="s">
        <v>54</v>
      </c>
      <c r="B40" s="4" t="s">
        <v>55</v>
      </c>
    </row>
    <row r="41" customFormat="false" ht="15.75" hidden="false" customHeight="true" outlineLevel="0" collapsed="false">
      <c r="A41" s="4"/>
      <c r="B41" s="4"/>
    </row>
    <row r="42" customFormat="false" ht="15.75" hidden="false" customHeight="true" outlineLevel="0" collapsed="false">
      <c r="A42" s="3" t="s">
        <v>56</v>
      </c>
      <c r="B42" s="4"/>
    </row>
    <row r="43" customFormat="false" ht="40.5" hidden="false" customHeight="true" outlineLevel="0" collapsed="false">
      <c r="A43" s="5" t="s">
        <v>57</v>
      </c>
      <c r="B43" s="4" t="s">
        <v>58</v>
      </c>
    </row>
    <row r="44" customFormat="false" ht="15.75" hidden="false" customHeight="true" outlineLevel="0" collapsed="false">
      <c r="A44" s="4"/>
      <c r="B44" s="4"/>
    </row>
    <row r="45" customFormat="false" ht="15.75" hidden="false" customHeight="true" outlineLevel="0" collapsed="false">
      <c r="A45" s="3" t="s">
        <v>59</v>
      </c>
      <c r="B45" s="4"/>
    </row>
    <row r="46" customFormat="false" ht="40.5" hidden="false" customHeight="true" outlineLevel="0" collapsed="false">
      <c r="A46" s="5" t="s">
        <v>60</v>
      </c>
      <c r="B46" s="4" t="s">
        <v>61</v>
      </c>
    </row>
    <row r="47" customFormat="false" ht="15.75" hidden="false" customHeight="true" outlineLevel="0" collapsed="false">
      <c r="A47" s="4"/>
      <c r="B47" s="4"/>
    </row>
    <row r="48" customFormat="false" ht="15.75" hidden="false" customHeight="true" outlineLevel="0" collapsed="false">
      <c r="A48" s="3" t="s">
        <v>62</v>
      </c>
      <c r="B48" s="4"/>
    </row>
    <row r="49" customFormat="false" ht="54" hidden="false" customHeight="true" outlineLevel="0" collapsed="false">
      <c r="A49" s="5" t="s">
        <v>63</v>
      </c>
      <c r="B49" s="4" t="s">
        <v>64</v>
      </c>
    </row>
    <row r="50" customFormat="false" ht="54" hidden="false" customHeight="true" outlineLevel="0" collapsed="false">
      <c r="A50" s="5" t="s">
        <v>65</v>
      </c>
      <c r="B50" s="4" t="s">
        <v>66</v>
      </c>
    </row>
    <row r="51" customFormat="false" ht="40.5" hidden="false" customHeight="true" outlineLevel="0" collapsed="false">
      <c r="A51" s="5" t="s">
        <v>67</v>
      </c>
      <c r="B51" s="4" t="s">
        <v>68</v>
      </c>
    </row>
    <row r="52" customFormat="false" ht="27" hidden="false" customHeight="true" outlineLevel="0" collapsed="false">
      <c r="A52" s="5" t="s">
        <v>69</v>
      </c>
      <c r="B52" s="4" t="s">
        <v>70</v>
      </c>
    </row>
    <row r="53" customFormat="false" ht="15.75" hidden="false" customHeight="true" outlineLevel="0" collapsed="false">
      <c r="A53" s="4"/>
      <c r="B53" s="4"/>
    </row>
    <row r="54" customFormat="false" ht="15.75" hidden="false" customHeight="true" outlineLevel="0" collapsed="false">
      <c r="A54" s="4"/>
      <c r="B54" s="4"/>
    </row>
    <row r="55" customFormat="false" ht="15.75" hidden="false" customHeight="true" outlineLevel="0" collapsed="false">
      <c r="A55" s="4"/>
      <c r="B55" s="4"/>
    </row>
    <row r="56" customFormat="false" ht="15.75" hidden="false" customHeight="true" outlineLevel="0" collapsed="false">
      <c r="A56" s="4"/>
      <c r="B56" s="4"/>
    </row>
    <row r="57" customFormat="false" ht="15.75" hidden="false" customHeight="true" outlineLevel="0" collapsed="false">
      <c r="A57" s="4"/>
      <c r="B57" s="4"/>
    </row>
    <row r="58" customFormat="false" ht="15.75" hidden="false" customHeight="true" outlineLevel="0" collapsed="false">
      <c r="A58" s="4"/>
      <c r="B58" s="4"/>
    </row>
    <row r="59" customFormat="false" ht="15.75" hidden="false" customHeight="true" outlineLevel="0" collapsed="false">
      <c r="A59" s="4"/>
      <c r="B59" s="4"/>
    </row>
    <row r="60" customFormat="false" ht="15.75" hidden="false" customHeight="true" outlineLevel="0" collapsed="false">
      <c r="A60" s="4"/>
      <c r="B60" s="4"/>
    </row>
    <row r="61" customFormat="false" ht="15.75" hidden="false" customHeight="true" outlineLevel="0" collapsed="false">
      <c r="A61" s="4"/>
      <c r="B61" s="4"/>
    </row>
    <row r="62" customFormat="false" ht="15.75" hidden="false" customHeight="true" outlineLevel="0" collapsed="false">
      <c r="A62" s="4"/>
      <c r="B62" s="4"/>
    </row>
    <row r="63" customFormat="false" ht="15.75" hidden="false" customHeight="true" outlineLevel="0" collapsed="false">
      <c r="A63" s="4"/>
      <c r="B63" s="4"/>
    </row>
    <row r="64" customFormat="false" ht="15.75" hidden="false" customHeight="true" outlineLevel="0" collapsed="false">
      <c r="A64" s="4"/>
      <c r="B64" s="4"/>
    </row>
    <row r="65" customFormat="false" ht="15.75" hidden="false" customHeight="true" outlineLevel="0" collapsed="false">
      <c r="A65" s="4"/>
      <c r="B65" s="4"/>
    </row>
    <row r="66" customFormat="false" ht="15.75" hidden="false" customHeight="true" outlineLevel="0" collapsed="false">
      <c r="A66" s="4"/>
      <c r="B66" s="4"/>
    </row>
    <row r="67" customFormat="false" ht="15.75" hidden="false" customHeight="true" outlineLevel="0" collapsed="false">
      <c r="A67" s="4"/>
      <c r="B67" s="4"/>
    </row>
    <row r="68" customFormat="false" ht="15.75" hidden="false" customHeight="true" outlineLevel="0" collapsed="false">
      <c r="A68" s="4"/>
      <c r="B68" s="4"/>
    </row>
    <row r="69" customFormat="false" ht="15.75" hidden="false" customHeight="true" outlineLevel="0" collapsed="false">
      <c r="A69" s="4"/>
      <c r="B69" s="4"/>
    </row>
    <row r="70" customFormat="false" ht="15.75" hidden="false" customHeight="true" outlineLevel="0" collapsed="false">
      <c r="A70" s="4"/>
      <c r="B70" s="4"/>
    </row>
    <row r="71" customFormat="false" ht="15.75" hidden="false" customHeight="true" outlineLevel="0" collapsed="false">
      <c r="A71" s="4"/>
      <c r="B71" s="4"/>
    </row>
    <row r="72" customFormat="false" ht="15.75" hidden="false" customHeight="true" outlineLevel="0" collapsed="false">
      <c r="A72" s="4"/>
      <c r="B72" s="4"/>
    </row>
    <row r="73" customFormat="false" ht="15.75" hidden="false" customHeight="true" outlineLevel="0" collapsed="false">
      <c r="A73" s="4"/>
      <c r="B73" s="4"/>
    </row>
    <row r="74" customFormat="false" ht="15.75" hidden="false" customHeight="true" outlineLevel="0" collapsed="false">
      <c r="A74" s="4"/>
      <c r="B74" s="4"/>
    </row>
    <row r="75" customFormat="false" ht="15.75" hidden="false" customHeight="true" outlineLevel="0" collapsed="false">
      <c r="A75" s="4"/>
      <c r="B75" s="4"/>
    </row>
    <row r="76" customFormat="false" ht="15.75" hidden="false" customHeight="true" outlineLevel="0" collapsed="false">
      <c r="A76" s="4"/>
      <c r="B76" s="4"/>
    </row>
    <row r="77" customFormat="false" ht="15.75" hidden="false" customHeight="true" outlineLevel="0" collapsed="false">
      <c r="A77" s="4"/>
      <c r="B77" s="4"/>
    </row>
    <row r="78" customFormat="false" ht="15.75" hidden="false" customHeight="true" outlineLevel="0" collapsed="false">
      <c r="A78" s="4"/>
      <c r="B78" s="4"/>
    </row>
    <row r="79" customFormat="false" ht="15.75" hidden="false" customHeight="true" outlineLevel="0" collapsed="false">
      <c r="A79" s="4"/>
      <c r="B79" s="4"/>
    </row>
    <row r="80" customFormat="false" ht="15.75" hidden="false" customHeight="true" outlineLevel="0" collapsed="false">
      <c r="A80" s="4"/>
      <c r="B80" s="4"/>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7" min="6" style="0" width="12"/>
    <col collapsed="false" customWidth="true" hidden="false" outlineLevel="0" max="8" min="8" style="0" width="14"/>
    <col collapsed="false" customWidth="true" hidden="false" outlineLevel="0" max="9" min="9" style="0" width="30"/>
    <col collapsed="false" customWidth="true" hidden="false" outlineLevel="0" max="10" min="10" style="0" width="13"/>
    <col collapsed="false" customWidth="true" hidden="false" outlineLevel="0" max="12" min="11" style="0" width="18"/>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26" min="16" style="0" width="12"/>
  </cols>
  <sheetData>
    <row r="1" customFormat="false" ht="17.35" hidden="false" customHeight="false" outlineLevel="0" collapsed="false">
      <c r="A1" s="8" t="s">
        <v>71</v>
      </c>
    </row>
    <row r="2" customFormat="false" ht="15" hidden="false" customHeight="false" outlineLevel="0" collapsed="false">
      <c r="A2" s="9" t="s">
        <v>72</v>
      </c>
      <c r="B2" s="9"/>
      <c r="C2" s="9"/>
      <c r="D2" s="9"/>
      <c r="E2" s="9"/>
      <c r="F2" s="9"/>
      <c r="G2" s="9"/>
      <c r="H2" s="9"/>
      <c r="I2" s="9"/>
      <c r="J2" s="9"/>
      <c r="K2" s="9"/>
      <c r="L2" s="9"/>
      <c r="M2" s="9"/>
      <c r="N2" s="9"/>
      <c r="O2" s="9"/>
      <c r="P2" s="9"/>
      <c r="Q2" s="9"/>
      <c r="R2" s="9"/>
      <c r="S2" s="9"/>
      <c r="T2" s="9"/>
    </row>
    <row r="4" customFormat="false" ht="15" hidden="false" customHeight="false" outlineLevel="0" collapsed="false">
      <c r="A4" s="10" t="s">
        <v>73</v>
      </c>
      <c r="B4" s="10"/>
      <c r="C4" s="10"/>
      <c r="D4" s="10"/>
      <c r="E4" s="10"/>
      <c r="F4" s="10"/>
      <c r="G4" s="10"/>
      <c r="H4" s="10"/>
      <c r="I4" s="10"/>
      <c r="J4" s="10" t="s">
        <v>74</v>
      </c>
      <c r="K4" s="10"/>
      <c r="L4" s="10"/>
      <c r="M4" s="11" t="s">
        <v>75</v>
      </c>
      <c r="N4" s="11"/>
      <c r="O4" s="11"/>
      <c r="P4" s="10" t="s">
        <v>76</v>
      </c>
      <c r="Q4" s="10"/>
      <c r="R4" s="10"/>
      <c r="S4" s="11" t="s">
        <v>77</v>
      </c>
      <c r="T4" s="11"/>
    </row>
    <row r="5" customFormat="false" ht="42" hidden="false" customHeight="true" outlineLevel="0" collapsed="false">
      <c r="A5" s="12" t="s">
        <v>78</v>
      </c>
      <c r="B5" s="12" t="s">
        <v>79</v>
      </c>
      <c r="C5" s="12" t="s">
        <v>80</v>
      </c>
      <c r="D5" s="12" t="s">
        <v>81</v>
      </c>
      <c r="E5" s="12" t="s">
        <v>82</v>
      </c>
      <c r="F5" s="12" t="s">
        <v>83</v>
      </c>
      <c r="G5" s="12" t="s">
        <v>84</v>
      </c>
      <c r="H5" s="12" t="s">
        <v>85</v>
      </c>
      <c r="I5" s="12" t="s">
        <v>86</v>
      </c>
      <c r="J5" s="12" t="s">
        <v>87</v>
      </c>
      <c r="K5" s="12" t="s">
        <v>88</v>
      </c>
      <c r="L5" s="12" t="s">
        <v>89</v>
      </c>
      <c r="M5" s="13" t="s">
        <v>90</v>
      </c>
      <c r="N5" s="13" t="s">
        <v>91</v>
      </c>
      <c r="O5" s="13" t="s">
        <v>92</v>
      </c>
      <c r="P5" s="12" t="s">
        <v>93</v>
      </c>
      <c r="Q5" s="12" t="s">
        <v>94</v>
      </c>
      <c r="R5" s="12" t="s">
        <v>95</v>
      </c>
      <c r="S5" s="13" t="s">
        <v>96</v>
      </c>
      <c r="T5" s="13" t="s">
        <v>97</v>
      </c>
    </row>
    <row r="6" customFormat="false" ht="15" hidden="false" customHeight="false" outlineLevel="0" collapsed="false">
      <c r="A6" s="14" t="s">
        <v>98</v>
      </c>
      <c r="B6" s="14" t="s">
        <v>99</v>
      </c>
      <c r="C6" s="14"/>
      <c r="D6" s="14"/>
      <c r="E6" s="14" t="s">
        <v>100</v>
      </c>
      <c r="F6" s="14" t="n">
        <v>48.76117</v>
      </c>
      <c r="G6" s="14" t="n">
        <v>-123.62483</v>
      </c>
      <c r="H6" s="14"/>
      <c r="I6" s="14"/>
      <c r="J6" s="14"/>
      <c r="K6" s="14"/>
      <c r="L6" s="14"/>
      <c r="M6" s="15" t="n">
        <f aca="false">IF(AND($K6&lt;&gt;"",$L6&lt;&gt;""),$K6/$L6,IF(LOWER(TRIM($Q6))="assume none",1,""))</f>
        <v>1</v>
      </c>
      <c r="N6" s="16" t="str">
        <f aca="false">IF(OR($K6="",$L6=""),"",$K6-$L6)</f>
        <v/>
      </c>
      <c r="O6" s="17" t="str">
        <f aca="false">IF($B6="","",IF(COUNTIF($B$6:$B$35,$B6)&gt;1,"CHECK: duplicate Core ID",IF($S6="","CHECK: corer diameter missing",IF(AND($K6="",$L6=""),IF($M6=1,"ASSUMED: no compaction (not measured)","CHECK: compaction not recorded"),IF(OR($K6="",$L6=""),"CHECK: one depth missing",IF($L6&gt;$K6,"CHECK: extracted &gt; inserted",IF($M6&gt;1.5,"CHECK: &gt;50% compaction","OK")))))))</f>
        <v>ASSUMED: no compaction (not measured)</v>
      </c>
      <c r="P6" s="14" t="s">
        <v>101</v>
      </c>
      <c r="Q6" s="14" t="s">
        <v>102</v>
      </c>
      <c r="R6" s="14" t="s">
        <v>103</v>
      </c>
      <c r="S6" s="18" t="n">
        <f aca="false">IF($B6="","",IF($J6&lt;&gt;"",$J6,IF(CORER_DIAMETER_CM&lt;&gt;"",CORER_DIAMETER_CM,"")))</f>
        <v>7.6</v>
      </c>
      <c r="T6" s="17" t="str">
        <f aca="false">IF($B6="","",IF($J6&lt;&gt;"","this core",IF(CORER_DIAMETER_CM&lt;&gt;"","Instructions","missing")))</f>
        <v>Instructions</v>
      </c>
    </row>
    <row r="7" customFormat="false" ht="15" hidden="false" customHeight="false" outlineLevel="0" collapsed="false">
      <c r="A7" s="14" t="s">
        <v>104</v>
      </c>
      <c r="B7" s="14" t="s">
        <v>105</v>
      </c>
      <c r="C7" s="14"/>
      <c r="D7" s="14"/>
      <c r="E7" s="14" t="s">
        <v>100</v>
      </c>
      <c r="F7" s="14" t="n">
        <v>48.7615</v>
      </c>
      <c r="G7" s="14" t="n">
        <v>-123.62467</v>
      </c>
      <c r="H7" s="14"/>
      <c r="I7" s="14"/>
      <c r="J7" s="14"/>
      <c r="K7" s="14"/>
      <c r="L7" s="14"/>
      <c r="M7" s="15" t="n">
        <f aca="false">IF(AND($K7&lt;&gt;"",$L7&lt;&gt;""),$K7/$L7,IF(LOWER(TRIM($Q7))="assume none",1,""))</f>
        <v>1</v>
      </c>
      <c r="N7" s="16" t="str">
        <f aca="false">IF(OR($K7="",$L7=""),"",$K7-$L7)</f>
        <v/>
      </c>
      <c r="O7" s="17" t="str">
        <f aca="false">IF($B7="","",IF(COUNTIF($B$6:$B$35,$B7)&gt;1,"CHECK: duplicate Core ID",IF($S7="","CHECK: corer diameter missing",IF(AND($K7="",$L7=""),IF($M7=1,"ASSUMED: no compaction (not measured)","CHECK: compaction not recorded"),IF(OR($K7="",$L7=""),"CHECK: one depth missing",IF($L7&gt;$K7,"CHECK: extracted &gt; inserted",IF($M7&gt;1.5,"CHECK: &gt;50% compaction","OK")))))))</f>
        <v>ASSUMED: no compaction (not measured)</v>
      </c>
      <c r="P7" s="14" t="s">
        <v>101</v>
      </c>
      <c r="Q7" s="14" t="s">
        <v>102</v>
      </c>
      <c r="R7" s="14" t="s">
        <v>103</v>
      </c>
      <c r="S7" s="18" t="n">
        <f aca="false">IF($B7="","",IF($J7&lt;&gt;"",$J7,IF(CORER_DIAMETER_CM&lt;&gt;"",CORER_DIAMETER_CM,"")))</f>
        <v>7.6</v>
      </c>
      <c r="T7" s="17" t="str">
        <f aca="false">IF($B7="","",IF($J7&lt;&gt;"","this core",IF(CORER_DIAMETER_CM&lt;&gt;"","Instructions","missing")))</f>
        <v>Instructions</v>
      </c>
    </row>
    <row r="8" customFormat="false" ht="15" hidden="false" customHeight="false" outlineLevel="0" collapsed="false">
      <c r="A8" s="14" t="s">
        <v>106</v>
      </c>
      <c r="B8" s="14" t="s">
        <v>107</v>
      </c>
      <c r="C8" s="14"/>
      <c r="D8" s="14"/>
      <c r="E8" s="14" t="s">
        <v>100</v>
      </c>
      <c r="F8" s="14" t="n">
        <v>48.762</v>
      </c>
      <c r="G8" s="14" t="n">
        <v>-123.62433</v>
      </c>
      <c r="H8" s="14"/>
      <c r="I8" s="14"/>
      <c r="J8" s="14"/>
      <c r="K8" s="14"/>
      <c r="L8" s="14"/>
      <c r="M8" s="15" t="n">
        <f aca="false">IF(AND($K8&lt;&gt;"",$L8&lt;&gt;""),$K8/$L8,IF(LOWER(TRIM($Q8))="assume none",1,""))</f>
        <v>1</v>
      </c>
      <c r="N8" s="16" t="str">
        <f aca="false">IF(OR($K8="",$L8=""),"",$K8-$L8)</f>
        <v/>
      </c>
      <c r="O8" s="17" t="str">
        <f aca="false">IF($B8="","",IF(COUNTIF($B$6:$B$35,$B8)&gt;1,"CHECK: duplicate Core ID",IF($S8="","CHECK: corer diameter missing",IF(AND($K8="",$L8=""),IF($M8=1,"ASSUMED: no compaction (not measured)","CHECK: compaction not recorded"),IF(OR($K8="",$L8=""),"CHECK: one depth missing",IF($L8&gt;$K8,"CHECK: extracted &gt; inserted",IF($M8&gt;1.5,"CHECK: &gt;50% compaction","OK")))))))</f>
        <v>ASSUMED: no compaction (not measured)</v>
      </c>
      <c r="P8" s="14" t="s">
        <v>101</v>
      </c>
      <c r="Q8" s="14" t="s">
        <v>102</v>
      </c>
      <c r="R8" s="14" t="s">
        <v>103</v>
      </c>
      <c r="S8" s="18" t="n">
        <f aca="false">IF($B8="","",IF($J8&lt;&gt;"",$J8,IF(CORER_DIAMETER_CM&lt;&gt;"",CORER_DIAMETER_CM,"")))</f>
        <v>7.6</v>
      </c>
      <c r="T8" s="17" t="str">
        <f aca="false">IF($B8="","",IF($J8&lt;&gt;"","this core",IF(CORER_DIAMETER_CM&lt;&gt;"","Instructions","missing")))</f>
        <v>Instructions</v>
      </c>
    </row>
    <row r="9" customFormat="false" ht="15" hidden="false" customHeight="false" outlineLevel="0" collapsed="false">
      <c r="A9" s="14"/>
      <c r="B9" s="14"/>
      <c r="C9" s="14"/>
      <c r="D9" s="14"/>
      <c r="E9" s="14"/>
      <c r="F9" s="14"/>
      <c r="G9" s="14"/>
      <c r="H9" s="14"/>
      <c r="I9" s="14"/>
      <c r="J9" s="14"/>
      <c r="K9" s="14"/>
      <c r="L9" s="14"/>
      <c r="M9" s="15" t="str">
        <f aca="false">IF(AND($K9&lt;&gt;"",$L9&lt;&gt;""),$K9/$L9,IF(LOWER(TRIM($Q9))="assume none",1,""))</f>
        <v/>
      </c>
      <c r="N9" s="16" t="str">
        <f aca="false">IF(OR($K9="",$L9=""),"",$K9-$L9)</f>
        <v/>
      </c>
      <c r="O9" s="17" t="str">
        <f aca="false">IF($B9="","",IF(COUNTIF($B$6:$B$35,$B9)&gt;1,"CHECK: duplicate Core ID",IF($S9="","CHECK: corer diameter missing",IF(AND($K9="",$L9=""),IF($M9=1,"ASSUMED: no compaction (not measured)","CHECK: compaction not recorded"),IF(OR($K9="",$L9=""),"CHECK: one depth missing",IF($L9&gt;$K9,"CHECK: extracted &gt; inserted",IF($M9&gt;1.5,"CHECK: &gt;50% compaction","OK")))))))</f>
        <v/>
      </c>
      <c r="P9" s="14"/>
      <c r="Q9" s="14"/>
      <c r="R9" s="14"/>
      <c r="S9" s="18" t="str">
        <f aca="false">IF($B9="","",IF($J9&lt;&gt;"",$J9,IF(CORER_DIAMETER_CM&lt;&gt;"",CORER_DIAMETER_CM,"")))</f>
        <v/>
      </c>
      <c r="T9" s="17" t="str">
        <f aca="false">IF($B9="","",IF($J9&lt;&gt;"","this core",IF(CORER_DIAMETER_CM&lt;&gt;"","Instructions","missing")))</f>
        <v/>
      </c>
    </row>
    <row r="10" customFormat="false" ht="15" hidden="false" customHeight="false" outlineLevel="0" collapsed="false">
      <c r="A10" s="14"/>
      <c r="B10" s="14"/>
      <c r="C10" s="14"/>
      <c r="D10" s="14"/>
      <c r="E10" s="14"/>
      <c r="F10" s="14"/>
      <c r="G10" s="14"/>
      <c r="H10" s="14"/>
      <c r="I10" s="14"/>
      <c r="J10" s="14"/>
      <c r="K10" s="14"/>
      <c r="L10" s="14"/>
      <c r="M10" s="15" t="str">
        <f aca="false">IF(AND($K10&lt;&gt;"",$L10&lt;&gt;""),$K10/$L10,IF(LOWER(TRIM($Q10))="assume none",1,""))</f>
        <v/>
      </c>
      <c r="N10" s="16" t="str">
        <f aca="false">IF(OR($K10="",$L10=""),"",$K10-$L10)</f>
        <v/>
      </c>
      <c r="O10" s="17" t="str">
        <f aca="false">IF($B10="","",IF(COUNTIF($B$6:$B$35,$B10)&gt;1,"CHECK: duplicate Core ID",IF($S10="","CHECK: corer diameter missing",IF(AND($K10="",$L10=""),IF($M10=1,"ASSUMED: no compaction (not measured)","CHECK: compaction not recorded"),IF(OR($K10="",$L10=""),"CHECK: one depth missing",IF($L10&gt;$K10,"CHECK: extracted &gt; inserted",IF($M10&gt;1.5,"CHECK: &gt;50% compaction","OK")))))))</f>
        <v/>
      </c>
      <c r="P10" s="14"/>
      <c r="Q10" s="14"/>
      <c r="R10" s="14"/>
      <c r="S10" s="18" t="str">
        <f aca="false">IF($B10="","",IF($J10&lt;&gt;"",$J10,IF(CORER_DIAMETER_CM&lt;&gt;"",CORER_DIAMETER_CM,"")))</f>
        <v/>
      </c>
      <c r="T10" s="17" t="str">
        <f aca="false">IF($B10="","",IF($J10&lt;&gt;"","this core",IF(CORER_DIAMETER_CM&lt;&gt;"","Instructions","missing")))</f>
        <v/>
      </c>
    </row>
    <row r="11" customFormat="false" ht="15" hidden="false" customHeight="false" outlineLevel="0" collapsed="false">
      <c r="A11" s="14"/>
      <c r="B11" s="14"/>
      <c r="C11" s="14"/>
      <c r="D11" s="14"/>
      <c r="E11" s="14"/>
      <c r="F11" s="14"/>
      <c r="G11" s="14"/>
      <c r="H11" s="14"/>
      <c r="I11" s="14"/>
      <c r="J11" s="14"/>
      <c r="K11" s="14"/>
      <c r="L11" s="14"/>
      <c r="M11" s="15" t="str">
        <f aca="false">IF(AND($K11&lt;&gt;"",$L11&lt;&gt;""),$K11/$L11,IF(LOWER(TRIM($Q11))="assume none",1,""))</f>
        <v/>
      </c>
      <c r="N11" s="16" t="str">
        <f aca="false">IF(OR($K11="",$L11=""),"",$K11-$L11)</f>
        <v/>
      </c>
      <c r="O11" s="17" t="str">
        <f aca="false">IF($B11="","",IF(COUNTIF($B$6:$B$35,$B11)&gt;1,"CHECK: duplicate Core ID",IF($S11="","CHECK: corer diameter missing",IF(AND($K11="",$L11=""),IF($M11=1,"ASSUMED: no compaction (not measured)","CHECK: compaction not recorded"),IF(OR($K11="",$L11=""),"CHECK: one depth missing",IF($L11&gt;$K11,"CHECK: extracted &gt; inserted",IF($M11&gt;1.5,"CHECK: &gt;50% compaction","OK")))))))</f>
        <v/>
      </c>
      <c r="P11" s="14"/>
      <c r="Q11" s="14"/>
      <c r="R11" s="14"/>
      <c r="S11" s="18" t="str">
        <f aca="false">IF($B11="","",IF($J11&lt;&gt;"",$J11,IF(CORER_DIAMETER_CM&lt;&gt;"",CORER_DIAMETER_CM,"")))</f>
        <v/>
      </c>
      <c r="T11" s="17" t="str">
        <f aca="false">IF($B11="","",IF($J11&lt;&gt;"","this core",IF(CORER_DIAMETER_CM&lt;&gt;"","Instructions","missing")))</f>
        <v/>
      </c>
    </row>
    <row r="12" customFormat="false" ht="15" hidden="false" customHeight="false" outlineLevel="0" collapsed="false">
      <c r="A12" s="14"/>
      <c r="B12" s="14"/>
      <c r="C12" s="14"/>
      <c r="D12" s="14"/>
      <c r="E12" s="14"/>
      <c r="F12" s="14"/>
      <c r="G12" s="14"/>
      <c r="H12" s="14"/>
      <c r="I12" s="14"/>
      <c r="J12" s="14"/>
      <c r="K12" s="14"/>
      <c r="L12" s="14"/>
      <c r="M12" s="15" t="str">
        <f aca="false">IF(AND($K12&lt;&gt;"",$L12&lt;&gt;""),$K12/$L12,IF(LOWER(TRIM($Q12))="assume none",1,""))</f>
        <v/>
      </c>
      <c r="N12" s="16" t="str">
        <f aca="false">IF(OR($K12="",$L12=""),"",$K12-$L12)</f>
        <v/>
      </c>
      <c r="O12" s="17" t="str">
        <f aca="false">IF($B12="","",IF(COUNTIF($B$6:$B$35,$B12)&gt;1,"CHECK: duplicate Core ID",IF($S12="","CHECK: corer diameter missing",IF(AND($K12="",$L12=""),IF($M12=1,"ASSUMED: no compaction (not measured)","CHECK: compaction not recorded"),IF(OR($K12="",$L12=""),"CHECK: one depth missing",IF($L12&gt;$K12,"CHECK: extracted &gt; inserted",IF($M12&gt;1.5,"CHECK: &gt;50% compaction","OK")))))))</f>
        <v/>
      </c>
      <c r="P12" s="14"/>
      <c r="Q12" s="14"/>
      <c r="R12" s="14"/>
      <c r="S12" s="18" t="str">
        <f aca="false">IF($B12="","",IF($J12&lt;&gt;"",$J12,IF(CORER_DIAMETER_CM&lt;&gt;"",CORER_DIAMETER_CM,"")))</f>
        <v/>
      </c>
      <c r="T12" s="17" t="str">
        <f aca="false">IF($B12="","",IF($J12&lt;&gt;"","this core",IF(CORER_DIAMETER_CM&lt;&gt;"","Instructions","missing")))</f>
        <v/>
      </c>
    </row>
    <row r="13" customFormat="false" ht="15" hidden="false" customHeight="false" outlineLevel="0" collapsed="false">
      <c r="A13" s="14"/>
      <c r="B13" s="14"/>
      <c r="C13" s="14"/>
      <c r="D13" s="14"/>
      <c r="E13" s="14"/>
      <c r="F13" s="14"/>
      <c r="G13" s="14"/>
      <c r="H13" s="14"/>
      <c r="I13" s="14"/>
      <c r="J13" s="14"/>
      <c r="K13" s="14"/>
      <c r="L13" s="14"/>
      <c r="M13" s="15" t="str">
        <f aca="false">IF(AND($K13&lt;&gt;"",$L13&lt;&gt;""),$K13/$L13,IF(LOWER(TRIM($Q13))="assume none",1,""))</f>
        <v/>
      </c>
      <c r="N13" s="16" t="str">
        <f aca="false">IF(OR($K13="",$L13=""),"",$K13-$L13)</f>
        <v/>
      </c>
      <c r="O13" s="17" t="str">
        <f aca="false">IF($B13="","",IF(COUNTIF($B$6:$B$35,$B13)&gt;1,"CHECK: duplicate Core ID",IF($S13="","CHECK: corer diameter missing",IF(AND($K13="",$L13=""),IF($M13=1,"ASSUMED: no compaction (not measured)","CHECK: compaction not recorded"),IF(OR($K13="",$L13=""),"CHECK: one depth missing",IF($L13&gt;$K13,"CHECK: extracted &gt; inserted",IF($M13&gt;1.5,"CHECK: &gt;50% compaction","OK")))))))</f>
        <v/>
      </c>
      <c r="P13" s="14"/>
      <c r="Q13" s="14"/>
      <c r="R13" s="14"/>
      <c r="S13" s="18" t="str">
        <f aca="false">IF($B13="","",IF($J13&lt;&gt;"",$J13,IF(CORER_DIAMETER_CM&lt;&gt;"",CORER_DIAMETER_CM,"")))</f>
        <v/>
      </c>
      <c r="T13" s="17" t="str">
        <f aca="false">IF($B13="","",IF($J13&lt;&gt;"","this core",IF(CORER_DIAMETER_CM&lt;&gt;"","Instructions","missing")))</f>
        <v/>
      </c>
    </row>
    <row r="14" customFormat="false" ht="15" hidden="false" customHeight="false" outlineLevel="0" collapsed="false">
      <c r="A14" s="14"/>
      <c r="B14" s="14"/>
      <c r="C14" s="14"/>
      <c r="D14" s="14"/>
      <c r="E14" s="14"/>
      <c r="F14" s="14"/>
      <c r="G14" s="14"/>
      <c r="H14" s="14"/>
      <c r="I14" s="14"/>
      <c r="J14" s="14"/>
      <c r="K14" s="14"/>
      <c r="L14" s="14"/>
      <c r="M14" s="15" t="str">
        <f aca="false">IF(AND($K14&lt;&gt;"",$L14&lt;&gt;""),$K14/$L14,IF(LOWER(TRIM($Q14))="assume none",1,""))</f>
        <v/>
      </c>
      <c r="N14" s="16" t="str">
        <f aca="false">IF(OR($K14="",$L14=""),"",$K14-$L14)</f>
        <v/>
      </c>
      <c r="O14" s="17" t="str">
        <f aca="false">IF($B14="","",IF(COUNTIF($B$6:$B$35,$B14)&gt;1,"CHECK: duplicate Core ID",IF($S14="","CHECK: corer diameter missing",IF(AND($K14="",$L14=""),IF($M14=1,"ASSUMED: no compaction (not measured)","CHECK: compaction not recorded"),IF(OR($K14="",$L14=""),"CHECK: one depth missing",IF($L14&gt;$K14,"CHECK: extracted &gt; inserted",IF($M14&gt;1.5,"CHECK: &gt;50% compaction","OK")))))))</f>
        <v/>
      </c>
      <c r="P14" s="14"/>
      <c r="Q14" s="14"/>
      <c r="R14" s="14"/>
      <c r="S14" s="18" t="str">
        <f aca="false">IF($B14="","",IF($J14&lt;&gt;"",$J14,IF(CORER_DIAMETER_CM&lt;&gt;"",CORER_DIAMETER_CM,"")))</f>
        <v/>
      </c>
      <c r="T14" s="17" t="str">
        <f aca="false">IF($B14="","",IF($J14&lt;&gt;"","this core",IF(CORER_DIAMETER_CM&lt;&gt;"","Instructions","missing")))</f>
        <v/>
      </c>
    </row>
    <row r="15" customFormat="false" ht="15" hidden="false" customHeight="false" outlineLevel="0" collapsed="false">
      <c r="A15" s="14"/>
      <c r="B15" s="14"/>
      <c r="C15" s="14"/>
      <c r="D15" s="14"/>
      <c r="E15" s="14"/>
      <c r="F15" s="14"/>
      <c r="G15" s="14"/>
      <c r="H15" s="14"/>
      <c r="I15" s="14"/>
      <c r="J15" s="14"/>
      <c r="K15" s="14"/>
      <c r="L15" s="14"/>
      <c r="M15" s="15" t="str">
        <f aca="false">IF(AND($K15&lt;&gt;"",$L15&lt;&gt;""),$K15/$L15,IF(LOWER(TRIM($Q15))="assume none",1,""))</f>
        <v/>
      </c>
      <c r="N15" s="16" t="str">
        <f aca="false">IF(OR($K15="",$L15=""),"",$K15-$L15)</f>
        <v/>
      </c>
      <c r="O15" s="17" t="str">
        <f aca="false">IF($B15="","",IF(COUNTIF($B$6:$B$35,$B15)&gt;1,"CHECK: duplicate Core ID",IF($S15="","CHECK: corer diameter missing",IF(AND($K15="",$L15=""),IF($M15=1,"ASSUMED: no compaction (not measured)","CHECK: compaction not recorded"),IF(OR($K15="",$L15=""),"CHECK: one depth missing",IF($L15&gt;$K15,"CHECK: extracted &gt; inserted",IF($M15&gt;1.5,"CHECK: &gt;50% compaction","OK")))))))</f>
        <v/>
      </c>
      <c r="P15" s="14"/>
      <c r="Q15" s="14"/>
      <c r="R15" s="14"/>
      <c r="S15" s="18" t="str">
        <f aca="false">IF($B15="","",IF($J15&lt;&gt;"",$J15,IF(CORER_DIAMETER_CM&lt;&gt;"",CORER_DIAMETER_CM,"")))</f>
        <v/>
      </c>
      <c r="T15" s="17" t="str">
        <f aca="false">IF($B15="","",IF($J15&lt;&gt;"","this core",IF(CORER_DIAMETER_CM&lt;&gt;"","Instructions","missing")))</f>
        <v/>
      </c>
    </row>
    <row r="16" customFormat="false" ht="15" hidden="false" customHeight="false" outlineLevel="0" collapsed="false">
      <c r="A16" s="14"/>
      <c r="B16" s="14"/>
      <c r="C16" s="14"/>
      <c r="D16" s="14"/>
      <c r="E16" s="14"/>
      <c r="F16" s="14"/>
      <c r="G16" s="14"/>
      <c r="H16" s="14"/>
      <c r="I16" s="14"/>
      <c r="J16" s="14"/>
      <c r="K16" s="14"/>
      <c r="L16" s="14"/>
      <c r="M16" s="15" t="str">
        <f aca="false">IF(AND($K16&lt;&gt;"",$L16&lt;&gt;""),$K16/$L16,IF(LOWER(TRIM($Q16))="assume none",1,""))</f>
        <v/>
      </c>
      <c r="N16" s="16" t="str">
        <f aca="false">IF(OR($K16="",$L16=""),"",$K16-$L16)</f>
        <v/>
      </c>
      <c r="O16" s="17" t="str">
        <f aca="false">IF($B16="","",IF(COUNTIF($B$6:$B$35,$B16)&gt;1,"CHECK: duplicate Core ID",IF($S16="","CHECK: corer diameter missing",IF(AND($K16="",$L16=""),IF($M16=1,"ASSUMED: no compaction (not measured)","CHECK: compaction not recorded"),IF(OR($K16="",$L16=""),"CHECK: one depth missing",IF($L16&gt;$K16,"CHECK: extracted &gt; inserted",IF($M16&gt;1.5,"CHECK: &gt;50% compaction","OK")))))))</f>
        <v/>
      </c>
      <c r="P16" s="14"/>
      <c r="Q16" s="14"/>
      <c r="R16" s="14"/>
      <c r="S16" s="18" t="str">
        <f aca="false">IF($B16="","",IF($J16&lt;&gt;"",$J16,IF(CORER_DIAMETER_CM&lt;&gt;"",CORER_DIAMETER_CM,"")))</f>
        <v/>
      </c>
      <c r="T16" s="17" t="str">
        <f aca="false">IF($B16="","",IF($J16&lt;&gt;"","this core",IF(CORER_DIAMETER_CM&lt;&gt;"","Instructions","missing")))</f>
        <v/>
      </c>
    </row>
    <row r="17" customFormat="false" ht="15" hidden="false" customHeight="false" outlineLevel="0" collapsed="false">
      <c r="A17" s="14"/>
      <c r="B17" s="14"/>
      <c r="C17" s="14"/>
      <c r="D17" s="14"/>
      <c r="E17" s="14"/>
      <c r="F17" s="14"/>
      <c r="G17" s="14"/>
      <c r="H17" s="14"/>
      <c r="I17" s="14"/>
      <c r="J17" s="14"/>
      <c r="K17" s="14"/>
      <c r="L17" s="14"/>
      <c r="M17" s="15" t="str">
        <f aca="false">IF(AND($K17&lt;&gt;"",$L17&lt;&gt;""),$K17/$L17,IF(LOWER(TRIM($Q17))="assume none",1,""))</f>
        <v/>
      </c>
      <c r="N17" s="16" t="str">
        <f aca="false">IF(OR($K17="",$L17=""),"",$K17-$L17)</f>
        <v/>
      </c>
      <c r="O17" s="17" t="str">
        <f aca="false">IF($B17="","",IF(COUNTIF($B$6:$B$35,$B17)&gt;1,"CHECK: duplicate Core ID",IF($S17="","CHECK: corer diameter missing",IF(AND($K17="",$L17=""),IF($M17=1,"ASSUMED: no compaction (not measured)","CHECK: compaction not recorded"),IF(OR($K17="",$L17=""),"CHECK: one depth missing",IF($L17&gt;$K17,"CHECK: extracted &gt; inserted",IF($M17&gt;1.5,"CHECK: &gt;50% compaction","OK")))))))</f>
        <v/>
      </c>
      <c r="P17" s="14"/>
      <c r="Q17" s="14"/>
      <c r="R17" s="14"/>
      <c r="S17" s="18" t="str">
        <f aca="false">IF($B17="","",IF($J17&lt;&gt;"",$J17,IF(CORER_DIAMETER_CM&lt;&gt;"",CORER_DIAMETER_CM,"")))</f>
        <v/>
      </c>
      <c r="T17" s="17" t="str">
        <f aca="false">IF($B17="","",IF($J17&lt;&gt;"","this core",IF(CORER_DIAMETER_CM&lt;&gt;"","Instructions","missing")))</f>
        <v/>
      </c>
    </row>
    <row r="18" customFormat="false" ht="15" hidden="false" customHeight="false" outlineLevel="0" collapsed="false">
      <c r="A18" s="14"/>
      <c r="B18" s="14"/>
      <c r="C18" s="14"/>
      <c r="D18" s="14"/>
      <c r="E18" s="14"/>
      <c r="F18" s="14"/>
      <c r="G18" s="14"/>
      <c r="H18" s="14"/>
      <c r="I18" s="14"/>
      <c r="J18" s="14"/>
      <c r="K18" s="14"/>
      <c r="L18" s="14"/>
      <c r="M18" s="15" t="str">
        <f aca="false">IF(AND($K18&lt;&gt;"",$L18&lt;&gt;""),$K18/$L18,IF(LOWER(TRIM($Q18))="assume none",1,""))</f>
        <v/>
      </c>
      <c r="N18" s="16" t="str">
        <f aca="false">IF(OR($K18="",$L18=""),"",$K18-$L18)</f>
        <v/>
      </c>
      <c r="O18" s="17" t="str">
        <f aca="false">IF($B18="","",IF(COUNTIF($B$6:$B$35,$B18)&gt;1,"CHECK: duplicate Core ID",IF($S18="","CHECK: corer diameter missing",IF(AND($K18="",$L18=""),IF($M18=1,"ASSUMED: no compaction (not measured)","CHECK: compaction not recorded"),IF(OR($K18="",$L18=""),"CHECK: one depth missing",IF($L18&gt;$K18,"CHECK: extracted &gt; inserted",IF($M18&gt;1.5,"CHECK: &gt;50% compaction","OK")))))))</f>
        <v/>
      </c>
      <c r="P18" s="14"/>
      <c r="Q18" s="14"/>
      <c r="R18" s="14"/>
      <c r="S18" s="18" t="str">
        <f aca="false">IF($B18="","",IF($J18&lt;&gt;"",$J18,IF(CORER_DIAMETER_CM&lt;&gt;"",CORER_DIAMETER_CM,"")))</f>
        <v/>
      </c>
      <c r="T18" s="17" t="str">
        <f aca="false">IF($B18="","",IF($J18&lt;&gt;"","this core",IF(CORER_DIAMETER_CM&lt;&gt;"","Instructions","missing")))</f>
        <v/>
      </c>
    </row>
    <row r="19" customFormat="false" ht="15" hidden="false" customHeight="false" outlineLevel="0" collapsed="false">
      <c r="A19" s="14"/>
      <c r="B19" s="14"/>
      <c r="C19" s="14"/>
      <c r="D19" s="14"/>
      <c r="E19" s="14"/>
      <c r="F19" s="14"/>
      <c r="G19" s="14"/>
      <c r="H19" s="14"/>
      <c r="I19" s="14"/>
      <c r="J19" s="14"/>
      <c r="K19" s="14"/>
      <c r="L19" s="14"/>
      <c r="M19" s="15" t="str">
        <f aca="false">IF(AND($K19&lt;&gt;"",$L19&lt;&gt;""),$K19/$L19,IF(LOWER(TRIM($Q19))="assume none",1,""))</f>
        <v/>
      </c>
      <c r="N19" s="16" t="str">
        <f aca="false">IF(OR($K19="",$L19=""),"",$K19-$L19)</f>
        <v/>
      </c>
      <c r="O19" s="17" t="str">
        <f aca="false">IF($B19="","",IF(COUNTIF($B$6:$B$35,$B19)&gt;1,"CHECK: duplicate Core ID",IF($S19="","CHECK: corer diameter missing",IF(AND($K19="",$L19=""),IF($M19=1,"ASSUMED: no compaction (not measured)","CHECK: compaction not recorded"),IF(OR($K19="",$L19=""),"CHECK: one depth missing",IF($L19&gt;$K19,"CHECK: extracted &gt; inserted",IF($M19&gt;1.5,"CHECK: &gt;50% compaction","OK")))))))</f>
        <v/>
      </c>
      <c r="P19" s="14"/>
      <c r="Q19" s="14"/>
      <c r="R19" s="14"/>
      <c r="S19" s="18" t="str">
        <f aca="false">IF($B19="","",IF($J19&lt;&gt;"",$J19,IF(CORER_DIAMETER_CM&lt;&gt;"",CORER_DIAMETER_CM,"")))</f>
        <v/>
      </c>
      <c r="T19" s="17" t="str">
        <f aca="false">IF($B19="","",IF($J19&lt;&gt;"","this core",IF(CORER_DIAMETER_CM&lt;&gt;"","Instructions","missing")))</f>
        <v/>
      </c>
    </row>
    <row r="20" customFormat="false" ht="15" hidden="false" customHeight="false" outlineLevel="0" collapsed="false">
      <c r="A20" s="14"/>
      <c r="B20" s="14"/>
      <c r="C20" s="14"/>
      <c r="D20" s="14"/>
      <c r="E20" s="14"/>
      <c r="F20" s="14"/>
      <c r="G20" s="14"/>
      <c r="H20" s="14"/>
      <c r="I20" s="14"/>
      <c r="J20" s="14"/>
      <c r="K20" s="14"/>
      <c r="L20" s="14"/>
      <c r="M20" s="15" t="str">
        <f aca="false">IF(AND($K20&lt;&gt;"",$L20&lt;&gt;""),$K20/$L20,IF(LOWER(TRIM($Q20))="assume none",1,""))</f>
        <v/>
      </c>
      <c r="N20" s="16" t="str">
        <f aca="false">IF(OR($K20="",$L20=""),"",$K20-$L20)</f>
        <v/>
      </c>
      <c r="O20" s="17" t="str">
        <f aca="false">IF($B20="","",IF(COUNTIF($B$6:$B$35,$B20)&gt;1,"CHECK: duplicate Core ID",IF($S20="","CHECK: corer diameter missing",IF(AND($K20="",$L20=""),IF($M20=1,"ASSUMED: no compaction (not measured)","CHECK: compaction not recorded"),IF(OR($K20="",$L20=""),"CHECK: one depth missing",IF($L20&gt;$K20,"CHECK: extracted &gt; inserted",IF($M20&gt;1.5,"CHECK: &gt;50% compaction","OK")))))))</f>
        <v/>
      </c>
      <c r="P20" s="14"/>
      <c r="Q20" s="14"/>
      <c r="R20" s="14"/>
      <c r="S20" s="18" t="str">
        <f aca="false">IF($B20="","",IF($J20&lt;&gt;"",$J20,IF(CORER_DIAMETER_CM&lt;&gt;"",CORER_DIAMETER_CM,"")))</f>
        <v/>
      </c>
      <c r="T20" s="17" t="str">
        <f aca="false">IF($B20="","",IF($J20&lt;&gt;"","this core",IF(CORER_DIAMETER_CM&lt;&gt;"","Instructions","missing")))</f>
        <v/>
      </c>
    </row>
    <row r="21" customFormat="false" ht="15.75" hidden="false" customHeight="true" outlineLevel="0" collapsed="false">
      <c r="A21" s="14"/>
      <c r="B21" s="14"/>
      <c r="C21" s="14"/>
      <c r="D21" s="14"/>
      <c r="E21" s="14"/>
      <c r="F21" s="14"/>
      <c r="G21" s="14"/>
      <c r="H21" s="14"/>
      <c r="I21" s="14"/>
      <c r="J21" s="14"/>
      <c r="K21" s="14"/>
      <c r="L21" s="14"/>
      <c r="M21" s="15" t="str">
        <f aca="false">IF(AND($K21&lt;&gt;"",$L21&lt;&gt;""),$K21/$L21,IF(LOWER(TRIM($Q21))="assume none",1,""))</f>
        <v/>
      </c>
      <c r="N21" s="16" t="str">
        <f aca="false">IF(OR($K21="",$L21=""),"",$K21-$L21)</f>
        <v/>
      </c>
      <c r="O21" s="17" t="str">
        <f aca="false">IF($B21="","",IF(COUNTIF($B$6:$B$35,$B21)&gt;1,"CHECK: duplicate Core ID",IF($S21="","CHECK: corer diameter missing",IF(AND($K21="",$L21=""),IF($M21=1,"ASSUMED: no compaction (not measured)","CHECK: compaction not recorded"),IF(OR($K21="",$L21=""),"CHECK: one depth missing",IF($L21&gt;$K21,"CHECK: extracted &gt; inserted",IF($M21&gt;1.5,"CHECK: &gt;50% compaction","OK")))))))</f>
        <v/>
      </c>
      <c r="P21" s="14"/>
      <c r="Q21" s="14"/>
      <c r="R21" s="14"/>
      <c r="S21" s="18" t="str">
        <f aca="false">IF($B21="","",IF($J21&lt;&gt;"",$J21,IF(CORER_DIAMETER_CM&lt;&gt;"",CORER_DIAMETER_CM,"")))</f>
        <v/>
      </c>
      <c r="T21" s="17" t="str">
        <f aca="false">IF($B21="","",IF($J21&lt;&gt;"","this core",IF(CORER_DIAMETER_CM&lt;&gt;"","Instructions","missing")))</f>
        <v/>
      </c>
    </row>
    <row r="22" customFormat="false" ht="15.75" hidden="false" customHeight="true" outlineLevel="0" collapsed="false">
      <c r="A22" s="14"/>
      <c r="B22" s="14"/>
      <c r="C22" s="14"/>
      <c r="D22" s="14"/>
      <c r="E22" s="14"/>
      <c r="F22" s="14"/>
      <c r="G22" s="14"/>
      <c r="H22" s="14"/>
      <c r="I22" s="14"/>
      <c r="J22" s="14"/>
      <c r="K22" s="14"/>
      <c r="L22" s="14"/>
      <c r="M22" s="15" t="str">
        <f aca="false">IF(AND($K22&lt;&gt;"",$L22&lt;&gt;""),$K22/$L22,IF(LOWER(TRIM($Q22))="assume none",1,""))</f>
        <v/>
      </c>
      <c r="N22" s="16" t="str">
        <f aca="false">IF(OR($K22="",$L22=""),"",$K22-$L22)</f>
        <v/>
      </c>
      <c r="O22" s="17" t="str">
        <f aca="false">IF($B22="","",IF(COUNTIF($B$6:$B$35,$B22)&gt;1,"CHECK: duplicate Core ID",IF($S22="","CHECK: corer diameter missing",IF(AND($K22="",$L22=""),IF($M22=1,"ASSUMED: no compaction (not measured)","CHECK: compaction not recorded"),IF(OR($K22="",$L22=""),"CHECK: one depth missing",IF($L22&gt;$K22,"CHECK: extracted &gt; inserted",IF($M22&gt;1.5,"CHECK: &gt;50% compaction","OK")))))))</f>
        <v/>
      </c>
      <c r="P22" s="14"/>
      <c r="Q22" s="14"/>
      <c r="R22" s="14"/>
      <c r="S22" s="18" t="str">
        <f aca="false">IF($B22="","",IF($J22&lt;&gt;"",$J22,IF(CORER_DIAMETER_CM&lt;&gt;"",CORER_DIAMETER_CM,"")))</f>
        <v/>
      </c>
      <c r="T22" s="17" t="str">
        <f aca="false">IF($B22="","",IF($J22&lt;&gt;"","this core",IF(CORER_DIAMETER_CM&lt;&gt;"","Instructions","missing")))</f>
        <v/>
      </c>
    </row>
    <row r="23" customFormat="false" ht="15.75" hidden="false" customHeight="true" outlineLevel="0" collapsed="false">
      <c r="A23" s="14"/>
      <c r="B23" s="14"/>
      <c r="C23" s="14"/>
      <c r="D23" s="14"/>
      <c r="E23" s="14"/>
      <c r="F23" s="14"/>
      <c r="G23" s="14"/>
      <c r="H23" s="14"/>
      <c r="I23" s="14"/>
      <c r="J23" s="14"/>
      <c r="K23" s="14"/>
      <c r="L23" s="14"/>
      <c r="M23" s="15" t="str">
        <f aca="false">IF(AND($K23&lt;&gt;"",$L23&lt;&gt;""),$K23/$L23,IF(LOWER(TRIM($Q23))="assume none",1,""))</f>
        <v/>
      </c>
      <c r="N23" s="16" t="str">
        <f aca="false">IF(OR($K23="",$L23=""),"",$K23-$L23)</f>
        <v/>
      </c>
      <c r="O23" s="17" t="str">
        <f aca="false">IF($B23="","",IF(COUNTIF($B$6:$B$35,$B23)&gt;1,"CHECK: duplicate Core ID",IF($S23="","CHECK: corer diameter missing",IF(AND($K23="",$L23=""),IF($M23=1,"ASSUMED: no compaction (not measured)","CHECK: compaction not recorded"),IF(OR($K23="",$L23=""),"CHECK: one depth missing",IF($L23&gt;$K23,"CHECK: extracted &gt; inserted",IF($M23&gt;1.5,"CHECK: &gt;50% compaction","OK")))))))</f>
        <v/>
      </c>
      <c r="P23" s="14"/>
      <c r="Q23" s="14"/>
      <c r="R23" s="14"/>
      <c r="S23" s="18" t="str">
        <f aca="false">IF($B23="","",IF($J23&lt;&gt;"",$J23,IF(CORER_DIAMETER_CM&lt;&gt;"",CORER_DIAMETER_CM,"")))</f>
        <v/>
      </c>
      <c r="T23" s="17" t="str">
        <f aca="false">IF($B23="","",IF($J23&lt;&gt;"","this core",IF(CORER_DIAMETER_CM&lt;&gt;"","Instructions","missing")))</f>
        <v/>
      </c>
    </row>
    <row r="24" customFormat="false" ht="15.75" hidden="false" customHeight="true" outlineLevel="0" collapsed="false">
      <c r="A24" s="14"/>
      <c r="B24" s="14"/>
      <c r="C24" s="14"/>
      <c r="D24" s="14"/>
      <c r="E24" s="14"/>
      <c r="F24" s="14"/>
      <c r="G24" s="14"/>
      <c r="H24" s="14"/>
      <c r="I24" s="14"/>
      <c r="J24" s="14"/>
      <c r="K24" s="14"/>
      <c r="L24" s="14"/>
      <c r="M24" s="15" t="str">
        <f aca="false">IF(AND($K24&lt;&gt;"",$L24&lt;&gt;""),$K24/$L24,IF(LOWER(TRIM($Q24))="assume none",1,""))</f>
        <v/>
      </c>
      <c r="N24" s="16" t="str">
        <f aca="false">IF(OR($K24="",$L24=""),"",$K24-$L24)</f>
        <v/>
      </c>
      <c r="O24" s="17" t="str">
        <f aca="false">IF($B24="","",IF(COUNTIF($B$6:$B$35,$B24)&gt;1,"CHECK: duplicate Core ID",IF($S24="","CHECK: corer diameter missing",IF(AND($K24="",$L24=""),IF($M24=1,"ASSUMED: no compaction (not measured)","CHECK: compaction not recorded"),IF(OR($K24="",$L24=""),"CHECK: one depth missing",IF($L24&gt;$K24,"CHECK: extracted &gt; inserted",IF($M24&gt;1.5,"CHECK: &gt;50% compaction","OK")))))))</f>
        <v/>
      </c>
      <c r="P24" s="14"/>
      <c r="Q24" s="14"/>
      <c r="R24" s="14"/>
      <c r="S24" s="18" t="str">
        <f aca="false">IF($B24="","",IF($J24&lt;&gt;"",$J24,IF(CORER_DIAMETER_CM&lt;&gt;"",CORER_DIAMETER_CM,"")))</f>
        <v/>
      </c>
      <c r="T24" s="17" t="str">
        <f aca="false">IF($B24="","",IF($J24&lt;&gt;"","this core",IF(CORER_DIAMETER_CM&lt;&gt;"","Instructions","missing")))</f>
        <v/>
      </c>
    </row>
    <row r="25" customFormat="false" ht="15.75" hidden="false" customHeight="true" outlineLevel="0" collapsed="false">
      <c r="A25" s="14"/>
      <c r="B25" s="14"/>
      <c r="C25" s="14"/>
      <c r="D25" s="14"/>
      <c r="E25" s="14"/>
      <c r="F25" s="14"/>
      <c r="G25" s="14"/>
      <c r="H25" s="14"/>
      <c r="I25" s="14"/>
      <c r="J25" s="14"/>
      <c r="K25" s="14"/>
      <c r="L25" s="14"/>
      <c r="M25" s="15" t="str">
        <f aca="false">IF(AND($K25&lt;&gt;"",$L25&lt;&gt;""),$K25/$L25,IF(LOWER(TRIM($Q25))="assume none",1,""))</f>
        <v/>
      </c>
      <c r="N25" s="16" t="str">
        <f aca="false">IF(OR($K25="",$L25=""),"",$K25-$L25)</f>
        <v/>
      </c>
      <c r="O25" s="17" t="str">
        <f aca="false">IF($B25="","",IF(COUNTIF($B$6:$B$35,$B25)&gt;1,"CHECK: duplicate Core ID",IF($S25="","CHECK: corer diameter missing",IF(AND($K25="",$L25=""),IF($M25=1,"ASSUMED: no compaction (not measured)","CHECK: compaction not recorded"),IF(OR($K25="",$L25=""),"CHECK: one depth missing",IF($L25&gt;$K25,"CHECK: extracted &gt; inserted",IF($M25&gt;1.5,"CHECK: &gt;50% compaction","OK")))))))</f>
        <v/>
      </c>
      <c r="P25" s="14"/>
      <c r="Q25" s="14"/>
      <c r="R25" s="14"/>
      <c r="S25" s="18" t="str">
        <f aca="false">IF($B25="","",IF($J25&lt;&gt;"",$J25,IF(CORER_DIAMETER_CM&lt;&gt;"",CORER_DIAMETER_CM,"")))</f>
        <v/>
      </c>
      <c r="T25" s="17" t="str">
        <f aca="false">IF($B25="","",IF($J25&lt;&gt;"","this core",IF(CORER_DIAMETER_CM&lt;&gt;"","Instructions","missing")))</f>
        <v/>
      </c>
    </row>
    <row r="26" customFormat="false" ht="15.75" hidden="false" customHeight="true" outlineLevel="0" collapsed="false">
      <c r="A26" s="14"/>
      <c r="B26" s="14"/>
      <c r="C26" s="14"/>
      <c r="D26" s="14"/>
      <c r="E26" s="14"/>
      <c r="F26" s="14"/>
      <c r="G26" s="14"/>
      <c r="H26" s="14"/>
      <c r="I26" s="14"/>
      <c r="J26" s="14"/>
      <c r="K26" s="14"/>
      <c r="L26" s="14"/>
      <c r="M26" s="15" t="str">
        <f aca="false">IF(AND($K26&lt;&gt;"",$L26&lt;&gt;""),$K26/$L26,IF(LOWER(TRIM($Q26))="assume none",1,""))</f>
        <v/>
      </c>
      <c r="N26" s="16" t="str">
        <f aca="false">IF(OR($K26="",$L26=""),"",$K26-$L26)</f>
        <v/>
      </c>
      <c r="O26" s="17" t="str">
        <f aca="false">IF($B26="","",IF(COUNTIF($B$6:$B$35,$B26)&gt;1,"CHECK: duplicate Core ID",IF($S26="","CHECK: corer diameter missing",IF(AND($K26="",$L26=""),IF($M26=1,"ASSUMED: no compaction (not measured)","CHECK: compaction not recorded"),IF(OR($K26="",$L26=""),"CHECK: one depth missing",IF($L26&gt;$K26,"CHECK: extracted &gt; inserted",IF($M26&gt;1.5,"CHECK: &gt;50% compaction","OK")))))))</f>
        <v/>
      </c>
      <c r="P26" s="14"/>
      <c r="Q26" s="14"/>
      <c r="R26" s="14"/>
      <c r="S26" s="18" t="str">
        <f aca="false">IF($B26="","",IF($J26&lt;&gt;"",$J26,IF(CORER_DIAMETER_CM&lt;&gt;"",CORER_DIAMETER_CM,"")))</f>
        <v/>
      </c>
      <c r="T26" s="17" t="str">
        <f aca="false">IF($B26="","",IF($J26&lt;&gt;"","this core",IF(CORER_DIAMETER_CM&lt;&gt;"","Instructions","missing")))</f>
        <v/>
      </c>
    </row>
    <row r="27" customFormat="false" ht="15.75" hidden="false" customHeight="true" outlineLevel="0" collapsed="false">
      <c r="A27" s="14"/>
      <c r="B27" s="14"/>
      <c r="C27" s="14"/>
      <c r="D27" s="14"/>
      <c r="E27" s="14"/>
      <c r="F27" s="14"/>
      <c r="G27" s="14"/>
      <c r="H27" s="14"/>
      <c r="I27" s="14"/>
      <c r="J27" s="14"/>
      <c r="K27" s="14"/>
      <c r="L27" s="14"/>
      <c r="M27" s="15" t="str">
        <f aca="false">IF(AND($K27&lt;&gt;"",$L27&lt;&gt;""),$K27/$L27,IF(LOWER(TRIM($Q27))="assume none",1,""))</f>
        <v/>
      </c>
      <c r="N27" s="16" t="str">
        <f aca="false">IF(OR($K27="",$L27=""),"",$K27-$L27)</f>
        <v/>
      </c>
      <c r="O27" s="17" t="str">
        <f aca="false">IF($B27="","",IF(COUNTIF($B$6:$B$35,$B27)&gt;1,"CHECK: duplicate Core ID",IF($S27="","CHECK: corer diameter missing",IF(AND($K27="",$L27=""),IF($M27=1,"ASSUMED: no compaction (not measured)","CHECK: compaction not recorded"),IF(OR($K27="",$L27=""),"CHECK: one depth missing",IF($L27&gt;$K27,"CHECK: extracted &gt; inserted",IF($M27&gt;1.5,"CHECK: &gt;50% compaction","OK")))))))</f>
        <v/>
      </c>
      <c r="P27" s="14"/>
      <c r="Q27" s="14"/>
      <c r="R27" s="14"/>
      <c r="S27" s="18" t="str">
        <f aca="false">IF($B27="","",IF($J27&lt;&gt;"",$J27,IF(CORER_DIAMETER_CM&lt;&gt;"",CORER_DIAMETER_CM,"")))</f>
        <v/>
      </c>
      <c r="T27" s="17" t="str">
        <f aca="false">IF($B27="","",IF($J27&lt;&gt;"","this core",IF(CORER_DIAMETER_CM&lt;&gt;"","Instructions","missing")))</f>
        <v/>
      </c>
    </row>
    <row r="28" customFormat="false" ht="15.75" hidden="false" customHeight="true" outlineLevel="0" collapsed="false">
      <c r="A28" s="14"/>
      <c r="B28" s="14"/>
      <c r="C28" s="14"/>
      <c r="D28" s="14"/>
      <c r="E28" s="14"/>
      <c r="F28" s="14"/>
      <c r="G28" s="14"/>
      <c r="H28" s="14"/>
      <c r="I28" s="14"/>
      <c r="J28" s="14"/>
      <c r="K28" s="14"/>
      <c r="L28" s="14"/>
      <c r="M28" s="15" t="str">
        <f aca="false">IF(AND($K28&lt;&gt;"",$L28&lt;&gt;""),$K28/$L28,IF(LOWER(TRIM($Q28))="assume none",1,""))</f>
        <v/>
      </c>
      <c r="N28" s="16" t="str">
        <f aca="false">IF(OR($K28="",$L28=""),"",$K28-$L28)</f>
        <v/>
      </c>
      <c r="O28" s="17" t="str">
        <f aca="false">IF($B28="","",IF(COUNTIF($B$6:$B$35,$B28)&gt;1,"CHECK: duplicate Core ID",IF($S28="","CHECK: corer diameter missing",IF(AND($K28="",$L28=""),IF($M28=1,"ASSUMED: no compaction (not measured)","CHECK: compaction not recorded"),IF(OR($K28="",$L28=""),"CHECK: one depth missing",IF($L28&gt;$K28,"CHECK: extracted &gt; inserted",IF($M28&gt;1.5,"CHECK: &gt;50% compaction","OK")))))))</f>
        <v/>
      </c>
      <c r="P28" s="14"/>
      <c r="Q28" s="14"/>
      <c r="R28" s="14"/>
      <c r="S28" s="18" t="str">
        <f aca="false">IF($B28="","",IF($J28&lt;&gt;"",$J28,IF(CORER_DIAMETER_CM&lt;&gt;"",CORER_DIAMETER_CM,"")))</f>
        <v/>
      </c>
      <c r="T28" s="17" t="str">
        <f aca="false">IF($B28="","",IF($J28&lt;&gt;"","this core",IF(CORER_DIAMETER_CM&lt;&gt;"","Instructions","missing")))</f>
        <v/>
      </c>
    </row>
    <row r="29" customFormat="false" ht="15.75" hidden="false" customHeight="true" outlineLevel="0" collapsed="false">
      <c r="A29" s="14"/>
      <c r="B29" s="14"/>
      <c r="C29" s="14"/>
      <c r="D29" s="14"/>
      <c r="E29" s="14"/>
      <c r="F29" s="14"/>
      <c r="G29" s="14"/>
      <c r="H29" s="14"/>
      <c r="I29" s="14"/>
      <c r="J29" s="14"/>
      <c r="K29" s="14"/>
      <c r="L29" s="14"/>
      <c r="M29" s="15" t="str">
        <f aca="false">IF(AND($K29&lt;&gt;"",$L29&lt;&gt;""),$K29/$L29,IF(LOWER(TRIM($Q29))="assume none",1,""))</f>
        <v/>
      </c>
      <c r="N29" s="16" t="str">
        <f aca="false">IF(OR($K29="",$L29=""),"",$K29-$L29)</f>
        <v/>
      </c>
      <c r="O29" s="17" t="str">
        <f aca="false">IF($B29="","",IF(COUNTIF($B$6:$B$35,$B29)&gt;1,"CHECK: duplicate Core ID",IF($S29="","CHECK: corer diameter missing",IF(AND($K29="",$L29=""),IF($M29=1,"ASSUMED: no compaction (not measured)","CHECK: compaction not recorded"),IF(OR($K29="",$L29=""),"CHECK: one depth missing",IF($L29&gt;$K29,"CHECK: extracted &gt; inserted",IF($M29&gt;1.5,"CHECK: &gt;50% compaction","OK")))))))</f>
        <v/>
      </c>
      <c r="P29" s="14"/>
      <c r="Q29" s="14"/>
      <c r="R29" s="14"/>
      <c r="S29" s="18" t="str">
        <f aca="false">IF($B29="","",IF($J29&lt;&gt;"",$J29,IF(CORER_DIAMETER_CM&lt;&gt;"",CORER_DIAMETER_CM,"")))</f>
        <v/>
      </c>
      <c r="T29" s="17" t="str">
        <f aca="false">IF($B29="","",IF($J29&lt;&gt;"","this core",IF(CORER_DIAMETER_CM&lt;&gt;"","Instructions","missing")))</f>
        <v/>
      </c>
    </row>
    <row r="30" customFormat="false" ht="15.75" hidden="false" customHeight="true" outlineLevel="0" collapsed="false">
      <c r="A30" s="14"/>
      <c r="B30" s="14"/>
      <c r="C30" s="14"/>
      <c r="D30" s="14"/>
      <c r="E30" s="14"/>
      <c r="F30" s="14"/>
      <c r="G30" s="14"/>
      <c r="H30" s="14"/>
      <c r="I30" s="14"/>
      <c r="J30" s="14"/>
      <c r="K30" s="14"/>
      <c r="L30" s="14"/>
      <c r="M30" s="15" t="str">
        <f aca="false">IF(AND($K30&lt;&gt;"",$L30&lt;&gt;""),$K30/$L30,IF(LOWER(TRIM($Q30))="assume none",1,""))</f>
        <v/>
      </c>
      <c r="N30" s="16" t="str">
        <f aca="false">IF(OR($K30="",$L30=""),"",$K30-$L30)</f>
        <v/>
      </c>
      <c r="O30" s="17" t="str">
        <f aca="false">IF($B30="","",IF(COUNTIF($B$6:$B$35,$B30)&gt;1,"CHECK: duplicate Core ID",IF($S30="","CHECK: corer diameter missing",IF(AND($K30="",$L30=""),IF($M30=1,"ASSUMED: no compaction (not measured)","CHECK: compaction not recorded"),IF(OR($K30="",$L30=""),"CHECK: one depth missing",IF($L30&gt;$K30,"CHECK: extracted &gt; inserted",IF($M30&gt;1.5,"CHECK: &gt;50% compaction","OK")))))))</f>
        <v/>
      </c>
      <c r="P30" s="14"/>
      <c r="Q30" s="14"/>
      <c r="R30" s="14"/>
      <c r="S30" s="18" t="str">
        <f aca="false">IF($B30="","",IF($J30&lt;&gt;"",$J30,IF(CORER_DIAMETER_CM&lt;&gt;"",CORER_DIAMETER_CM,"")))</f>
        <v/>
      </c>
      <c r="T30" s="17" t="str">
        <f aca="false">IF($B30="","",IF($J30&lt;&gt;"","this core",IF(CORER_DIAMETER_CM&lt;&gt;"","Instructions","missing")))</f>
        <v/>
      </c>
    </row>
    <row r="31" customFormat="false" ht="15.75" hidden="false" customHeight="true" outlineLevel="0" collapsed="false">
      <c r="A31" s="14"/>
      <c r="B31" s="14"/>
      <c r="C31" s="14"/>
      <c r="D31" s="14"/>
      <c r="E31" s="14"/>
      <c r="F31" s="14"/>
      <c r="G31" s="14"/>
      <c r="H31" s="14"/>
      <c r="I31" s="14"/>
      <c r="J31" s="14"/>
      <c r="K31" s="14"/>
      <c r="L31" s="14"/>
      <c r="M31" s="15" t="str">
        <f aca="false">IF(AND($K31&lt;&gt;"",$L31&lt;&gt;""),$K31/$L31,IF(LOWER(TRIM($Q31))="assume none",1,""))</f>
        <v/>
      </c>
      <c r="N31" s="16" t="str">
        <f aca="false">IF(OR($K31="",$L31=""),"",$K31-$L31)</f>
        <v/>
      </c>
      <c r="O31" s="17" t="str">
        <f aca="false">IF($B31="","",IF(COUNTIF($B$6:$B$35,$B31)&gt;1,"CHECK: duplicate Core ID",IF($S31="","CHECK: corer diameter missing",IF(AND($K31="",$L31=""),IF($M31=1,"ASSUMED: no compaction (not measured)","CHECK: compaction not recorded"),IF(OR($K31="",$L31=""),"CHECK: one depth missing",IF($L31&gt;$K31,"CHECK: extracted &gt; inserted",IF($M31&gt;1.5,"CHECK: &gt;50% compaction","OK")))))))</f>
        <v/>
      </c>
      <c r="P31" s="14"/>
      <c r="Q31" s="14"/>
      <c r="R31" s="14"/>
      <c r="S31" s="18" t="str">
        <f aca="false">IF($B31="","",IF($J31&lt;&gt;"",$J31,IF(CORER_DIAMETER_CM&lt;&gt;"",CORER_DIAMETER_CM,"")))</f>
        <v/>
      </c>
      <c r="T31" s="17" t="str">
        <f aca="false">IF($B31="","",IF($J31&lt;&gt;"","this core",IF(CORER_DIAMETER_CM&lt;&gt;"","Instructions","missing")))</f>
        <v/>
      </c>
    </row>
    <row r="32" customFormat="false" ht="15.75" hidden="false" customHeight="true" outlineLevel="0" collapsed="false">
      <c r="A32" s="14"/>
      <c r="B32" s="14"/>
      <c r="C32" s="14"/>
      <c r="D32" s="14"/>
      <c r="E32" s="14"/>
      <c r="F32" s="14"/>
      <c r="G32" s="14"/>
      <c r="H32" s="14"/>
      <c r="I32" s="14"/>
      <c r="J32" s="14"/>
      <c r="K32" s="14"/>
      <c r="L32" s="14"/>
      <c r="M32" s="15" t="str">
        <f aca="false">IF(AND($K32&lt;&gt;"",$L32&lt;&gt;""),$K32/$L32,IF(LOWER(TRIM($Q32))="assume none",1,""))</f>
        <v/>
      </c>
      <c r="N32" s="16" t="str">
        <f aca="false">IF(OR($K32="",$L32=""),"",$K32-$L32)</f>
        <v/>
      </c>
      <c r="O32" s="17" t="str">
        <f aca="false">IF($B32="","",IF(COUNTIF($B$6:$B$35,$B32)&gt;1,"CHECK: duplicate Core ID",IF($S32="","CHECK: corer diameter missing",IF(AND($K32="",$L32=""),IF($M32=1,"ASSUMED: no compaction (not measured)","CHECK: compaction not recorded"),IF(OR($K32="",$L32=""),"CHECK: one depth missing",IF($L32&gt;$K32,"CHECK: extracted &gt; inserted",IF($M32&gt;1.5,"CHECK: &gt;50% compaction","OK")))))))</f>
        <v/>
      </c>
      <c r="P32" s="14"/>
      <c r="Q32" s="14"/>
      <c r="R32" s="14"/>
      <c r="S32" s="18" t="str">
        <f aca="false">IF($B32="","",IF($J32&lt;&gt;"",$J32,IF(CORER_DIAMETER_CM&lt;&gt;"",CORER_DIAMETER_CM,"")))</f>
        <v/>
      </c>
      <c r="T32" s="17" t="str">
        <f aca="false">IF($B32="","",IF($J32&lt;&gt;"","this core",IF(CORER_DIAMETER_CM&lt;&gt;"","Instructions","missing")))</f>
        <v/>
      </c>
    </row>
    <row r="33" customFormat="false" ht="15.75" hidden="false" customHeight="true" outlineLevel="0" collapsed="false">
      <c r="A33" s="14"/>
      <c r="B33" s="14"/>
      <c r="C33" s="14"/>
      <c r="D33" s="14"/>
      <c r="E33" s="14"/>
      <c r="F33" s="14"/>
      <c r="G33" s="14"/>
      <c r="H33" s="14"/>
      <c r="I33" s="14"/>
      <c r="J33" s="14"/>
      <c r="K33" s="14"/>
      <c r="L33" s="14"/>
      <c r="M33" s="15" t="str">
        <f aca="false">IF(AND($K33&lt;&gt;"",$L33&lt;&gt;""),$K33/$L33,IF(LOWER(TRIM($Q33))="assume none",1,""))</f>
        <v/>
      </c>
      <c r="N33" s="16" t="str">
        <f aca="false">IF(OR($K33="",$L33=""),"",$K33-$L33)</f>
        <v/>
      </c>
      <c r="O33" s="17" t="str">
        <f aca="false">IF($B33="","",IF(COUNTIF($B$6:$B$35,$B33)&gt;1,"CHECK: duplicate Core ID",IF($S33="","CHECK: corer diameter missing",IF(AND($K33="",$L33=""),IF($M33=1,"ASSUMED: no compaction (not measured)","CHECK: compaction not recorded"),IF(OR($K33="",$L33=""),"CHECK: one depth missing",IF($L33&gt;$K33,"CHECK: extracted &gt; inserted",IF($M33&gt;1.5,"CHECK: &gt;50% compaction","OK")))))))</f>
        <v/>
      </c>
      <c r="P33" s="14"/>
      <c r="Q33" s="14"/>
      <c r="R33" s="14"/>
      <c r="S33" s="18" t="str">
        <f aca="false">IF($B33="","",IF($J33&lt;&gt;"",$J33,IF(CORER_DIAMETER_CM&lt;&gt;"",CORER_DIAMETER_CM,"")))</f>
        <v/>
      </c>
      <c r="T33" s="17" t="str">
        <f aca="false">IF($B33="","",IF($J33&lt;&gt;"","this core",IF(CORER_DIAMETER_CM&lt;&gt;"","Instructions","missing")))</f>
        <v/>
      </c>
    </row>
    <row r="34" customFormat="false" ht="15.75" hidden="false" customHeight="true" outlineLevel="0" collapsed="false">
      <c r="A34" s="14"/>
      <c r="B34" s="14"/>
      <c r="C34" s="14"/>
      <c r="D34" s="14"/>
      <c r="E34" s="14"/>
      <c r="F34" s="14"/>
      <c r="G34" s="14"/>
      <c r="H34" s="14"/>
      <c r="I34" s="14"/>
      <c r="J34" s="14"/>
      <c r="K34" s="14"/>
      <c r="L34" s="14"/>
      <c r="M34" s="15" t="str">
        <f aca="false">IF(AND($K34&lt;&gt;"",$L34&lt;&gt;""),$K34/$L34,IF(LOWER(TRIM($Q34))="assume none",1,""))</f>
        <v/>
      </c>
      <c r="N34" s="16" t="str">
        <f aca="false">IF(OR($K34="",$L34=""),"",$K34-$L34)</f>
        <v/>
      </c>
      <c r="O34" s="17" t="str">
        <f aca="false">IF($B34="","",IF(COUNTIF($B$6:$B$35,$B34)&gt;1,"CHECK: duplicate Core ID",IF($S34="","CHECK: corer diameter missing",IF(AND($K34="",$L34=""),IF($M34=1,"ASSUMED: no compaction (not measured)","CHECK: compaction not recorded"),IF(OR($K34="",$L34=""),"CHECK: one depth missing",IF($L34&gt;$K34,"CHECK: extracted &gt; inserted",IF($M34&gt;1.5,"CHECK: &gt;50% compaction","OK")))))))</f>
        <v/>
      </c>
      <c r="P34" s="14"/>
      <c r="Q34" s="14"/>
      <c r="R34" s="14"/>
      <c r="S34" s="18" t="str">
        <f aca="false">IF($B34="","",IF($J34&lt;&gt;"",$J34,IF(CORER_DIAMETER_CM&lt;&gt;"",CORER_DIAMETER_CM,"")))</f>
        <v/>
      </c>
      <c r="T34" s="17" t="str">
        <f aca="false">IF($B34="","",IF($J34&lt;&gt;"","this core",IF(CORER_DIAMETER_CM&lt;&gt;"","Instructions","missing")))</f>
        <v/>
      </c>
    </row>
    <row r="35" customFormat="false" ht="15.75" hidden="false" customHeight="true" outlineLevel="0" collapsed="false">
      <c r="A35" s="14"/>
      <c r="B35" s="14"/>
      <c r="C35" s="14"/>
      <c r="D35" s="14"/>
      <c r="E35" s="14"/>
      <c r="F35" s="14"/>
      <c r="G35" s="14"/>
      <c r="H35" s="14"/>
      <c r="I35" s="14"/>
      <c r="J35" s="14"/>
      <c r="K35" s="14"/>
      <c r="L35" s="14"/>
      <c r="M35" s="15" t="str">
        <f aca="false">IF(AND($K35&lt;&gt;"",$L35&lt;&gt;""),$K35/$L35,IF(LOWER(TRIM($Q35))="assume none",1,""))</f>
        <v/>
      </c>
      <c r="N35" s="16" t="str">
        <f aca="false">IF(OR($K35="",$L35=""),"",$K35-$L35)</f>
        <v/>
      </c>
      <c r="O35" s="17" t="str">
        <f aca="false">IF($B35="","",IF(COUNTIF($B$6:$B$35,$B35)&gt;1,"CHECK: duplicate Core ID",IF($S35="","CHECK: corer diameter missing",IF(AND($K35="",$L35=""),IF($M35=1,"ASSUMED: no compaction (not measured)","CHECK: compaction not recorded"),IF(OR($K35="",$L35=""),"CHECK: one depth missing",IF($L35&gt;$K35,"CHECK: extracted &gt; inserted",IF($M35&gt;1.5,"CHECK: &gt;50% compaction","OK")))))))</f>
        <v/>
      </c>
      <c r="P35" s="14"/>
      <c r="Q35" s="14"/>
      <c r="R35" s="14"/>
      <c r="S35" s="18" t="str">
        <f aca="false">IF($B35="","",IF($J35&lt;&gt;"",$J35,IF(CORER_DIAMETER_CM&lt;&gt;"",CORER_DIAMETER_CM,"")))</f>
        <v/>
      </c>
      <c r="T35" s="17" t="str">
        <f aca="false">IF($B35="","",IF($J35&lt;&gt;"","this core",IF(CORER_DIAMETER_CM&lt;&gt;"","Instructions","missing")))</f>
        <v/>
      </c>
    </row>
    <row r="36" customFormat="false" ht="15.75" hidden="false" customHeight="true" outlineLevel="0" collapsed="false"/>
    <row r="37" customFormat="false" ht="15.75" hidden="false" customHeight="true" outlineLevel="0" collapsed="false">
      <c r="A37" s="5" t="s">
        <v>108</v>
      </c>
    </row>
    <row r="38" customFormat="false" ht="30" hidden="false" customHeight="true" outlineLevel="0" collapsed="false">
      <c r="A38" s="19" t="s">
        <v>109</v>
      </c>
      <c r="B38" s="19"/>
      <c r="C38" s="19"/>
      <c r="D38" s="19"/>
      <c r="E38" s="19"/>
      <c r="F38" s="19"/>
      <c r="G38" s="19"/>
      <c r="H38" s="19"/>
      <c r="I38" s="19"/>
      <c r="J38" s="19"/>
      <c r="K38" s="19"/>
      <c r="L38" s="19"/>
      <c r="M38" s="19"/>
      <c r="N38" s="19"/>
      <c r="O38" s="19"/>
      <c r="P38" s="19"/>
      <c r="Q38" s="19"/>
      <c r="R38" s="19"/>
      <c r="S38" s="19"/>
      <c r="T38" s="19"/>
    </row>
    <row r="39" customFormat="false" ht="30" hidden="false" customHeight="true" outlineLevel="0" collapsed="false">
      <c r="A39" s="19"/>
      <c r="B39" s="19"/>
      <c r="C39" s="19"/>
      <c r="D39" s="19"/>
      <c r="E39" s="19"/>
      <c r="F39" s="19"/>
      <c r="G39" s="19"/>
      <c r="H39" s="19"/>
      <c r="I39" s="19"/>
      <c r="J39" s="19"/>
      <c r="K39" s="19"/>
      <c r="L39" s="19"/>
      <c r="M39" s="19"/>
      <c r="N39" s="19"/>
      <c r="O39" s="19"/>
      <c r="P39" s="19"/>
      <c r="Q39" s="19"/>
      <c r="R39" s="19"/>
      <c r="S39" s="19"/>
      <c r="T39" s="19"/>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2:T2"/>
    <mergeCell ref="A4:I4"/>
    <mergeCell ref="J4:L4"/>
    <mergeCell ref="M4:O4"/>
    <mergeCell ref="P4:R4"/>
    <mergeCell ref="S4:T4"/>
    <mergeCell ref="A38:T39"/>
  </mergeCells>
  <dataValidations count="1">
    <dataValidation allowBlank="true" errorStyle="stop" operator="between" showDropDown="false" showErrorMessage="false" showInputMessage="false" sqref="Q6:Q35" type="list">
      <formula1>"assume 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F6" activeCellId="0" sqref="F6"/>
    </sheetView>
  </sheetViews>
  <sheetFormatPr defaultColWidth="14.43359375" defaultRowHeight="15" customHeight="tru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3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5" min="12" style="0" width="11"/>
    <col collapsed="false" customWidth="true" hidden="false" outlineLevel="0" max="16" min="16" style="0" width="12"/>
    <col collapsed="false" customWidth="true" hidden="false" outlineLevel="0" max="17" min="17" style="0" width="14"/>
    <col collapsed="false" customWidth="true" hidden="false" outlineLevel="0" max="20" min="18" style="0" width="13"/>
    <col collapsed="false" customWidth="true" hidden="false" outlineLevel="0" max="26" min="21" style="0" width="12"/>
    <col collapsed="false" customWidth="true" hidden="false" outlineLevel="0" max="27" min="27" style="0" width="30"/>
  </cols>
  <sheetData>
    <row r="1" customFormat="false" ht="17.35" hidden="false" customHeight="false" outlineLevel="0" collapsed="false">
      <c r="A1" s="8" t="s">
        <v>110</v>
      </c>
    </row>
    <row r="2" customFormat="false" ht="15" hidden="false" customHeight="false" outlineLevel="0" collapsed="false">
      <c r="A2" s="9" t="s">
        <v>111</v>
      </c>
      <c r="B2" s="9"/>
      <c r="C2" s="9"/>
      <c r="D2" s="9"/>
      <c r="E2" s="9"/>
      <c r="F2" s="9"/>
      <c r="G2" s="9"/>
      <c r="H2" s="9"/>
      <c r="I2" s="9"/>
      <c r="J2" s="9"/>
      <c r="K2" s="9"/>
      <c r="L2" s="9"/>
      <c r="M2" s="9"/>
      <c r="N2" s="9"/>
      <c r="O2" s="9"/>
      <c r="P2" s="9"/>
      <c r="Q2" s="9"/>
      <c r="R2" s="9"/>
      <c r="S2" s="9"/>
      <c r="T2" s="9"/>
      <c r="U2" s="9"/>
      <c r="V2" s="9"/>
      <c r="W2" s="9"/>
      <c r="X2" s="9"/>
      <c r="Y2" s="9"/>
      <c r="Z2" s="9"/>
      <c r="AA2" s="9"/>
    </row>
    <row r="4" customFormat="false" ht="19.5" hidden="false" customHeight="true" outlineLevel="0" collapsed="false">
      <c r="A4" s="10" t="s">
        <v>21</v>
      </c>
      <c r="B4" s="10"/>
      <c r="C4" s="10"/>
      <c r="D4" s="10"/>
      <c r="E4" s="10"/>
      <c r="F4" s="11" t="s">
        <v>23</v>
      </c>
      <c r="G4" s="11"/>
      <c r="H4" s="11"/>
      <c r="I4" s="11"/>
      <c r="J4" s="11"/>
      <c r="K4" s="11"/>
      <c r="L4" s="20" t="s">
        <v>25</v>
      </c>
      <c r="M4" s="20"/>
      <c r="N4" s="20"/>
      <c r="O4" s="20"/>
      <c r="P4" s="21" t="s">
        <v>27</v>
      </c>
      <c r="Q4" s="21"/>
      <c r="R4" s="21"/>
      <c r="S4" s="21"/>
      <c r="T4" s="21"/>
      <c r="U4" s="21"/>
      <c r="V4" s="21"/>
      <c r="W4" s="21"/>
      <c r="X4" s="21"/>
      <c r="Y4" s="21"/>
      <c r="Z4" s="21"/>
      <c r="AA4" s="10" t="s">
        <v>29</v>
      </c>
    </row>
    <row r="5" customFormat="false" ht="51.75" hidden="false" customHeight="true" outlineLevel="0" collapsed="false">
      <c r="A5" s="12" t="s">
        <v>79</v>
      </c>
      <c r="B5" s="12" t="s">
        <v>112</v>
      </c>
      <c r="C5" s="12" t="s">
        <v>113</v>
      </c>
      <c r="D5" s="12" t="s">
        <v>114</v>
      </c>
      <c r="E5" s="12" t="s">
        <v>115</v>
      </c>
      <c r="F5" s="13" t="s">
        <v>116</v>
      </c>
      <c r="G5" s="13" t="s">
        <v>117</v>
      </c>
      <c r="H5" s="13" t="s">
        <v>118</v>
      </c>
      <c r="I5" s="13" t="s">
        <v>119</v>
      </c>
      <c r="J5" s="13" t="s">
        <v>120</v>
      </c>
      <c r="K5" s="13" t="s">
        <v>121</v>
      </c>
      <c r="L5" s="22" t="s">
        <v>122</v>
      </c>
      <c r="M5" s="22" t="s">
        <v>123</v>
      </c>
      <c r="N5" s="22" t="s">
        <v>124</v>
      </c>
      <c r="O5" s="22" t="s">
        <v>125</v>
      </c>
      <c r="P5" s="23" t="s">
        <v>126</v>
      </c>
      <c r="Q5" s="23" t="s">
        <v>127</v>
      </c>
      <c r="R5" s="23" t="s">
        <v>128</v>
      </c>
      <c r="S5" s="23" t="s">
        <v>129</v>
      </c>
      <c r="T5" s="23" t="s">
        <v>130</v>
      </c>
      <c r="U5" s="23" t="s">
        <v>131</v>
      </c>
      <c r="V5" s="23" t="s">
        <v>132</v>
      </c>
      <c r="W5" s="23" t="s">
        <v>133</v>
      </c>
      <c r="X5" s="23" t="s">
        <v>134</v>
      </c>
      <c r="Y5" s="23" t="s">
        <v>135</v>
      </c>
      <c r="Z5" s="23" t="s">
        <v>136</v>
      </c>
      <c r="AA5" s="12" t="s">
        <v>137</v>
      </c>
    </row>
    <row r="6" customFormat="false" ht="15" hidden="false" customHeight="false" outlineLevel="0" collapsed="false">
      <c r="A6" s="14" t="s">
        <v>99</v>
      </c>
      <c r="B6" s="14" t="n">
        <v>1</v>
      </c>
      <c r="C6" s="24" t="n">
        <v>0</v>
      </c>
      <c r="D6" s="24" t="n">
        <v>1</v>
      </c>
      <c r="E6" s="14" t="s">
        <v>138</v>
      </c>
      <c r="F6" s="16" t="n">
        <f aca="false">IF(OR($C6="",$D6=""),"",$D6-$C6)</f>
        <v>1</v>
      </c>
      <c r="G6" s="25" t="n">
        <f aca="false">IF($A6="","",IFERROR(INDEX('2. Plot &amp; Core Log'!$M$6:$M$35,MATCH($A6,'2. Plot &amp; Core Log'!$B$6:$B$35,0)),""))</f>
        <v>1</v>
      </c>
      <c r="H6" s="26" t="n">
        <f aca="false">IF($A6="","",IFERROR(INDEX('2. Plot &amp; Core Log'!$S$6:$S$35,MATCH($A6,'2. Plot &amp; Core Log'!$B$6:$B$35,0)),""))</f>
        <v>7.6</v>
      </c>
      <c r="I6" s="16" t="n">
        <f aca="false">IF(OR($C6="",$G6=""),"",$C6*$G6)</f>
        <v>0</v>
      </c>
      <c r="J6" s="16" t="n">
        <f aca="false">IF(OR($D6="",$G6=""),"",$D6*$G6)</f>
        <v>1</v>
      </c>
      <c r="K6" s="16" t="n">
        <f aca="false">IF(OR($F6="",$H6=""),"",PI()*(($H6/2)^2)*$F6)</f>
        <v>45.3645979178366</v>
      </c>
      <c r="L6" s="27"/>
      <c r="M6" s="27" t="n">
        <v>53.98</v>
      </c>
      <c r="N6" s="27" t="n">
        <v>0.9</v>
      </c>
      <c r="O6" s="27" t="s">
        <v>32</v>
      </c>
      <c r="P6" s="16" t="str">
        <f aca="false">IF(OR($L6="",$M6="",$L6=0),"",(($L6-$M6)/$L6)*100)</f>
        <v/>
      </c>
      <c r="Q6" s="15" t="n">
        <f aca="false">IF(OR($M6="",$K6="",$K6=0),"",$M6/$K6)</f>
        <v>1.18991465763165</v>
      </c>
      <c r="R6" s="15" t="n">
        <f aca="false">IF(OR($N6="",$O6=""),"",IF(UPPER($O6)="OC",$N6,IF(UPPER($O6)="LOI",IF(OR(LOI_INTERCEPT="",LOI_SLOPE=""),"",IF(LOI_INTERCEPT+LOI_SLOPE*$N6&lt;0,"",LOI_INTERCEPT+LOI_SLOPE*$N6)),"")))</f>
        <v>0.9</v>
      </c>
      <c r="S6" s="18" t="n">
        <f aca="false">IF($R6="","",$R6*10)</f>
        <v>9</v>
      </c>
      <c r="T6" s="28" t="n">
        <f aca="false">IF(OR($Q6="",$R6=""),"",$Q6*$R6/100)</f>
        <v>0.0107092319186848</v>
      </c>
      <c r="U6" s="29" t="n">
        <f aca="false">IF(OR($T6="",$F6=""),"",$T6*$F6)</f>
        <v>0.0107092319186848</v>
      </c>
      <c r="V6" s="15" t="n">
        <f aca="false">IF($U6="","",$U6*10)</f>
        <v>0.107092319186848</v>
      </c>
      <c r="W6" s="15" t="n">
        <f aca="false">IF(OR($V6="",$I6="",$J6="",$J6&lt;=$I6),"",$V6*MAX(0,MIN($J6,15)-MAX($I6,0))/($J6-$I6))</f>
        <v>0.107092319186848</v>
      </c>
      <c r="X6" s="15" t="n">
        <f aca="false">IF(OR($V6="",$I6="",$J6="",$J6&lt;=$I6),"",$V6*MAX(0,MIN($J6,30)-MAX($I6,15))/($J6-$I6))</f>
        <v>0</v>
      </c>
      <c r="Y6" s="15" t="n">
        <f aca="false">IF(OR($V6="",$I6="",$J6="",$J6&lt;=$I6),"",$V6*MAX(0,MIN($J6,50)-MAX($I6,30))/($J6-$I6))</f>
        <v>0</v>
      </c>
      <c r="Z6" s="15" t="n">
        <f aca="false">IF(OR($V6="",$I6="",$J6="",$J6&lt;=$I6),"",$V6*MAX(0,MIN($J6,100)-MAX($I6,50))/($J6-$I6))</f>
        <v>0</v>
      </c>
      <c r="AA6" s="16" t="str">
        <f aca="false">IF($A6="","",IF(OR($C6="",$D6="",$D6&lt;=$C6),"CHECK: depths missing, or bottom not below top",IF(COUNTIFS($A$6:$A$205,$A6,$C$6:$C$205,$C6)&gt;1,"DUPLICATE slice",IF(COUNTIFS($A$6:$A$205,$A6,$C$6:$C$205,"&lt;"&amp;$D6,$D$6:$D$205,"&gt;"&amp;$C6)&gt;1,"OVERLAP with another slice",IF(AND($C6&gt;0,COUNTIFS($A$6:$A$205,$A6,$D$6:$D$205,$C6)=0),"GAP above this slice",IF(OR($G6="",$H6=""),"CHECK: Core ID not in Core Log, or its compaction / diameter missing",IF(AND(IF(COUNTIFS('2. Plot &amp; Core Log'!$B$6:$B$35,$A6,'2. Plot &amp; Core Log'!$L$6:$L$35,"&gt;0")=0,"",SUMIFS('2. Plot &amp; Core Log'!$L$6:$L$35,'2. Plot &amp; Core Log'!$B$6:$B$35,$A6))&lt;&gt;"",$D6&gt;IF(COUNTIFS('2. Plot &amp; Core Log'!$B$6:$B$35,$A6,'2. Plot &amp; Core Log'!$L$6:$L$35,"&gt;0")=0,"",SUMIFS('2. Plot &amp; Core Log'!$L$6:$L$35,'2. Plot &amp; Core Log'!$B$6:$B$35,$A6))),"CHECK: slice deeper than the core length on Sheet 2",IF(OR($M6="",$N6="",$O6=""),"AWAITING LAB (dry weight, carbon value or type)",IF(AND(UPPER($O6)&lt;&gt;"OC",UPPER($O6)&lt;&gt;"LOI"),IF(UPPER($O6)="TC","TC is not organic carbon — ask the lab for OC or IC","CHECK: type must be OC, TC or LOI"),IF($R6="",IF(AND(LOI_INTERCEPT&lt;&gt;"",LOI_SLOPE&lt;&gt;""),"CHECK: LOI below the range of the conversion equation (OC would be &lt; 0)","CHECK: LOI conversion not set (Instructions tab)"),IF(OR($Q6&lt;=0,$Q6&gt;2.65,$R6&gt;50),"CHECK: bulk density outside 0–2.65 g/cm3 or OC &gt; 50%","OK")))))))))))</f>
        <v>OK</v>
      </c>
    </row>
    <row r="7" customFormat="false" ht="15" hidden="false" customHeight="false" outlineLevel="0" collapsed="false">
      <c r="A7" s="14" t="s">
        <v>99</v>
      </c>
      <c r="B7" s="14" t="n">
        <v>2</v>
      </c>
      <c r="C7" s="24" t="n">
        <v>1</v>
      </c>
      <c r="D7" s="24" t="n">
        <v>2</v>
      </c>
      <c r="E7" s="14" t="s">
        <v>139</v>
      </c>
      <c r="F7" s="16" t="n">
        <f aca="false">IF(OR($C7="",$D7=""),"",$D7-$C7)</f>
        <v>1</v>
      </c>
      <c r="G7" s="25" t="n">
        <f aca="false">IF($A7="","",IFERROR(INDEX('2. Plot &amp; Core Log'!$M$6:$M$35,MATCH($A7,'2. Plot &amp; Core Log'!$B$6:$B$35,0)),""))</f>
        <v>1</v>
      </c>
      <c r="H7" s="26" t="n">
        <f aca="false">IF($A7="","",IFERROR(INDEX('2. Plot &amp; Core Log'!$S$6:$S$35,MATCH($A7,'2. Plot &amp; Core Log'!$B$6:$B$35,0)),""))</f>
        <v>7.6</v>
      </c>
      <c r="I7" s="16" t="n">
        <f aca="false">IF(OR($C7="",$G7=""),"",$C7*$G7)</f>
        <v>1</v>
      </c>
      <c r="J7" s="16" t="n">
        <f aca="false">IF(OR($D7="",$G7=""),"",$D7*$G7)</f>
        <v>2</v>
      </c>
      <c r="K7" s="16" t="n">
        <f aca="false">IF(OR($F7="",$H7=""),"",PI()*(($H7/2)^2)*$F7)</f>
        <v>45.3645979178366</v>
      </c>
      <c r="L7" s="27"/>
      <c r="M7" s="27" t="n">
        <v>69.86</v>
      </c>
      <c r="N7" s="27" t="n">
        <v>3</v>
      </c>
      <c r="O7" s="27" t="s">
        <v>36</v>
      </c>
      <c r="P7" s="16" t="str">
        <f aca="false">IF(OR($L7="",$M7="",$L7=0),"",(($L7-$M7)/$L7)*100)</f>
        <v/>
      </c>
      <c r="Q7" s="15" t="n">
        <f aca="false">IF(OR($M7="",$K7="",$K7=0),"",$M7/$K7)</f>
        <v>1.53996735795011</v>
      </c>
      <c r="R7" s="15" t="n">
        <f aca="false">IF(OR($N7="",$O7=""),"",IF(UPPER($O7)="OC",$N7,IF(UPPER($O7)="LOI",IF(OR(LOI_INTERCEPT="",LOI_SLOPE=""),"",IF(LOI_INTERCEPT+LOI_SLOPE*$N7&lt;0,"",LOI_INTERCEPT+LOI_SLOPE*$N7)),"")))</f>
        <v>0.763</v>
      </c>
      <c r="S7" s="18" t="n">
        <f aca="false">IF($R7="","",$R7*10)</f>
        <v>7.63</v>
      </c>
      <c r="T7" s="28" t="n">
        <f aca="false">IF(OR($Q7="",$R7=""),"",$Q7*$R7/100)</f>
        <v>0.0117499509411594</v>
      </c>
      <c r="U7" s="29" t="n">
        <f aca="false">IF(OR($T7="",$F7=""),"",$T7*$F7)</f>
        <v>0.0117499509411594</v>
      </c>
      <c r="V7" s="15" t="n">
        <f aca="false">IF($U7="","",$U7*10)</f>
        <v>0.117499509411594</v>
      </c>
      <c r="W7" s="15" t="n">
        <f aca="false">IF(OR($V7="",$I7="",$J7="",$J7&lt;=$I7),"",$V7*MAX(0,MIN($J7,15)-MAX($I7,0))/($J7-$I7))</f>
        <v>0.117499509411594</v>
      </c>
      <c r="X7" s="15" t="n">
        <f aca="false">IF(OR($V7="",$I7="",$J7="",$J7&lt;=$I7),"",$V7*MAX(0,MIN($J7,30)-MAX($I7,15))/($J7-$I7))</f>
        <v>0</v>
      </c>
      <c r="Y7" s="15" t="n">
        <f aca="false">IF(OR($V7="",$I7="",$J7="",$J7&lt;=$I7),"",$V7*MAX(0,MIN($J7,50)-MAX($I7,30))/($J7-$I7))</f>
        <v>0</v>
      </c>
      <c r="Z7" s="15" t="n">
        <f aca="false">IF(OR($V7="",$I7="",$J7="",$J7&lt;=$I7),"",$V7*MAX(0,MIN($J7,100)-MAX($I7,50))/($J7-$I7))</f>
        <v>0</v>
      </c>
      <c r="AA7" s="16" t="str">
        <f aca="false">IF($A7="","",IF(OR($C7="",$D7="",$D7&lt;=$C7),"CHECK: depths missing, or bottom not below top",IF(COUNTIFS($A$6:$A$205,$A7,$C$6:$C$205,$C7)&gt;1,"DUPLICATE slice",IF(COUNTIFS($A$6:$A$205,$A7,$C$6:$C$205,"&lt;"&amp;$D7,$D$6:$D$205,"&gt;"&amp;$C7)&gt;1,"OVERLAP with another slice",IF(AND($C7&gt;0,COUNTIFS($A$6:$A$205,$A7,$D$6:$D$205,$C7)=0),"GAP above this slice",IF(OR($G7="",$H7=""),"CHECK: Core ID not in Core Log, or its compaction / diameter missing",IF(AND(IF(COUNTIFS('2. Plot &amp; Core Log'!$B$6:$B$35,$A7,'2. Plot &amp; Core Log'!$L$6:$L$35,"&gt;0")=0,"",SUMIFS('2. Plot &amp; Core Log'!$L$6:$L$35,'2. Plot &amp; Core Log'!$B$6:$B$35,$A7))&lt;&gt;"",$D7&gt;IF(COUNTIFS('2. Plot &amp; Core Log'!$B$6:$B$35,$A7,'2. Plot &amp; Core Log'!$L$6:$L$35,"&gt;0")=0,"",SUMIFS('2. Plot &amp; Core Log'!$L$6:$L$35,'2. Plot &amp; Core Log'!$B$6:$B$35,$A7))),"CHECK: slice deeper than the core length on Sheet 2",IF(OR($M7="",$N7="",$O7=""),"AWAITING LAB (dry weight, carbon value or type)",IF(AND(UPPER($O7)&lt;&gt;"OC",UPPER($O7)&lt;&gt;"LOI"),IF(UPPER($O7)="TC","TC is not organic carbon — ask the lab for OC or IC","CHECK: type must be OC, TC or LOI"),IF($R7="",IF(AND(LOI_INTERCEPT&lt;&gt;"",LOI_SLOPE&lt;&gt;""),"CHECK: LOI below the range of the conversion equation (OC would be &lt; 0)","CHECK: LOI conversion not set (Instructions tab)"),IF(OR($Q7&lt;=0,$Q7&gt;2.65,$R7&gt;50),"CHECK: bulk density outside 0–2.65 g/cm3 or OC &gt; 50%","OK")))))))))))</f>
        <v>OK</v>
      </c>
    </row>
    <row r="8" customFormat="false" ht="15" hidden="false" customHeight="false" outlineLevel="0" collapsed="false">
      <c r="A8" s="14" t="s">
        <v>99</v>
      </c>
      <c r="B8" s="14" t="n">
        <v>3</v>
      </c>
      <c r="C8" s="24" t="n">
        <v>2</v>
      </c>
      <c r="D8" s="24" t="n">
        <v>3</v>
      </c>
      <c r="E8" s="14" t="s">
        <v>139</v>
      </c>
      <c r="F8" s="16" t="n">
        <f aca="false">IF(OR($C8="",$D8=""),"",$D8-$C8)</f>
        <v>1</v>
      </c>
      <c r="G8" s="25" t="n">
        <f aca="false">IF($A8="","",IFERROR(INDEX('2. Plot &amp; Core Log'!$M$6:$M$35,MATCH($A8,'2. Plot &amp; Core Log'!$B$6:$B$35,0)),""))</f>
        <v>1</v>
      </c>
      <c r="H8" s="26" t="n">
        <f aca="false">IF($A8="","",IFERROR(INDEX('2. Plot &amp; Core Log'!$S$6:$S$35,MATCH($A8,'2. Plot &amp; Core Log'!$B$6:$B$35,0)),""))</f>
        <v>7.6</v>
      </c>
      <c r="I8" s="16" t="n">
        <f aca="false">IF(OR($C8="",$G8=""),"",$C8*$G8)</f>
        <v>2</v>
      </c>
      <c r="J8" s="16" t="n">
        <f aca="false">IF(OR($D8="",$G8=""),"",$D8*$G8)</f>
        <v>3</v>
      </c>
      <c r="K8" s="16" t="n">
        <f aca="false">IF(OR($F8="",$H8=""),"",PI()*(($H8/2)^2)*$F8)</f>
        <v>45.3645979178366</v>
      </c>
      <c r="L8" s="27"/>
      <c r="M8" s="27" t="n">
        <v>75.76</v>
      </c>
      <c r="N8" s="27" t="n">
        <v>2.9</v>
      </c>
      <c r="O8" s="27" t="s">
        <v>36</v>
      </c>
      <c r="P8" s="16" t="str">
        <f aca="false">IF(OR($L8="",$M8="",$L8=0),"",(($L8-$M8)/$L8)*100)</f>
        <v/>
      </c>
      <c r="Q8" s="15" t="n">
        <f aca="false">IF(OR($M8="",$K8="",$K8=0),"",$M8/$K8)</f>
        <v>1.67002472141856</v>
      </c>
      <c r="R8" s="15" t="n">
        <f aca="false">IF(OR($N8="",$O8=""),"",IF(UPPER($O8)="OC",$N8,IF(UPPER($O8)="LOI",IF(OR(LOI_INTERCEPT="",LOI_SLOPE=""),"",IF(LOI_INTERCEPT+LOI_SLOPE*$N8&lt;0,"",LOI_INTERCEPT+LOI_SLOPE*$N8)),"")))</f>
        <v>0.731</v>
      </c>
      <c r="S8" s="18" t="n">
        <f aca="false">IF($R8="","",$R8*10)</f>
        <v>7.31</v>
      </c>
      <c r="T8" s="28" t="n">
        <f aca="false">IF(OR($Q8="",$R8=""),"",$Q8*$R8/100)</f>
        <v>0.0122078807135697</v>
      </c>
      <c r="U8" s="29" t="n">
        <f aca="false">IF(OR($T8="",$F8=""),"",$T8*$F8)</f>
        <v>0.0122078807135697</v>
      </c>
      <c r="V8" s="15" t="n">
        <f aca="false">IF($U8="","",$U8*10)</f>
        <v>0.122078807135697</v>
      </c>
      <c r="W8" s="15" t="n">
        <f aca="false">IF(OR($V8="",$I8="",$J8="",$J8&lt;=$I8),"",$V8*MAX(0,MIN($J8,15)-MAX($I8,0))/($J8-$I8))</f>
        <v>0.122078807135697</v>
      </c>
      <c r="X8" s="15" t="n">
        <f aca="false">IF(OR($V8="",$I8="",$J8="",$J8&lt;=$I8),"",$V8*MAX(0,MIN($J8,30)-MAX($I8,15))/($J8-$I8))</f>
        <v>0</v>
      </c>
      <c r="Y8" s="15" t="n">
        <f aca="false">IF(OR($V8="",$I8="",$J8="",$J8&lt;=$I8),"",$V8*MAX(0,MIN($J8,50)-MAX($I8,30))/($J8-$I8))</f>
        <v>0</v>
      </c>
      <c r="Z8" s="15" t="n">
        <f aca="false">IF(OR($V8="",$I8="",$J8="",$J8&lt;=$I8),"",$V8*MAX(0,MIN($J8,100)-MAX($I8,50))/($J8-$I8))</f>
        <v>0</v>
      </c>
      <c r="AA8" s="16" t="str">
        <f aca="false">IF($A8="","",IF(OR($C8="",$D8="",$D8&lt;=$C8),"CHECK: depths missing, or bottom not below top",IF(COUNTIFS($A$6:$A$205,$A8,$C$6:$C$205,$C8)&gt;1,"DUPLICATE slice",IF(COUNTIFS($A$6:$A$205,$A8,$C$6:$C$205,"&lt;"&amp;$D8,$D$6:$D$205,"&gt;"&amp;$C8)&gt;1,"OVERLAP with another slice",IF(AND($C8&gt;0,COUNTIFS($A$6:$A$205,$A8,$D$6:$D$205,$C8)=0),"GAP above this slice",IF(OR($G8="",$H8=""),"CHECK: Core ID not in Core Log, or its compaction / diameter missing",IF(AND(IF(COUNTIFS('2. Plot &amp; Core Log'!$B$6:$B$35,$A8,'2. Plot &amp; Core Log'!$L$6:$L$35,"&gt;0")=0,"",SUMIFS('2. Plot &amp; Core Log'!$L$6:$L$35,'2. Plot &amp; Core Log'!$B$6:$B$35,$A8))&lt;&gt;"",$D8&gt;IF(COUNTIFS('2. Plot &amp; Core Log'!$B$6:$B$35,$A8,'2. Plot &amp; Core Log'!$L$6:$L$35,"&gt;0")=0,"",SUMIFS('2. Plot &amp; Core Log'!$L$6:$L$35,'2. Plot &amp; Core Log'!$B$6:$B$35,$A8))),"CHECK: slice deeper than the core length on Sheet 2",IF(OR($M8="",$N8="",$O8=""),"AWAITING LAB (dry weight, carbon value or type)",IF(AND(UPPER($O8)&lt;&gt;"OC",UPPER($O8)&lt;&gt;"LOI"),IF(UPPER($O8)="TC","TC is not organic carbon — ask the lab for OC or IC","CHECK: type must be OC, TC or LOI"),IF($R8="",IF(AND(LOI_INTERCEPT&lt;&gt;"",LOI_SLOPE&lt;&gt;""),"CHECK: LOI below the range of the conversion equation (OC would be &lt; 0)","CHECK: LOI conversion not set (Instructions tab)"),IF(OR($Q8&lt;=0,$Q8&gt;2.65,$R8&gt;50),"CHECK: bulk density outside 0–2.65 g/cm3 or OC &gt; 50%","OK")))))))))))</f>
        <v>OK</v>
      </c>
    </row>
    <row r="9" customFormat="false" ht="15" hidden="false" customHeight="false" outlineLevel="0" collapsed="false">
      <c r="A9" s="14" t="s">
        <v>99</v>
      </c>
      <c r="B9" s="14" t="n">
        <v>4</v>
      </c>
      <c r="C9" s="24" t="n">
        <v>3</v>
      </c>
      <c r="D9" s="24" t="n">
        <v>4</v>
      </c>
      <c r="E9" s="14" t="s">
        <v>139</v>
      </c>
      <c r="F9" s="16" t="n">
        <f aca="false">IF(OR($C9="",$D9=""),"",$D9-$C9)</f>
        <v>1</v>
      </c>
      <c r="G9" s="25" t="n">
        <f aca="false">IF($A9="","",IFERROR(INDEX('2. Plot &amp; Core Log'!$M$6:$M$35,MATCH($A9,'2. Plot &amp; Core Log'!$B$6:$B$35,0)),""))</f>
        <v>1</v>
      </c>
      <c r="H9" s="26" t="n">
        <f aca="false">IF($A9="","",IFERROR(INDEX('2. Plot &amp; Core Log'!$S$6:$S$35,MATCH($A9,'2. Plot &amp; Core Log'!$B$6:$B$35,0)),""))</f>
        <v>7.6</v>
      </c>
      <c r="I9" s="16" t="n">
        <f aca="false">IF(OR($C9="",$G9=""),"",$C9*$G9)</f>
        <v>3</v>
      </c>
      <c r="J9" s="16" t="n">
        <f aca="false">IF(OR($D9="",$G9=""),"",$D9*$G9)</f>
        <v>4</v>
      </c>
      <c r="K9" s="16" t="n">
        <f aca="false">IF(OR($F9="",$H9=""),"",PI()*(($H9/2)^2)*$F9)</f>
        <v>45.3645979178366</v>
      </c>
      <c r="L9" s="27"/>
      <c r="M9" s="27" t="n">
        <v>74.4</v>
      </c>
      <c r="N9" s="27" t="n">
        <v>2.8</v>
      </c>
      <c r="O9" s="27" t="s">
        <v>36</v>
      </c>
      <c r="P9" s="16" t="str">
        <f aca="false">IF(OR($L9="",$M9="",$L9=0),"",(($L9-$M9)/$L9)*100)</f>
        <v/>
      </c>
      <c r="Q9" s="15" t="n">
        <f aca="false">IF(OR($M9="",$K9="",$K9=0),"",$M9/$K9)</f>
        <v>1.64004539695804</v>
      </c>
      <c r="R9" s="15" t="n">
        <f aca="false">IF(OR($N9="",$O9=""),"",IF(UPPER($O9)="OC",$N9,IF(UPPER($O9)="LOI",IF(OR(LOI_INTERCEPT="",LOI_SLOPE=""),"",IF(LOI_INTERCEPT+LOI_SLOPE*$N9&lt;0,"",LOI_INTERCEPT+LOI_SLOPE*$N9)),"")))</f>
        <v>0.699</v>
      </c>
      <c r="S9" s="18" t="n">
        <f aca="false">IF($R9="","",$R9*10)</f>
        <v>6.99</v>
      </c>
      <c r="T9" s="28" t="n">
        <f aca="false">IF(OR($Q9="",$R9=""),"",$Q9*$R9/100)</f>
        <v>0.0114639173247367</v>
      </c>
      <c r="U9" s="29" t="n">
        <f aca="false">IF(OR($T9="",$F9=""),"",$T9*$F9)</f>
        <v>0.0114639173247367</v>
      </c>
      <c r="V9" s="15" t="n">
        <f aca="false">IF($U9="","",$U9*10)</f>
        <v>0.114639173247367</v>
      </c>
      <c r="W9" s="15" t="n">
        <f aca="false">IF(OR($V9="",$I9="",$J9="",$J9&lt;=$I9),"",$V9*MAX(0,MIN($J9,15)-MAX($I9,0))/($J9-$I9))</f>
        <v>0.114639173247367</v>
      </c>
      <c r="X9" s="15" t="n">
        <f aca="false">IF(OR($V9="",$I9="",$J9="",$J9&lt;=$I9),"",$V9*MAX(0,MIN($J9,30)-MAX($I9,15))/($J9-$I9))</f>
        <v>0</v>
      </c>
      <c r="Y9" s="15" t="n">
        <f aca="false">IF(OR($V9="",$I9="",$J9="",$J9&lt;=$I9),"",$V9*MAX(0,MIN($J9,50)-MAX($I9,30))/($J9-$I9))</f>
        <v>0</v>
      </c>
      <c r="Z9" s="15" t="n">
        <f aca="false">IF(OR($V9="",$I9="",$J9="",$J9&lt;=$I9),"",$V9*MAX(0,MIN($J9,100)-MAX($I9,50))/($J9-$I9))</f>
        <v>0</v>
      </c>
      <c r="AA9" s="16" t="str">
        <f aca="false">IF($A9="","",IF(OR($C9="",$D9="",$D9&lt;=$C9),"CHECK: depths missing, or bottom not below top",IF(COUNTIFS($A$6:$A$205,$A9,$C$6:$C$205,$C9)&gt;1,"DUPLICATE slice",IF(COUNTIFS($A$6:$A$205,$A9,$C$6:$C$205,"&lt;"&amp;$D9,$D$6:$D$205,"&gt;"&amp;$C9)&gt;1,"OVERLAP with another slice",IF(AND($C9&gt;0,COUNTIFS($A$6:$A$205,$A9,$D$6:$D$205,$C9)=0),"GAP above this slice",IF(OR($G9="",$H9=""),"CHECK: Core ID not in Core Log, or its compaction / diameter missing",IF(AND(IF(COUNTIFS('2. Plot &amp; Core Log'!$B$6:$B$35,$A9,'2. Plot &amp; Core Log'!$L$6:$L$35,"&gt;0")=0,"",SUMIFS('2. Plot &amp; Core Log'!$L$6:$L$35,'2. Plot &amp; Core Log'!$B$6:$B$35,$A9))&lt;&gt;"",$D9&gt;IF(COUNTIFS('2. Plot &amp; Core Log'!$B$6:$B$35,$A9,'2. Plot &amp; Core Log'!$L$6:$L$35,"&gt;0")=0,"",SUMIFS('2. Plot &amp; Core Log'!$L$6:$L$35,'2. Plot &amp; Core Log'!$B$6:$B$35,$A9))),"CHECK: slice deeper than the core length on Sheet 2",IF(OR($M9="",$N9="",$O9=""),"AWAITING LAB (dry weight, carbon value or type)",IF(AND(UPPER($O9)&lt;&gt;"OC",UPPER($O9)&lt;&gt;"LOI"),IF(UPPER($O9)="TC","TC is not organic carbon — ask the lab for OC or IC","CHECK: type must be OC, TC or LOI"),IF($R9="",IF(AND(LOI_INTERCEPT&lt;&gt;"",LOI_SLOPE&lt;&gt;""),"CHECK: LOI below the range of the conversion equation (OC would be &lt; 0)","CHECK: LOI conversion not set (Instructions tab)"),IF(OR($Q9&lt;=0,$Q9&gt;2.65,$R9&gt;50),"CHECK: bulk density outside 0–2.65 g/cm3 or OC &gt; 50%","OK")))))))))))</f>
        <v>OK</v>
      </c>
    </row>
    <row r="10" customFormat="false" ht="15" hidden="false" customHeight="false" outlineLevel="0" collapsed="false">
      <c r="A10" s="14" t="s">
        <v>99</v>
      </c>
      <c r="B10" s="14" t="n">
        <v>5</v>
      </c>
      <c r="C10" s="24" t="n">
        <v>4</v>
      </c>
      <c r="D10" s="24" t="n">
        <v>5</v>
      </c>
      <c r="E10" s="14" t="s">
        <v>139</v>
      </c>
      <c r="F10" s="16" t="n">
        <f aca="false">IF(OR($C10="",$D10=""),"",$D10-$C10)</f>
        <v>1</v>
      </c>
      <c r="G10" s="25" t="n">
        <f aca="false">IF($A10="","",IFERROR(INDEX('2. Plot &amp; Core Log'!$M$6:$M$35,MATCH($A10,'2. Plot &amp; Core Log'!$B$6:$B$35,0)),""))</f>
        <v>1</v>
      </c>
      <c r="H10" s="26" t="n">
        <f aca="false">IF($A10="","",IFERROR(INDEX('2. Plot &amp; Core Log'!$S$6:$S$35,MATCH($A10,'2. Plot &amp; Core Log'!$B$6:$B$35,0)),""))</f>
        <v>7.6</v>
      </c>
      <c r="I10" s="16" t="n">
        <f aca="false">IF(OR($C10="",$G10=""),"",$C10*$G10)</f>
        <v>4</v>
      </c>
      <c r="J10" s="16" t="n">
        <f aca="false">IF(OR($D10="",$G10=""),"",$D10*$G10)</f>
        <v>5</v>
      </c>
      <c r="K10" s="16" t="n">
        <f aca="false">IF(OR($F10="",$H10=""),"",PI()*(($H10/2)^2)*$F10)</f>
        <v>45.3645979178366</v>
      </c>
      <c r="L10" s="27"/>
      <c r="M10" s="27" t="n">
        <v>69.86</v>
      </c>
      <c r="N10" s="27" t="n">
        <v>2.9</v>
      </c>
      <c r="O10" s="27" t="s">
        <v>36</v>
      </c>
      <c r="P10" s="16" t="str">
        <f aca="false">IF(OR($L10="",$M10="",$L10=0),"",(($L10-$M10)/$L10)*100)</f>
        <v/>
      </c>
      <c r="Q10" s="15" t="n">
        <f aca="false">IF(OR($M10="",$K10="",$K10=0),"",$M10/$K10)</f>
        <v>1.53996735795011</v>
      </c>
      <c r="R10" s="15" t="n">
        <f aca="false">IF(OR($N10="",$O10=""),"",IF(UPPER($O10)="OC",$N10,IF(UPPER($O10)="LOI",IF(OR(LOI_INTERCEPT="",LOI_SLOPE=""),"",IF(LOI_INTERCEPT+LOI_SLOPE*$N10&lt;0,"",LOI_INTERCEPT+LOI_SLOPE*$N10)),"")))</f>
        <v>0.731</v>
      </c>
      <c r="S10" s="18" t="n">
        <f aca="false">IF($R10="","",$R10*10)</f>
        <v>7.31</v>
      </c>
      <c r="T10" s="28" t="n">
        <f aca="false">IF(OR($Q10="",$R10=""),"",$Q10*$R10/100)</f>
        <v>0.0112571613866153</v>
      </c>
      <c r="U10" s="29" t="n">
        <f aca="false">IF(OR($T10="",$F10=""),"",$T10*$F10)</f>
        <v>0.0112571613866153</v>
      </c>
      <c r="V10" s="15" t="n">
        <f aca="false">IF($U10="","",$U10*10)</f>
        <v>0.112571613866153</v>
      </c>
      <c r="W10" s="15" t="n">
        <f aca="false">IF(OR($V10="",$I10="",$J10="",$J10&lt;=$I10),"",$V10*MAX(0,MIN($J10,15)-MAX($I10,0))/($J10-$I10))</f>
        <v>0.112571613866153</v>
      </c>
      <c r="X10" s="15" t="n">
        <f aca="false">IF(OR($V10="",$I10="",$J10="",$J10&lt;=$I10),"",$V10*MAX(0,MIN($J10,30)-MAX($I10,15))/($J10-$I10))</f>
        <v>0</v>
      </c>
      <c r="Y10" s="15" t="n">
        <f aca="false">IF(OR($V10="",$I10="",$J10="",$J10&lt;=$I10),"",$V10*MAX(0,MIN($J10,50)-MAX($I10,30))/($J10-$I10))</f>
        <v>0</v>
      </c>
      <c r="Z10" s="15" t="n">
        <f aca="false">IF(OR($V10="",$I10="",$J10="",$J10&lt;=$I10),"",$V10*MAX(0,MIN($J10,100)-MAX($I10,50))/($J10-$I10))</f>
        <v>0</v>
      </c>
      <c r="AA10" s="16" t="str">
        <f aca="false">IF($A10="","",IF(OR($C10="",$D10="",$D10&lt;=$C10),"CHECK: depths missing, or bottom not below top",IF(COUNTIFS($A$6:$A$205,$A10,$C$6:$C$205,$C10)&gt;1,"DUPLICATE slice",IF(COUNTIFS($A$6:$A$205,$A10,$C$6:$C$205,"&lt;"&amp;$D10,$D$6:$D$205,"&gt;"&amp;$C10)&gt;1,"OVERLAP with another slice",IF(AND($C10&gt;0,COUNTIFS($A$6:$A$205,$A10,$D$6:$D$205,$C10)=0),"GAP above this slice",IF(OR($G10="",$H10=""),"CHECK: Core ID not in Core Log, or its compaction / diameter missing",IF(AND(IF(COUNTIFS('2. Plot &amp; Core Log'!$B$6:$B$35,$A10,'2. Plot &amp; Core Log'!$L$6:$L$35,"&gt;0")=0,"",SUMIFS('2. Plot &amp; Core Log'!$L$6:$L$35,'2. Plot &amp; Core Log'!$B$6:$B$35,$A10))&lt;&gt;"",$D10&gt;IF(COUNTIFS('2. Plot &amp; Core Log'!$B$6:$B$35,$A10,'2. Plot &amp; Core Log'!$L$6:$L$35,"&gt;0")=0,"",SUMIFS('2. Plot &amp; Core Log'!$L$6:$L$35,'2. Plot &amp; Core Log'!$B$6:$B$35,$A10))),"CHECK: slice deeper than the core length on Sheet 2",IF(OR($M10="",$N10="",$O10=""),"AWAITING LAB (dry weight, carbon value or type)",IF(AND(UPPER($O10)&lt;&gt;"OC",UPPER($O10)&lt;&gt;"LOI"),IF(UPPER($O10)="TC","TC is not organic carbon — ask the lab for OC or IC","CHECK: type must be OC, TC or LOI"),IF($R10="",IF(AND(LOI_INTERCEPT&lt;&gt;"",LOI_SLOPE&lt;&gt;""),"CHECK: LOI below the range of the conversion equation (OC would be &lt; 0)","CHECK: LOI conversion not set (Instructions tab)"),IF(OR($Q10&lt;=0,$Q10&gt;2.65,$R10&gt;50),"CHECK: bulk density outside 0–2.65 g/cm3 or OC &gt; 50%","OK")))))))))))</f>
        <v>OK</v>
      </c>
    </row>
    <row r="11" customFormat="false" ht="15" hidden="false" customHeight="false" outlineLevel="0" collapsed="false">
      <c r="A11" s="14" t="s">
        <v>99</v>
      </c>
      <c r="B11" s="14" t="n">
        <v>6</v>
      </c>
      <c r="C11" s="24" t="n">
        <v>5</v>
      </c>
      <c r="D11" s="24" t="n">
        <v>6</v>
      </c>
      <c r="E11" s="14" t="s">
        <v>139</v>
      </c>
      <c r="F11" s="16" t="n">
        <f aca="false">IF(OR($C11="",$D11=""),"",$D11-$C11)</f>
        <v>1</v>
      </c>
      <c r="G11" s="25" t="n">
        <f aca="false">IF($A11="","",IFERROR(INDEX('2. Plot &amp; Core Log'!$M$6:$M$35,MATCH($A11,'2. Plot &amp; Core Log'!$B$6:$B$35,0)),""))</f>
        <v>1</v>
      </c>
      <c r="H11" s="26" t="n">
        <f aca="false">IF($A11="","",IFERROR(INDEX('2. Plot &amp; Core Log'!$S$6:$S$35,MATCH($A11,'2. Plot &amp; Core Log'!$B$6:$B$35,0)),""))</f>
        <v>7.6</v>
      </c>
      <c r="I11" s="16" t="n">
        <f aca="false">IF(OR($C11="",$G11=""),"",$C11*$G11)</f>
        <v>5</v>
      </c>
      <c r="J11" s="16" t="n">
        <f aca="false">IF(OR($D11="",$G11=""),"",$D11*$G11)</f>
        <v>6</v>
      </c>
      <c r="K11" s="16" t="n">
        <f aca="false">IF(OR($F11="",$H11=""),"",PI()*(($H11/2)^2)*$F11)</f>
        <v>45.3645979178366</v>
      </c>
      <c r="L11" s="27"/>
      <c r="M11" s="27" t="n">
        <v>73.04</v>
      </c>
      <c r="N11" s="27" t="n">
        <v>3.3</v>
      </c>
      <c r="O11" s="27" t="s">
        <v>36</v>
      </c>
      <c r="P11" s="16" t="str">
        <f aca="false">IF(OR($L11="",$M11="",$L11=0),"",(($L11-$M11)/$L11)*100)</f>
        <v/>
      </c>
      <c r="Q11" s="15" t="n">
        <f aca="false">IF(OR($M11="",$K11="",$K11=0),"",$M11/$K11)</f>
        <v>1.61006607249751</v>
      </c>
      <c r="R11" s="15" t="n">
        <f aca="false">IF(OR($N11="",$O11=""),"",IF(UPPER($O11)="OC",$N11,IF(UPPER($O11)="LOI",IF(OR(LOI_INTERCEPT="",LOI_SLOPE=""),"",IF(LOI_INTERCEPT+LOI_SLOPE*$N11&lt;0,"",LOI_INTERCEPT+LOI_SLOPE*$N11)),"")))</f>
        <v>0.859</v>
      </c>
      <c r="S11" s="18" t="n">
        <f aca="false">IF($R11="","",$R11*10)</f>
        <v>8.59</v>
      </c>
      <c r="T11" s="28" t="n">
        <f aca="false">IF(OR($Q11="",$R11=""),"",$Q11*$R11/100)</f>
        <v>0.0138304675627536</v>
      </c>
      <c r="U11" s="29" t="n">
        <f aca="false">IF(OR($T11="",$F11=""),"",$T11*$F11)</f>
        <v>0.0138304675627536</v>
      </c>
      <c r="V11" s="15" t="n">
        <f aca="false">IF($U11="","",$U11*10)</f>
        <v>0.138304675627536</v>
      </c>
      <c r="W11" s="15" t="n">
        <f aca="false">IF(OR($V11="",$I11="",$J11="",$J11&lt;=$I11),"",$V11*MAX(0,MIN($J11,15)-MAX($I11,0))/($J11-$I11))</f>
        <v>0.138304675627536</v>
      </c>
      <c r="X11" s="15" t="n">
        <f aca="false">IF(OR($V11="",$I11="",$J11="",$J11&lt;=$I11),"",$V11*MAX(0,MIN($J11,30)-MAX($I11,15))/($J11-$I11))</f>
        <v>0</v>
      </c>
      <c r="Y11" s="15" t="n">
        <f aca="false">IF(OR($V11="",$I11="",$J11="",$J11&lt;=$I11),"",$V11*MAX(0,MIN($J11,50)-MAX($I11,30))/($J11-$I11))</f>
        <v>0</v>
      </c>
      <c r="Z11" s="15" t="n">
        <f aca="false">IF(OR($V11="",$I11="",$J11="",$J11&lt;=$I11),"",$V11*MAX(0,MIN($J11,100)-MAX($I11,50))/($J11-$I11))</f>
        <v>0</v>
      </c>
      <c r="AA11" s="16" t="str">
        <f aca="false">IF($A11="","",IF(OR($C11="",$D11="",$D11&lt;=$C11),"CHECK: depths missing, or bottom not below top",IF(COUNTIFS($A$6:$A$205,$A11,$C$6:$C$205,$C11)&gt;1,"DUPLICATE slice",IF(COUNTIFS($A$6:$A$205,$A11,$C$6:$C$205,"&lt;"&amp;$D11,$D$6:$D$205,"&gt;"&amp;$C11)&gt;1,"OVERLAP with another slice",IF(AND($C11&gt;0,COUNTIFS($A$6:$A$205,$A11,$D$6:$D$205,$C11)=0),"GAP above this slice",IF(OR($G11="",$H11=""),"CHECK: Core ID not in Core Log, or its compaction / diameter missing",IF(AND(IF(COUNTIFS('2. Plot &amp; Core Log'!$B$6:$B$35,$A11,'2. Plot &amp; Core Log'!$L$6:$L$35,"&gt;0")=0,"",SUMIFS('2. Plot &amp; Core Log'!$L$6:$L$35,'2. Plot &amp; Core Log'!$B$6:$B$35,$A11))&lt;&gt;"",$D11&gt;IF(COUNTIFS('2. Plot &amp; Core Log'!$B$6:$B$35,$A11,'2. Plot &amp; Core Log'!$L$6:$L$35,"&gt;0")=0,"",SUMIFS('2. Plot &amp; Core Log'!$L$6:$L$35,'2. Plot &amp; Core Log'!$B$6:$B$35,$A11))),"CHECK: slice deeper than the core length on Sheet 2",IF(OR($M11="",$N11="",$O11=""),"AWAITING LAB (dry weight, carbon value or type)",IF(AND(UPPER($O11)&lt;&gt;"OC",UPPER($O11)&lt;&gt;"LOI"),IF(UPPER($O11)="TC","TC is not organic carbon — ask the lab for OC or IC","CHECK: type must be OC, TC or LOI"),IF($R11="",IF(AND(LOI_INTERCEPT&lt;&gt;"",LOI_SLOPE&lt;&gt;""),"CHECK: LOI below the range of the conversion equation (OC would be &lt; 0)","CHECK: LOI conversion not set (Instructions tab)"),IF(OR($Q11&lt;=0,$Q11&gt;2.65,$R11&gt;50),"CHECK: bulk density outside 0–2.65 g/cm3 or OC &gt; 50%","OK")))))))))))</f>
        <v>OK</v>
      </c>
    </row>
    <row r="12" customFormat="false" ht="15" hidden="false" customHeight="false" outlineLevel="0" collapsed="false">
      <c r="A12" s="14" t="s">
        <v>99</v>
      </c>
      <c r="B12" s="14" t="n">
        <v>7</v>
      </c>
      <c r="C12" s="24" t="n">
        <v>6</v>
      </c>
      <c r="D12" s="24" t="n">
        <v>7</v>
      </c>
      <c r="E12" s="14" t="s">
        <v>139</v>
      </c>
      <c r="F12" s="16" t="n">
        <f aca="false">IF(OR($C12="",$D12=""),"",$D12-$C12)</f>
        <v>1</v>
      </c>
      <c r="G12" s="25" t="n">
        <f aca="false">IF($A12="","",IFERROR(INDEX('2. Plot &amp; Core Log'!$M$6:$M$35,MATCH($A12,'2. Plot &amp; Core Log'!$B$6:$B$35,0)),""))</f>
        <v>1</v>
      </c>
      <c r="H12" s="26" t="n">
        <f aca="false">IF($A12="","",IFERROR(INDEX('2. Plot &amp; Core Log'!$S$6:$S$35,MATCH($A12,'2. Plot &amp; Core Log'!$B$6:$B$35,0)),""))</f>
        <v>7.6</v>
      </c>
      <c r="I12" s="16" t="n">
        <f aca="false">IF(OR($C12="",$G12=""),"",$C12*$G12)</f>
        <v>6</v>
      </c>
      <c r="J12" s="16" t="n">
        <f aca="false">IF(OR($D12="",$G12=""),"",$D12*$G12)</f>
        <v>7</v>
      </c>
      <c r="K12" s="16" t="n">
        <f aca="false">IF(OR($F12="",$H12=""),"",PI()*(($H12/2)^2)*$F12)</f>
        <v>45.3645979178366</v>
      </c>
      <c r="L12" s="27"/>
      <c r="M12" s="27" t="n">
        <v>69.86</v>
      </c>
      <c r="N12" s="27" t="n">
        <v>2.2</v>
      </c>
      <c r="O12" s="27" t="s">
        <v>36</v>
      </c>
      <c r="P12" s="16" t="str">
        <f aca="false">IF(OR($L12="",$M12="",$L12=0),"",(($L12-$M12)/$L12)*100)</f>
        <v/>
      </c>
      <c r="Q12" s="15" t="n">
        <f aca="false">IF(OR($M12="",$K12="",$K12=0),"",$M12/$K12)</f>
        <v>1.53996735795011</v>
      </c>
      <c r="R12" s="15" t="n">
        <f aca="false">IF(OR($N12="",$O12=""),"",IF(UPPER($O12)="OC",$N12,IF(UPPER($O12)="LOI",IF(OR(LOI_INTERCEPT="",LOI_SLOPE=""),"",IF(LOI_INTERCEPT+LOI_SLOPE*$N12&lt;0,"",LOI_INTERCEPT+LOI_SLOPE*$N12)),"")))</f>
        <v>0.507</v>
      </c>
      <c r="S12" s="18" t="n">
        <f aca="false">IF($R12="","",$R12*10)</f>
        <v>5.07</v>
      </c>
      <c r="T12" s="28" t="n">
        <f aca="false">IF(OR($Q12="",$R12=""),"",$Q12*$R12/100)</f>
        <v>0.00780763450480707</v>
      </c>
      <c r="U12" s="29" t="n">
        <f aca="false">IF(OR($T12="",$F12=""),"",$T12*$F12)</f>
        <v>0.00780763450480707</v>
      </c>
      <c r="V12" s="15" t="n">
        <f aca="false">IF($U12="","",$U12*10)</f>
        <v>0.0780763450480707</v>
      </c>
      <c r="W12" s="15" t="n">
        <f aca="false">IF(OR($V12="",$I12="",$J12="",$J12&lt;=$I12),"",$V12*MAX(0,MIN($J12,15)-MAX($I12,0))/($J12-$I12))</f>
        <v>0.0780763450480707</v>
      </c>
      <c r="X12" s="15" t="n">
        <f aca="false">IF(OR($V12="",$I12="",$J12="",$J12&lt;=$I12),"",$V12*MAX(0,MIN($J12,30)-MAX($I12,15))/($J12-$I12))</f>
        <v>0</v>
      </c>
      <c r="Y12" s="15" t="n">
        <f aca="false">IF(OR($V12="",$I12="",$J12="",$J12&lt;=$I12),"",$V12*MAX(0,MIN($J12,50)-MAX($I12,30))/($J12-$I12))</f>
        <v>0</v>
      </c>
      <c r="Z12" s="15" t="n">
        <f aca="false">IF(OR($V12="",$I12="",$J12="",$J12&lt;=$I12),"",$V12*MAX(0,MIN($J12,100)-MAX($I12,50))/($J12-$I12))</f>
        <v>0</v>
      </c>
      <c r="AA12" s="16" t="str">
        <f aca="false">IF($A12="","",IF(OR($C12="",$D12="",$D12&lt;=$C12),"CHECK: depths missing, or bottom not below top",IF(COUNTIFS($A$6:$A$205,$A12,$C$6:$C$205,$C12)&gt;1,"DUPLICATE slice",IF(COUNTIFS($A$6:$A$205,$A12,$C$6:$C$205,"&lt;"&amp;$D12,$D$6:$D$205,"&gt;"&amp;$C12)&gt;1,"OVERLAP with another slice",IF(AND($C12&gt;0,COUNTIFS($A$6:$A$205,$A12,$D$6:$D$205,$C12)=0),"GAP above this slice",IF(OR($G12="",$H12=""),"CHECK: Core ID not in Core Log, or its compaction / diameter missing",IF(AND(IF(COUNTIFS('2. Plot &amp; Core Log'!$B$6:$B$35,$A12,'2. Plot &amp; Core Log'!$L$6:$L$35,"&gt;0")=0,"",SUMIFS('2. Plot &amp; Core Log'!$L$6:$L$35,'2. Plot &amp; Core Log'!$B$6:$B$35,$A12))&lt;&gt;"",$D12&gt;IF(COUNTIFS('2. Plot &amp; Core Log'!$B$6:$B$35,$A12,'2. Plot &amp; Core Log'!$L$6:$L$35,"&gt;0")=0,"",SUMIFS('2. Plot &amp; Core Log'!$L$6:$L$35,'2. Plot &amp; Core Log'!$B$6:$B$35,$A12))),"CHECK: slice deeper than the core length on Sheet 2",IF(OR($M12="",$N12="",$O12=""),"AWAITING LAB (dry weight, carbon value or type)",IF(AND(UPPER($O12)&lt;&gt;"OC",UPPER($O12)&lt;&gt;"LOI"),IF(UPPER($O12)="TC","TC is not organic carbon — ask the lab for OC or IC","CHECK: type must be OC, TC or LOI"),IF($R12="",IF(AND(LOI_INTERCEPT&lt;&gt;"",LOI_SLOPE&lt;&gt;""),"CHECK: LOI below the range of the conversion equation (OC would be &lt; 0)","CHECK: LOI conversion not set (Instructions tab)"),IF(OR($Q12&lt;=0,$Q12&gt;2.65,$R12&gt;50),"CHECK: bulk density outside 0–2.65 g/cm3 or OC &gt; 50%","OK")))))))))))</f>
        <v>OK</v>
      </c>
    </row>
    <row r="13" customFormat="false" ht="15" hidden="false" customHeight="false" outlineLevel="0" collapsed="false">
      <c r="A13" s="14" t="s">
        <v>99</v>
      </c>
      <c r="B13" s="14" t="n">
        <v>8</v>
      </c>
      <c r="C13" s="24" t="n">
        <v>7</v>
      </c>
      <c r="D13" s="24" t="n">
        <v>8</v>
      </c>
      <c r="E13" s="14" t="s">
        <v>139</v>
      </c>
      <c r="F13" s="16" t="n">
        <f aca="false">IF(OR($C13="",$D13=""),"",$D13-$C13)</f>
        <v>1</v>
      </c>
      <c r="G13" s="25" t="n">
        <f aca="false">IF($A13="","",IFERROR(INDEX('2. Plot &amp; Core Log'!$M$6:$M$35,MATCH($A13,'2. Plot &amp; Core Log'!$B$6:$B$35,0)),""))</f>
        <v>1</v>
      </c>
      <c r="H13" s="26" t="n">
        <f aca="false">IF($A13="","",IFERROR(INDEX('2. Plot &amp; Core Log'!$S$6:$S$35,MATCH($A13,'2. Plot &amp; Core Log'!$B$6:$B$35,0)),""))</f>
        <v>7.6</v>
      </c>
      <c r="I13" s="16" t="n">
        <f aca="false">IF(OR($C13="",$G13=""),"",$C13*$G13)</f>
        <v>7</v>
      </c>
      <c r="J13" s="16" t="n">
        <f aca="false">IF(OR($D13="",$G13=""),"",$D13*$G13)</f>
        <v>8</v>
      </c>
      <c r="K13" s="16" t="n">
        <f aca="false">IF(OR($F13="",$H13=""),"",PI()*(($H13/2)^2)*$F13)</f>
        <v>45.3645979178366</v>
      </c>
      <c r="L13" s="27"/>
      <c r="M13" s="27" t="n">
        <v>82.56</v>
      </c>
      <c r="N13" s="27" t="n">
        <v>3.2</v>
      </c>
      <c r="O13" s="27" t="s">
        <v>36</v>
      </c>
      <c r="P13" s="16" t="str">
        <f aca="false">IF(OR($L13="",$M13="",$L13=0),"",(($L13-$M13)/$L13)*100)</f>
        <v/>
      </c>
      <c r="Q13" s="15" t="n">
        <f aca="false">IF(OR($M13="",$K13="",$K13=0),"",$M13/$K13)</f>
        <v>1.81992134372117</v>
      </c>
      <c r="R13" s="15" t="n">
        <f aca="false">IF(OR($N13="",$O13=""),"",IF(UPPER($O13)="OC",$N13,IF(UPPER($O13)="LOI",IF(OR(LOI_INTERCEPT="",LOI_SLOPE=""),"",IF(LOI_INTERCEPT+LOI_SLOPE*$N13&lt;0,"",LOI_INTERCEPT+LOI_SLOPE*$N13)),"")))</f>
        <v>0.827</v>
      </c>
      <c r="S13" s="18" t="n">
        <f aca="false">IF($R13="","",$R13*10)</f>
        <v>8.27</v>
      </c>
      <c r="T13" s="28" t="n">
        <f aca="false">IF(OR($Q13="",$R13=""),"",$Q13*$R13/100)</f>
        <v>0.0150507495125741</v>
      </c>
      <c r="U13" s="29" t="n">
        <f aca="false">IF(OR($T13="",$F13=""),"",$T13*$F13)</f>
        <v>0.0150507495125741</v>
      </c>
      <c r="V13" s="15" t="n">
        <f aca="false">IF($U13="","",$U13*10)</f>
        <v>0.150507495125741</v>
      </c>
      <c r="W13" s="15" t="n">
        <f aca="false">IF(OR($V13="",$I13="",$J13="",$J13&lt;=$I13),"",$V13*MAX(0,MIN($J13,15)-MAX($I13,0))/($J13-$I13))</f>
        <v>0.150507495125741</v>
      </c>
      <c r="X13" s="15" t="n">
        <f aca="false">IF(OR($V13="",$I13="",$J13="",$J13&lt;=$I13),"",$V13*MAX(0,MIN($J13,30)-MAX($I13,15))/($J13-$I13))</f>
        <v>0</v>
      </c>
      <c r="Y13" s="15" t="n">
        <f aca="false">IF(OR($V13="",$I13="",$J13="",$J13&lt;=$I13),"",$V13*MAX(0,MIN($J13,50)-MAX($I13,30))/($J13-$I13))</f>
        <v>0</v>
      </c>
      <c r="Z13" s="15" t="n">
        <f aca="false">IF(OR($V13="",$I13="",$J13="",$J13&lt;=$I13),"",$V13*MAX(0,MIN($J13,100)-MAX($I13,50))/($J13-$I13))</f>
        <v>0</v>
      </c>
      <c r="AA13" s="16" t="str">
        <f aca="false">IF($A13="","",IF(OR($C13="",$D13="",$D13&lt;=$C13),"CHECK: depths missing, or bottom not below top",IF(COUNTIFS($A$6:$A$205,$A13,$C$6:$C$205,$C13)&gt;1,"DUPLICATE slice",IF(COUNTIFS($A$6:$A$205,$A13,$C$6:$C$205,"&lt;"&amp;$D13,$D$6:$D$205,"&gt;"&amp;$C13)&gt;1,"OVERLAP with another slice",IF(AND($C13&gt;0,COUNTIFS($A$6:$A$205,$A13,$D$6:$D$205,$C13)=0),"GAP above this slice",IF(OR($G13="",$H13=""),"CHECK: Core ID not in Core Log, or its compaction / diameter missing",IF(AND(IF(COUNTIFS('2. Plot &amp; Core Log'!$B$6:$B$35,$A13,'2. Plot &amp; Core Log'!$L$6:$L$35,"&gt;0")=0,"",SUMIFS('2. Plot &amp; Core Log'!$L$6:$L$35,'2. Plot &amp; Core Log'!$B$6:$B$35,$A13))&lt;&gt;"",$D13&gt;IF(COUNTIFS('2. Plot &amp; Core Log'!$B$6:$B$35,$A13,'2. Plot &amp; Core Log'!$L$6:$L$35,"&gt;0")=0,"",SUMIFS('2. Plot &amp; Core Log'!$L$6:$L$35,'2. Plot &amp; Core Log'!$B$6:$B$35,$A13))),"CHECK: slice deeper than the core length on Sheet 2",IF(OR($M13="",$N13="",$O13=""),"AWAITING LAB (dry weight, carbon value or type)",IF(AND(UPPER($O13)&lt;&gt;"OC",UPPER($O13)&lt;&gt;"LOI"),IF(UPPER($O13)="TC","TC is not organic carbon — ask the lab for OC or IC","CHECK: type must be OC, TC or LOI"),IF($R13="",IF(AND(LOI_INTERCEPT&lt;&gt;"",LOI_SLOPE&lt;&gt;""),"CHECK: LOI below the range of the conversion equation (OC would be &lt; 0)","CHECK: LOI conversion not set (Instructions tab)"),IF(OR($Q13&lt;=0,$Q13&gt;2.65,$R13&gt;50),"CHECK: bulk density outside 0–2.65 g/cm3 or OC &gt; 50%","OK")))))))))))</f>
        <v>OK</v>
      </c>
    </row>
    <row r="14" customFormat="false" ht="15" hidden="false" customHeight="false" outlineLevel="0" collapsed="false">
      <c r="A14" s="14" t="s">
        <v>99</v>
      </c>
      <c r="B14" s="14" t="n">
        <v>9</v>
      </c>
      <c r="C14" s="24" t="n">
        <v>8</v>
      </c>
      <c r="D14" s="24" t="n">
        <v>9</v>
      </c>
      <c r="E14" s="14" t="s">
        <v>139</v>
      </c>
      <c r="F14" s="16" t="n">
        <f aca="false">IF(OR($C14="",$D14=""),"",$D14-$C14)</f>
        <v>1</v>
      </c>
      <c r="G14" s="25" t="n">
        <f aca="false">IF($A14="","",IFERROR(INDEX('2. Plot &amp; Core Log'!$M$6:$M$35,MATCH($A14,'2. Plot &amp; Core Log'!$B$6:$B$35,0)),""))</f>
        <v>1</v>
      </c>
      <c r="H14" s="26" t="n">
        <f aca="false">IF($A14="","",IFERROR(INDEX('2. Plot &amp; Core Log'!$S$6:$S$35,MATCH($A14,'2. Plot &amp; Core Log'!$B$6:$B$35,0)),""))</f>
        <v>7.6</v>
      </c>
      <c r="I14" s="16" t="n">
        <f aca="false">IF(OR($C14="",$G14=""),"",$C14*$G14)</f>
        <v>8</v>
      </c>
      <c r="J14" s="16" t="n">
        <f aca="false">IF(OR($D14="",$G14=""),"",$D14*$G14)</f>
        <v>9</v>
      </c>
      <c r="K14" s="16" t="n">
        <f aca="false">IF(OR($F14="",$H14=""),"",PI()*(($H14/2)^2)*$F14)</f>
        <v>45.3645979178366</v>
      </c>
      <c r="L14" s="27"/>
      <c r="M14" s="27" t="n">
        <v>84.38</v>
      </c>
      <c r="N14" s="27" t="n">
        <v>2.8</v>
      </c>
      <c r="O14" s="27" t="s">
        <v>36</v>
      </c>
      <c r="P14" s="16" t="str">
        <f aca="false">IF(OR($L14="",$M14="",$L14=0),"",(($L14-$M14)/$L14)*100)</f>
        <v/>
      </c>
      <c r="Q14" s="15" t="n">
        <f aca="false">IF(OR($M14="",$K14="",$K14=0),"",$M14/$K14)</f>
        <v>1.86004073380805</v>
      </c>
      <c r="R14" s="15" t="n">
        <f aca="false">IF(OR($N14="",$O14=""),"",IF(UPPER($O14)="OC",$N14,IF(UPPER($O14)="LOI",IF(OR(LOI_INTERCEPT="",LOI_SLOPE=""),"",IF(LOI_INTERCEPT+LOI_SLOPE*$N14&lt;0,"",LOI_INTERCEPT+LOI_SLOPE*$N14)),"")))</f>
        <v>0.699</v>
      </c>
      <c r="S14" s="18" t="n">
        <f aca="false">IF($R14="","",$R14*10)</f>
        <v>6.99</v>
      </c>
      <c r="T14" s="28" t="n">
        <f aca="false">IF(OR($Q14="",$R14=""),"",$Q14*$R14/100)</f>
        <v>0.0130016847293183</v>
      </c>
      <c r="U14" s="29" t="n">
        <f aca="false">IF(OR($T14="",$F14=""),"",$T14*$F14)</f>
        <v>0.0130016847293183</v>
      </c>
      <c r="V14" s="15" t="n">
        <f aca="false">IF($U14="","",$U14*10)</f>
        <v>0.130016847293183</v>
      </c>
      <c r="W14" s="15" t="n">
        <f aca="false">IF(OR($V14="",$I14="",$J14="",$J14&lt;=$I14),"",$V14*MAX(0,MIN($J14,15)-MAX($I14,0))/($J14-$I14))</f>
        <v>0.130016847293183</v>
      </c>
      <c r="X14" s="15" t="n">
        <f aca="false">IF(OR($V14="",$I14="",$J14="",$J14&lt;=$I14),"",$V14*MAX(0,MIN($J14,30)-MAX($I14,15))/($J14-$I14))</f>
        <v>0</v>
      </c>
      <c r="Y14" s="15" t="n">
        <f aca="false">IF(OR($V14="",$I14="",$J14="",$J14&lt;=$I14),"",$V14*MAX(0,MIN($J14,50)-MAX($I14,30))/($J14-$I14))</f>
        <v>0</v>
      </c>
      <c r="Z14" s="15" t="n">
        <f aca="false">IF(OR($V14="",$I14="",$J14="",$J14&lt;=$I14),"",$V14*MAX(0,MIN($J14,100)-MAX($I14,50))/($J14-$I14))</f>
        <v>0</v>
      </c>
      <c r="AA14" s="16" t="str">
        <f aca="false">IF($A14="","",IF(OR($C14="",$D14="",$D14&lt;=$C14),"CHECK: depths missing, or bottom not below top",IF(COUNTIFS($A$6:$A$205,$A14,$C$6:$C$205,$C14)&gt;1,"DUPLICATE slice",IF(COUNTIFS($A$6:$A$205,$A14,$C$6:$C$205,"&lt;"&amp;$D14,$D$6:$D$205,"&gt;"&amp;$C14)&gt;1,"OVERLAP with another slice",IF(AND($C14&gt;0,COUNTIFS($A$6:$A$205,$A14,$D$6:$D$205,$C14)=0),"GAP above this slice",IF(OR($G14="",$H14=""),"CHECK: Core ID not in Core Log, or its compaction / diameter missing",IF(AND(IF(COUNTIFS('2. Plot &amp; Core Log'!$B$6:$B$35,$A14,'2. Plot &amp; Core Log'!$L$6:$L$35,"&gt;0")=0,"",SUMIFS('2. Plot &amp; Core Log'!$L$6:$L$35,'2. Plot &amp; Core Log'!$B$6:$B$35,$A14))&lt;&gt;"",$D14&gt;IF(COUNTIFS('2. Plot &amp; Core Log'!$B$6:$B$35,$A14,'2. Plot &amp; Core Log'!$L$6:$L$35,"&gt;0")=0,"",SUMIFS('2. Plot &amp; Core Log'!$L$6:$L$35,'2. Plot &amp; Core Log'!$B$6:$B$35,$A14))),"CHECK: slice deeper than the core length on Sheet 2",IF(OR($M14="",$N14="",$O14=""),"AWAITING LAB (dry weight, carbon value or type)",IF(AND(UPPER($O14)&lt;&gt;"OC",UPPER($O14)&lt;&gt;"LOI"),IF(UPPER($O14)="TC","TC is not organic carbon — ask the lab for OC or IC","CHECK: type must be OC, TC or LOI"),IF($R14="",IF(AND(LOI_INTERCEPT&lt;&gt;"",LOI_SLOPE&lt;&gt;""),"CHECK: LOI below the range of the conversion equation (OC would be &lt; 0)","CHECK: LOI conversion not set (Instructions tab)"),IF(OR($Q14&lt;=0,$Q14&gt;2.65,$R14&gt;50),"CHECK: bulk density outside 0–2.65 g/cm3 or OC &gt; 50%","OK")))))))))))</f>
        <v>OK</v>
      </c>
    </row>
    <row r="15" customFormat="false" ht="15" hidden="false" customHeight="false" outlineLevel="0" collapsed="false">
      <c r="A15" s="14" t="s">
        <v>99</v>
      </c>
      <c r="B15" s="14" t="n">
        <v>10</v>
      </c>
      <c r="C15" s="24" t="n">
        <v>9</v>
      </c>
      <c r="D15" s="24" t="n">
        <v>10</v>
      </c>
      <c r="E15" s="14" t="s">
        <v>139</v>
      </c>
      <c r="F15" s="16" t="n">
        <f aca="false">IF(OR($C15="",$D15=""),"",$D15-$C15)</f>
        <v>1</v>
      </c>
      <c r="G15" s="25" t="n">
        <f aca="false">IF($A15="","",IFERROR(INDEX('2. Plot &amp; Core Log'!$M$6:$M$35,MATCH($A15,'2. Plot &amp; Core Log'!$B$6:$B$35,0)),""))</f>
        <v>1</v>
      </c>
      <c r="H15" s="26" t="n">
        <f aca="false">IF($A15="","",IFERROR(INDEX('2. Plot &amp; Core Log'!$S$6:$S$35,MATCH($A15,'2. Plot &amp; Core Log'!$B$6:$B$35,0)),""))</f>
        <v>7.6</v>
      </c>
      <c r="I15" s="16" t="n">
        <f aca="false">IF(OR($C15="",$G15=""),"",$C15*$G15)</f>
        <v>9</v>
      </c>
      <c r="J15" s="16" t="n">
        <f aca="false">IF(OR($D15="",$G15=""),"",$D15*$G15)</f>
        <v>10</v>
      </c>
      <c r="K15" s="16" t="n">
        <f aca="false">IF(OR($F15="",$H15=""),"",PI()*(($H15/2)^2)*$F15)</f>
        <v>45.3645979178366</v>
      </c>
      <c r="L15" s="27"/>
      <c r="M15" s="27" t="n">
        <v>75.76</v>
      </c>
      <c r="N15" s="27" t="n">
        <v>2.5</v>
      </c>
      <c r="O15" s="27" t="s">
        <v>36</v>
      </c>
      <c r="P15" s="16" t="str">
        <f aca="false">IF(OR($L15="",$M15="",$L15=0),"",(($L15-$M15)/$L15)*100)</f>
        <v/>
      </c>
      <c r="Q15" s="15" t="n">
        <f aca="false">IF(OR($M15="",$K15="",$K15=0),"",$M15/$K15)</f>
        <v>1.67002472141856</v>
      </c>
      <c r="R15" s="15" t="n">
        <f aca="false">IF(OR($N15="",$O15=""),"",IF(UPPER($O15)="OC",$N15,IF(UPPER($O15)="LOI",IF(OR(LOI_INTERCEPT="",LOI_SLOPE=""),"",IF(LOI_INTERCEPT+LOI_SLOPE*$N15&lt;0,"",LOI_INTERCEPT+LOI_SLOPE*$N15)),"")))</f>
        <v>0.603</v>
      </c>
      <c r="S15" s="18" t="n">
        <f aca="false">IF($R15="","",$R15*10)</f>
        <v>6.03</v>
      </c>
      <c r="T15" s="28" t="n">
        <f aca="false">IF(OR($Q15="",$R15=""),"",$Q15*$R15/100)</f>
        <v>0.0100702490701539</v>
      </c>
      <c r="U15" s="29" t="n">
        <f aca="false">IF(OR($T15="",$F15=""),"",$T15*$F15)</f>
        <v>0.0100702490701539</v>
      </c>
      <c r="V15" s="15" t="n">
        <f aca="false">IF($U15="","",$U15*10)</f>
        <v>0.100702490701539</v>
      </c>
      <c r="W15" s="15" t="n">
        <f aca="false">IF(OR($V15="",$I15="",$J15="",$J15&lt;=$I15),"",$V15*MAX(0,MIN($J15,15)-MAX($I15,0))/($J15-$I15))</f>
        <v>0.100702490701539</v>
      </c>
      <c r="X15" s="15" t="n">
        <f aca="false">IF(OR($V15="",$I15="",$J15="",$J15&lt;=$I15),"",$V15*MAX(0,MIN($J15,30)-MAX($I15,15))/($J15-$I15))</f>
        <v>0</v>
      </c>
      <c r="Y15" s="15" t="n">
        <f aca="false">IF(OR($V15="",$I15="",$J15="",$J15&lt;=$I15),"",$V15*MAX(0,MIN($J15,50)-MAX($I15,30))/($J15-$I15))</f>
        <v>0</v>
      </c>
      <c r="Z15" s="15" t="n">
        <f aca="false">IF(OR($V15="",$I15="",$J15="",$J15&lt;=$I15),"",$V15*MAX(0,MIN($J15,100)-MAX($I15,50))/($J15-$I15))</f>
        <v>0</v>
      </c>
      <c r="AA15" s="16" t="str">
        <f aca="false">IF($A15="","",IF(OR($C15="",$D15="",$D15&lt;=$C15),"CHECK: depths missing, or bottom not below top",IF(COUNTIFS($A$6:$A$205,$A15,$C$6:$C$205,$C15)&gt;1,"DUPLICATE slice",IF(COUNTIFS($A$6:$A$205,$A15,$C$6:$C$205,"&lt;"&amp;$D15,$D$6:$D$205,"&gt;"&amp;$C15)&gt;1,"OVERLAP with another slice",IF(AND($C15&gt;0,COUNTIFS($A$6:$A$205,$A15,$D$6:$D$205,$C15)=0),"GAP above this slice",IF(OR($G15="",$H15=""),"CHECK: Core ID not in Core Log, or its compaction / diameter missing",IF(AND(IF(COUNTIFS('2. Plot &amp; Core Log'!$B$6:$B$35,$A15,'2. Plot &amp; Core Log'!$L$6:$L$35,"&gt;0")=0,"",SUMIFS('2. Plot &amp; Core Log'!$L$6:$L$35,'2. Plot &amp; Core Log'!$B$6:$B$35,$A15))&lt;&gt;"",$D15&gt;IF(COUNTIFS('2. Plot &amp; Core Log'!$B$6:$B$35,$A15,'2. Plot &amp; Core Log'!$L$6:$L$35,"&gt;0")=0,"",SUMIFS('2. Plot &amp; Core Log'!$L$6:$L$35,'2. Plot &amp; Core Log'!$B$6:$B$35,$A15))),"CHECK: slice deeper than the core length on Sheet 2",IF(OR($M15="",$N15="",$O15=""),"AWAITING LAB (dry weight, carbon value or type)",IF(AND(UPPER($O15)&lt;&gt;"OC",UPPER($O15)&lt;&gt;"LOI"),IF(UPPER($O15)="TC","TC is not organic carbon — ask the lab for OC or IC","CHECK: type must be OC, TC or LOI"),IF($R15="",IF(AND(LOI_INTERCEPT&lt;&gt;"",LOI_SLOPE&lt;&gt;""),"CHECK: LOI below the range of the conversion equation (OC would be &lt; 0)","CHECK: LOI conversion not set (Instructions tab)"),IF(OR($Q15&lt;=0,$Q15&gt;2.65,$R15&gt;50),"CHECK: bulk density outside 0–2.65 g/cm3 or OC &gt; 50%","OK")))))))))))</f>
        <v>OK</v>
      </c>
    </row>
    <row r="16" customFormat="false" ht="15" hidden="false" customHeight="false" outlineLevel="0" collapsed="false">
      <c r="A16" s="14" t="s">
        <v>99</v>
      </c>
      <c r="B16" s="14" t="n">
        <v>11</v>
      </c>
      <c r="C16" s="24" t="n">
        <v>10</v>
      </c>
      <c r="D16" s="24" t="n">
        <v>12</v>
      </c>
      <c r="E16" s="14" t="s">
        <v>139</v>
      </c>
      <c r="F16" s="16" t="n">
        <f aca="false">IF(OR($C16="",$D16=""),"",$D16-$C16)</f>
        <v>2</v>
      </c>
      <c r="G16" s="25" t="n">
        <f aca="false">IF($A16="","",IFERROR(INDEX('2. Plot &amp; Core Log'!$M$6:$M$35,MATCH($A16,'2. Plot &amp; Core Log'!$B$6:$B$35,0)),""))</f>
        <v>1</v>
      </c>
      <c r="H16" s="26" t="n">
        <f aca="false">IF($A16="","",IFERROR(INDEX('2. Plot &amp; Core Log'!$S$6:$S$35,MATCH($A16,'2. Plot &amp; Core Log'!$B$6:$B$35,0)),""))</f>
        <v>7.6</v>
      </c>
      <c r="I16" s="16" t="n">
        <f aca="false">IF(OR($C16="",$G16=""),"",$C16*$G16)</f>
        <v>10</v>
      </c>
      <c r="J16" s="16" t="n">
        <f aca="false">IF(OR($D16="",$G16=""),"",$D16*$G16)</f>
        <v>12</v>
      </c>
      <c r="K16" s="16" t="n">
        <f aca="false">IF(OR($F16="",$H16=""),"",PI()*(($H16/2)^2)*$F16)</f>
        <v>90.7291958356732</v>
      </c>
      <c r="L16" s="27"/>
      <c r="M16" s="27" t="n">
        <v>158.78</v>
      </c>
      <c r="N16" s="27" t="n">
        <v>2.6</v>
      </c>
      <c r="O16" s="27" t="s">
        <v>36</v>
      </c>
      <c r="P16" s="16" t="str">
        <f aca="false">IF(OR($L16="",$M16="",$L16=0),"",(($L16-$M16)/$L16)*100)</f>
        <v/>
      </c>
      <c r="Q16" s="15" t="n">
        <f aca="false">IF(OR($M16="",$K16="",$K16=0),"",$M16/$K16)</f>
        <v>1.75004306538304</v>
      </c>
      <c r="R16" s="15" t="n">
        <f aca="false">IF(OR($N16="",$O16=""),"",IF(UPPER($O16)="OC",$N16,IF(UPPER($O16)="LOI",IF(OR(LOI_INTERCEPT="",LOI_SLOPE=""),"",IF(LOI_INTERCEPT+LOI_SLOPE*$N16&lt;0,"",LOI_INTERCEPT+LOI_SLOPE*$N16)),"")))</f>
        <v>0.635</v>
      </c>
      <c r="S16" s="18" t="n">
        <f aca="false">IF($R16="","",$R16*10)</f>
        <v>6.35</v>
      </c>
      <c r="T16" s="28" t="n">
        <f aca="false">IF(OR($Q16="",$R16=""),"",$Q16*$R16/100)</f>
        <v>0.0111127734651823</v>
      </c>
      <c r="U16" s="29" t="n">
        <f aca="false">IF(OR($T16="",$F16=""),"",$T16*$F16)</f>
        <v>0.0222255469303647</v>
      </c>
      <c r="V16" s="15" t="n">
        <f aca="false">IF($U16="","",$U16*10)</f>
        <v>0.222255469303646</v>
      </c>
      <c r="W16" s="15" t="n">
        <f aca="false">IF(OR($V16="",$I16="",$J16="",$J16&lt;=$I16),"",$V16*MAX(0,MIN($J16,15)-MAX($I16,0))/($J16-$I16))</f>
        <v>0.222255469303646</v>
      </c>
      <c r="X16" s="15" t="n">
        <f aca="false">IF(OR($V16="",$I16="",$J16="",$J16&lt;=$I16),"",$V16*MAX(0,MIN($J16,30)-MAX($I16,15))/($J16-$I16))</f>
        <v>0</v>
      </c>
      <c r="Y16" s="15" t="n">
        <f aca="false">IF(OR($V16="",$I16="",$J16="",$J16&lt;=$I16),"",$V16*MAX(0,MIN($J16,50)-MAX($I16,30))/($J16-$I16))</f>
        <v>0</v>
      </c>
      <c r="Z16" s="15" t="n">
        <f aca="false">IF(OR($V16="",$I16="",$J16="",$J16&lt;=$I16),"",$V16*MAX(0,MIN($J16,100)-MAX($I16,50))/($J16-$I16))</f>
        <v>0</v>
      </c>
      <c r="AA16" s="16" t="str">
        <f aca="false">IF($A16="","",IF(OR($C16="",$D16="",$D16&lt;=$C16),"CHECK: depths missing, or bottom not below top",IF(COUNTIFS($A$6:$A$205,$A16,$C$6:$C$205,$C16)&gt;1,"DUPLICATE slice",IF(COUNTIFS($A$6:$A$205,$A16,$C$6:$C$205,"&lt;"&amp;$D16,$D$6:$D$205,"&gt;"&amp;$C16)&gt;1,"OVERLAP with another slice",IF(AND($C16&gt;0,COUNTIFS($A$6:$A$205,$A16,$D$6:$D$205,$C16)=0),"GAP above this slice",IF(OR($G16="",$H16=""),"CHECK: Core ID not in Core Log, or its compaction / diameter missing",IF(AND(IF(COUNTIFS('2. Plot &amp; Core Log'!$B$6:$B$35,$A16,'2. Plot &amp; Core Log'!$L$6:$L$35,"&gt;0")=0,"",SUMIFS('2. Plot &amp; Core Log'!$L$6:$L$35,'2. Plot &amp; Core Log'!$B$6:$B$35,$A16))&lt;&gt;"",$D16&gt;IF(COUNTIFS('2. Plot &amp; Core Log'!$B$6:$B$35,$A16,'2. Plot &amp; Core Log'!$L$6:$L$35,"&gt;0")=0,"",SUMIFS('2. Plot &amp; Core Log'!$L$6:$L$35,'2. Plot &amp; Core Log'!$B$6:$B$35,$A16))),"CHECK: slice deeper than the core length on Sheet 2",IF(OR($M16="",$N16="",$O16=""),"AWAITING LAB (dry weight, carbon value or type)",IF(AND(UPPER($O16)&lt;&gt;"OC",UPPER($O16)&lt;&gt;"LOI"),IF(UPPER($O16)="TC","TC is not organic carbon — ask the lab for OC or IC","CHECK: type must be OC, TC or LOI"),IF($R16="",IF(AND(LOI_INTERCEPT&lt;&gt;"",LOI_SLOPE&lt;&gt;""),"CHECK: LOI below the range of the conversion equation (OC would be &lt; 0)","CHECK: LOI conversion not set (Instructions tab)"),IF(OR($Q16&lt;=0,$Q16&gt;2.65,$R16&gt;50),"CHECK: bulk density outside 0–2.65 g/cm3 or OC &gt; 50%","OK")))))))))))</f>
        <v>OK</v>
      </c>
    </row>
    <row r="17" customFormat="false" ht="15" hidden="false" customHeight="false" outlineLevel="0" collapsed="false">
      <c r="A17" s="14" t="s">
        <v>99</v>
      </c>
      <c r="B17" s="14" t="n">
        <v>12</v>
      </c>
      <c r="C17" s="24" t="n">
        <v>12</v>
      </c>
      <c r="D17" s="24" t="n">
        <v>14</v>
      </c>
      <c r="E17" s="14" t="s">
        <v>139</v>
      </c>
      <c r="F17" s="16" t="n">
        <f aca="false">IF(OR($C17="",$D17=""),"",$D17-$C17)</f>
        <v>2</v>
      </c>
      <c r="G17" s="25" t="n">
        <f aca="false">IF($A17="","",IFERROR(INDEX('2. Plot &amp; Core Log'!$M$6:$M$35,MATCH($A17,'2. Plot &amp; Core Log'!$B$6:$B$35,0)),""))</f>
        <v>1</v>
      </c>
      <c r="H17" s="26" t="n">
        <f aca="false">IF($A17="","",IFERROR(INDEX('2. Plot &amp; Core Log'!$S$6:$S$35,MATCH($A17,'2. Plot &amp; Core Log'!$B$6:$B$35,0)),""))</f>
        <v>7.6</v>
      </c>
      <c r="I17" s="16" t="n">
        <f aca="false">IF(OR($C17="",$G17=""),"",$C17*$G17)</f>
        <v>12</v>
      </c>
      <c r="J17" s="16" t="n">
        <f aca="false">IF(OR($D17="",$G17=""),"",$D17*$G17)</f>
        <v>14</v>
      </c>
      <c r="K17" s="16" t="n">
        <f aca="false">IF(OR($F17="",$H17=""),"",PI()*(($H17/2)^2)*$F17)</f>
        <v>90.7291958356732</v>
      </c>
      <c r="L17" s="27"/>
      <c r="M17" s="27" t="n">
        <v>157.87</v>
      </c>
      <c r="N17" s="27" t="n">
        <v>2.5</v>
      </c>
      <c r="O17" s="27" t="s">
        <v>36</v>
      </c>
      <c r="P17" s="16" t="str">
        <f aca="false">IF(OR($L17="",$M17="",$L17=0),"",(($L17-$M17)/$L17)*100)</f>
        <v/>
      </c>
      <c r="Q17" s="15" t="n">
        <f aca="false">IF(OR($M17="",$K17="",$K17=0),"",$M17/$K17)</f>
        <v>1.74001321786132</v>
      </c>
      <c r="R17" s="15" t="n">
        <f aca="false">IF(OR($N17="",$O17=""),"",IF(UPPER($O17)="OC",$N17,IF(UPPER($O17)="LOI",IF(OR(LOI_INTERCEPT="",LOI_SLOPE=""),"",IF(LOI_INTERCEPT+LOI_SLOPE*$N17&lt;0,"",LOI_INTERCEPT+LOI_SLOPE*$N17)),"")))</f>
        <v>0.603</v>
      </c>
      <c r="S17" s="18" t="n">
        <f aca="false">IF($R17="","",$R17*10)</f>
        <v>6.03</v>
      </c>
      <c r="T17" s="28" t="n">
        <f aca="false">IF(OR($Q17="",$R17=""),"",$Q17*$R17/100)</f>
        <v>0.0104922797037038</v>
      </c>
      <c r="U17" s="29" t="n">
        <f aca="false">IF(OR($T17="",$F17=""),"",$T17*$F17)</f>
        <v>0.0209845594074076</v>
      </c>
      <c r="V17" s="15" t="n">
        <f aca="false">IF($U17="","",$U17*10)</f>
        <v>0.209845594074076</v>
      </c>
      <c r="W17" s="15" t="n">
        <f aca="false">IF(OR($V17="",$I17="",$J17="",$J17&lt;=$I17),"",$V17*MAX(0,MIN($J17,15)-MAX($I17,0))/($J17-$I17))</f>
        <v>0.209845594074076</v>
      </c>
      <c r="X17" s="15" t="n">
        <f aca="false">IF(OR($V17="",$I17="",$J17="",$J17&lt;=$I17),"",$V17*MAX(0,MIN($J17,30)-MAX($I17,15))/($J17-$I17))</f>
        <v>0</v>
      </c>
      <c r="Y17" s="15" t="n">
        <f aca="false">IF(OR($V17="",$I17="",$J17="",$J17&lt;=$I17),"",$V17*MAX(0,MIN($J17,50)-MAX($I17,30))/($J17-$I17))</f>
        <v>0</v>
      </c>
      <c r="Z17" s="15" t="n">
        <f aca="false">IF(OR($V17="",$I17="",$J17="",$J17&lt;=$I17),"",$V17*MAX(0,MIN($J17,100)-MAX($I17,50))/($J17-$I17))</f>
        <v>0</v>
      </c>
      <c r="AA17" s="16" t="str">
        <f aca="false">IF($A17="","",IF(OR($C17="",$D17="",$D17&lt;=$C17),"CHECK: depths missing, or bottom not below top",IF(COUNTIFS($A$6:$A$205,$A17,$C$6:$C$205,$C17)&gt;1,"DUPLICATE slice",IF(COUNTIFS($A$6:$A$205,$A17,$C$6:$C$205,"&lt;"&amp;$D17,$D$6:$D$205,"&gt;"&amp;$C17)&gt;1,"OVERLAP with another slice",IF(AND($C17&gt;0,COUNTIFS($A$6:$A$205,$A17,$D$6:$D$205,$C17)=0),"GAP above this slice",IF(OR($G17="",$H17=""),"CHECK: Core ID not in Core Log, or its compaction / diameter missing",IF(AND(IF(COUNTIFS('2. Plot &amp; Core Log'!$B$6:$B$35,$A17,'2. Plot &amp; Core Log'!$L$6:$L$35,"&gt;0")=0,"",SUMIFS('2. Plot &amp; Core Log'!$L$6:$L$35,'2. Plot &amp; Core Log'!$B$6:$B$35,$A17))&lt;&gt;"",$D17&gt;IF(COUNTIFS('2. Plot &amp; Core Log'!$B$6:$B$35,$A17,'2. Plot &amp; Core Log'!$L$6:$L$35,"&gt;0")=0,"",SUMIFS('2. Plot &amp; Core Log'!$L$6:$L$35,'2. Plot &amp; Core Log'!$B$6:$B$35,$A17))),"CHECK: slice deeper than the core length on Sheet 2",IF(OR($M17="",$N17="",$O17=""),"AWAITING LAB (dry weight, carbon value or type)",IF(AND(UPPER($O17)&lt;&gt;"OC",UPPER($O17)&lt;&gt;"LOI"),IF(UPPER($O17)="TC","TC is not organic carbon — ask the lab for OC or IC","CHECK: type must be OC, TC or LOI"),IF($R17="",IF(AND(LOI_INTERCEPT&lt;&gt;"",LOI_SLOPE&lt;&gt;""),"CHECK: LOI below the range of the conversion equation (OC would be &lt; 0)","CHECK: LOI conversion not set (Instructions tab)"),IF(OR($Q17&lt;=0,$Q17&gt;2.65,$R17&gt;50),"CHECK: bulk density outside 0–2.65 g/cm3 or OC &gt; 50%","OK")))))))))))</f>
        <v>OK</v>
      </c>
    </row>
    <row r="18" customFormat="false" ht="15" hidden="false" customHeight="false" outlineLevel="0" collapsed="false">
      <c r="A18" s="14" t="s">
        <v>99</v>
      </c>
      <c r="B18" s="14" t="n">
        <v>13</v>
      </c>
      <c r="C18" s="24" t="n">
        <v>14</v>
      </c>
      <c r="D18" s="24" t="n">
        <v>16</v>
      </c>
      <c r="E18" s="14" t="s">
        <v>139</v>
      </c>
      <c r="F18" s="16" t="n">
        <f aca="false">IF(OR($C18="",$D18=""),"",$D18-$C18)</f>
        <v>2</v>
      </c>
      <c r="G18" s="25" t="n">
        <f aca="false">IF($A18="","",IFERROR(INDEX('2. Plot &amp; Core Log'!$M$6:$M$35,MATCH($A18,'2. Plot &amp; Core Log'!$B$6:$B$35,0)),""))</f>
        <v>1</v>
      </c>
      <c r="H18" s="26" t="n">
        <f aca="false">IF($A18="","",IFERROR(INDEX('2. Plot &amp; Core Log'!$S$6:$S$35,MATCH($A18,'2. Plot &amp; Core Log'!$B$6:$B$35,0)),""))</f>
        <v>7.6</v>
      </c>
      <c r="I18" s="16" t="n">
        <f aca="false">IF(OR($C18="",$G18=""),"",$C18*$G18)</f>
        <v>14</v>
      </c>
      <c r="J18" s="16" t="n">
        <f aca="false">IF(OR($D18="",$G18=""),"",$D18*$G18)</f>
        <v>16</v>
      </c>
      <c r="K18" s="16" t="n">
        <f aca="false">IF(OR($F18="",$H18=""),"",PI()*(($H18/2)^2)*$F18)</f>
        <v>90.7291958356732</v>
      </c>
      <c r="L18" s="27"/>
      <c r="M18" s="27" t="n">
        <v>182.37</v>
      </c>
      <c r="N18" s="27" t="n">
        <v>2.3</v>
      </c>
      <c r="O18" s="27" t="s">
        <v>36</v>
      </c>
      <c r="P18" s="16" t="str">
        <f aca="false">IF(OR($L18="",$M18="",$L18=0),"",(($L18-$M18)/$L18)*100)</f>
        <v/>
      </c>
      <c r="Q18" s="15" t="n">
        <f aca="false">IF(OR($M18="",$K18="",$K18=0),"",$M18/$K18)</f>
        <v>2.0100475742153</v>
      </c>
      <c r="R18" s="15" t="n">
        <f aca="false">IF(OR($N18="",$O18=""),"",IF(UPPER($O18)="OC",$N18,IF(UPPER($O18)="LOI",IF(OR(LOI_INTERCEPT="",LOI_SLOPE=""),"",IF(LOI_INTERCEPT+LOI_SLOPE*$N18&lt;0,"",LOI_INTERCEPT+LOI_SLOPE*$N18)),"")))</f>
        <v>0.539</v>
      </c>
      <c r="S18" s="18" t="n">
        <f aca="false">IF($R18="","",$R18*10)</f>
        <v>5.39</v>
      </c>
      <c r="T18" s="28" t="n">
        <f aca="false">IF(OR($Q18="",$R18=""),"",$Q18*$R18/100)</f>
        <v>0.0108341564250205</v>
      </c>
      <c r="U18" s="29" t="n">
        <f aca="false">IF(OR($T18="",$F18=""),"",$T18*$F18)</f>
        <v>0.0216683128500409</v>
      </c>
      <c r="V18" s="15" t="n">
        <f aca="false">IF($U18="","",$U18*10)</f>
        <v>0.216683128500409</v>
      </c>
      <c r="W18" s="15" t="n">
        <f aca="false">IF(OR($V18="",$I18="",$J18="",$J18&lt;=$I18),"",$V18*MAX(0,MIN($J18,15)-MAX($I18,0))/($J18-$I18))</f>
        <v>0.108341564250205</v>
      </c>
      <c r="X18" s="15" t="n">
        <f aca="false">IF(OR($V18="",$I18="",$J18="",$J18&lt;=$I18),"",$V18*MAX(0,MIN($J18,30)-MAX($I18,15))/($J18-$I18))</f>
        <v>0.108341564250205</v>
      </c>
      <c r="Y18" s="15" t="n">
        <f aca="false">IF(OR($V18="",$I18="",$J18="",$J18&lt;=$I18),"",$V18*MAX(0,MIN($J18,50)-MAX($I18,30))/($J18-$I18))</f>
        <v>0</v>
      </c>
      <c r="Z18" s="15" t="n">
        <f aca="false">IF(OR($V18="",$I18="",$J18="",$J18&lt;=$I18),"",$V18*MAX(0,MIN($J18,100)-MAX($I18,50))/($J18-$I18))</f>
        <v>0</v>
      </c>
      <c r="AA18" s="16" t="str">
        <f aca="false">IF($A18="","",IF(OR($C18="",$D18="",$D18&lt;=$C18),"CHECK: depths missing, or bottom not below top",IF(COUNTIFS($A$6:$A$205,$A18,$C$6:$C$205,$C18)&gt;1,"DUPLICATE slice",IF(COUNTIFS($A$6:$A$205,$A18,$C$6:$C$205,"&lt;"&amp;$D18,$D$6:$D$205,"&gt;"&amp;$C18)&gt;1,"OVERLAP with another slice",IF(AND($C18&gt;0,COUNTIFS($A$6:$A$205,$A18,$D$6:$D$205,$C18)=0),"GAP above this slice",IF(OR($G18="",$H18=""),"CHECK: Core ID not in Core Log, or its compaction / diameter missing",IF(AND(IF(COUNTIFS('2. Plot &amp; Core Log'!$B$6:$B$35,$A18,'2. Plot &amp; Core Log'!$L$6:$L$35,"&gt;0")=0,"",SUMIFS('2. Plot &amp; Core Log'!$L$6:$L$35,'2. Plot &amp; Core Log'!$B$6:$B$35,$A18))&lt;&gt;"",$D18&gt;IF(COUNTIFS('2. Plot &amp; Core Log'!$B$6:$B$35,$A18,'2. Plot &amp; Core Log'!$L$6:$L$35,"&gt;0")=0,"",SUMIFS('2. Plot &amp; Core Log'!$L$6:$L$35,'2. Plot &amp; Core Log'!$B$6:$B$35,$A18))),"CHECK: slice deeper than the core length on Sheet 2",IF(OR($M18="",$N18="",$O18=""),"AWAITING LAB (dry weight, carbon value or type)",IF(AND(UPPER($O18)&lt;&gt;"OC",UPPER($O18)&lt;&gt;"LOI"),IF(UPPER($O18)="TC","TC is not organic carbon — ask the lab for OC or IC","CHECK: type must be OC, TC or LOI"),IF($R18="",IF(AND(LOI_INTERCEPT&lt;&gt;"",LOI_SLOPE&lt;&gt;""),"CHECK: LOI below the range of the conversion equation (OC would be &lt; 0)","CHECK: LOI conversion not set (Instructions tab)"),IF(OR($Q18&lt;=0,$Q18&gt;2.65,$R18&gt;50),"CHECK: bulk density outside 0–2.65 g/cm3 or OC &gt; 50%","OK")))))))))))</f>
        <v>OK</v>
      </c>
    </row>
    <row r="19" customFormat="false" ht="15" hidden="false" customHeight="false" outlineLevel="0" collapsed="false">
      <c r="A19" s="14" t="s">
        <v>99</v>
      </c>
      <c r="B19" s="14" t="n">
        <v>14</v>
      </c>
      <c r="C19" s="24" t="n">
        <v>16</v>
      </c>
      <c r="D19" s="24" t="n">
        <v>18</v>
      </c>
      <c r="E19" s="14" t="s">
        <v>139</v>
      </c>
      <c r="F19" s="16" t="n">
        <f aca="false">IF(OR($C19="",$D19=""),"",$D19-$C19)</f>
        <v>2</v>
      </c>
      <c r="G19" s="25" t="n">
        <f aca="false">IF($A19="","",IFERROR(INDEX('2. Plot &amp; Core Log'!$M$6:$M$35,MATCH($A19,'2. Plot &amp; Core Log'!$B$6:$B$35,0)),""))</f>
        <v>1</v>
      </c>
      <c r="H19" s="26" t="n">
        <f aca="false">IF($A19="","",IFERROR(INDEX('2. Plot &amp; Core Log'!$S$6:$S$35,MATCH($A19,'2. Plot &amp; Core Log'!$B$6:$B$35,0)),""))</f>
        <v>7.6</v>
      </c>
      <c r="I19" s="16" t="n">
        <f aca="false">IF(OR($C19="",$G19=""),"",$C19*$G19)</f>
        <v>16</v>
      </c>
      <c r="J19" s="16" t="n">
        <f aca="false">IF(OR($D19="",$G19=""),"",$D19*$G19)</f>
        <v>18</v>
      </c>
      <c r="K19" s="16" t="n">
        <f aca="false">IF(OR($F19="",$H19=""),"",PI()*(($H19/2)^2)*$F19)</f>
        <v>90.7291958356732</v>
      </c>
      <c r="L19" s="27"/>
      <c r="M19" s="27" t="n">
        <v>173.29</v>
      </c>
      <c r="N19" s="27" t="n">
        <v>2.3</v>
      </c>
      <c r="O19" s="27" t="s">
        <v>36</v>
      </c>
      <c r="P19" s="16" t="str">
        <f aca="false">IF(OR($L19="",$M19="",$L19=0),"",(($L19-$M19)/$L19)*100)</f>
        <v/>
      </c>
      <c r="Q19" s="15" t="n">
        <f aca="false">IF(OR($M19="",$K19="",$K19=0),"",$M19/$K19)</f>
        <v>1.90996953520738</v>
      </c>
      <c r="R19" s="15" t="n">
        <f aca="false">IF(OR($N19="",$O19=""),"",IF(UPPER($O19)="OC",$N19,IF(UPPER($O19)="LOI",IF(OR(LOI_INTERCEPT="",LOI_SLOPE=""),"",IF(LOI_INTERCEPT+LOI_SLOPE*$N19&lt;0,"",LOI_INTERCEPT+LOI_SLOPE*$N19)),"")))</f>
        <v>0.539</v>
      </c>
      <c r="S19" s="18" t="n">
        <f aca="false">IF($R19="","",$R19*10)</f>
        <v>5.39</v>
      </c>
      <c r="T19" s="28" t="n">
        <f aca="false">IF(OR($Q19="",$R19=""),"",$Q19*$R19/100)</f>
        <v>0.0102947357947678</v>
      </c>
      <c r="U19" s="29" t="n">
        <f aca="false">IF(OR($T19="",$F19=""),"",$T19*$F19)</f>
        <v>0.0205894715895355</v>
      </c>
      <c r="V19" s="15" t="n">
        <f aca="false">IF($U19="","",$U19*10)</f>
        <v>0.205894715895355</v>
      </c>
      <c r="W19" s="15" t="n">
        <f aca="false">IF(OR($V19="",$I19="",$J19="",$J19&lt;=$I19),"",$V19*MAX(0,MIN($J19,15)-MAX($I19,0))/($J19-$I19))</f>
        <v>0</v>
      </c>
      <c r="X19" s="15" t="n">
        <f aca="false">IF(OR($V19="",$I19="",$J19="",$J19&lt;=$I19),"",$V19*MAX(0,MIN($J19,30)-MAX($I19,15))/($J19-$I19))</f>
        <v>0.205894715895355</v>
      </c>
      <c r="Y19" s="15" t="n">
        <f aca="false">IF(OR($V19="",$I19="",$J19="",$J19&lt;=$I19),"",$V19*MAX(0,MIN($J19,50)-MAX($I19,30))/($J19-$I19))</f>
        <v>0</v>
      </c>
      <c r="Z19" s="15" t="n">
        <f aca="false">IF(OR($V19="",$I19="",$J19="",$J19&lt;=$I19),"",$V19*MAX(0,MIN($J19,100)-MAX($I19,50))/($J19-$I19))</f>
        <v>0</v>
      </c>
      <c r="AA19" s="16" t="str">
        <f aca="false">IF($A19="","",IF(OR($C19="",$D19="",$D19&lt;=$C19),"CHECK: depths missing, or bottom not below top",IF(COUNTIFS($A$6:$A$205,$A19,$C$6:$C$205,$C19)&gt;1,"DUPLICATE slice",IF(COUNTIFS($A$6:$A$205,$A19,$C$6:$C$205,"&lt;"&amp;$D19,$D$6:$D$205,"&gt;"&amp;$C19)&gt;1,"OVERLAP with another slice",IF(AND($C19&gt;0,COUNTIFS($A$6:$A$205,$A19,$D$6:$D$205,$C19)=0),"GAP above this slice",IF(OR($G19="",$H19=""),"CHECK: Core ID not in Core Log, or its compaction / diameter missing",IF(AND(IF(COUNTIFS('2. Plot &amp; Core Log'!$B$6:$B$35,$A19,'2. Plot &amp; Core Log'!$L$6:$L$35,"&gt;0")=0,"",SUMIFS('2. Plot &amp; Core Log'!$L$6:$L$35,'2. Plot &amp; Core Log'!$B$6:$B$35,$A19))&lt;&gt;"",$D19&gt;IF(COUNTIFS('2. Plot &amp; Core Log'!$B$6:$B$35,$A19,'2. Plot &amp; Core Log'!$L$6:$L$35,"&gt;0")=0,"",SUMIFS('2. Plot &amp; Core Log'!$L$6:$L$35,'2. Plot &amp; Core Log'!$B$6:$B$35,$A19))),"CHECK: slice deeper than the core length on Sheet 2",IF(OR($M19="",$N19="",$O19=""),"AWAITING LAB (dry weight, carbon value or type)",IF(AND(UPPER($O19)&lt;&gt;"OC",UPPER($O19)&lt;&gt;"LOI"),IF(UPPER($O19)="TC","TC is not organic carbon — ask the lab for OC or IC","CHECK: type must be OC, TC or LOI"),IF($R19="",IF(AND(LOI_INTERCEPT&lt;&gt;"",LOI_SLOPE&lt;&gt;""),"CHECK: LOI below the range of the conversion equation (OC would be &lt; 0)","CHECK: LOI conversion not set (Instructions tab)"),IF(OR($Q19&lt;=0,$Q19&gt;2.65,$R19&gt;50),"CHECK: bulk density outside 0–2.65 g/cm3 or OC &gt; 50%","OK")))))))))))</f>
        <v>OK</v>
      </c>
    </row>
    <row r="20" customFormat="false" ht="15" hidden="false" customHeight="false" outlineLevel="0" collapsed="false">
      <c r="A20" s="14" t="s">
        <v>99</v>
      </c>
      <c r="B20" s="14" t="n">
        <v>15</v>
      </c>
      <c r="C20" s="24" t="n">
        <v>18</v>
      </c>
      <c r="D20" s="24" t="n">
        <v>20</v>
      </c>
      <c r="E20" s="14" t="s">
        <v>139</v>
      </c>
      <c r="F20" s="16" t="n">
        <f aca="false">IF(OR($C20="",$D20=""),"",$D20-$C20)</f>
        <v>2</v>
      </c>
      <c r="G20" s="25" t="n">
        <f aca="false">IF($A20="","",IFERROR(INDEX('2. Plot &amp; Core Log'!$M$6:$M$35,MATCH($A20,'2. Plot &amp; Core Log'!$B$6:$B$35,0)),""))</f>
        <v>1</v>
      </c>
      <c r="H20" s="26" t="n">
        <f aca="false">IF($A20="","",IFERROR(INDEX('2. Plot &amp; Core Log'!$S$6:$S$35,MATCH($A20,'2. Plot &amp; Core Log'!$B$6:$B$35,0)),""))</f>
        <v>7.6</v>
      </c>
      <c r="I20" s="16" t="n">
        <f aca="false">IF(OR($C20="",$G20=""),"",$C20*$G20)</f>
        <v>18</v>
      </c>
      <c r="J20" s="16" t="n">
        <f aca="false">IF(OR($D20="",$G20=""),"",$D20*$G20)</f>
        <v>20</v>
      </c>
      <c r="K20" s="16" t="n">
        <f aca="false">IF(OR($F20="",$H20=""),"",PI()*(($H20/2)^2)*$F20)</f>
        <v>90.7291958356732</v>
      </c>
      <c r="L20" s="27"/>
      <c r="M20" s="27" t="n">
        <v>175.11</v>
      </c>
      <c r="N20" s="27" t="n">
        <v>2.2</v>
      </c>
      <c r="O20" s="27" t="s">
        <v>36</v>
      </c>
      <c r="P20" s="16" t="str">
        <f aca="false">IF(OR($L20="",$M20="",$L20=0),"",(($L20-$M20)/$L20)*100)</f>
        <v/>
      </c>
      <c r="Q20" s="15" t="n">
        <f aca="false">IF(OR($M20="",$K20="",$K20=0),"",$M20/$K20)</f>
        <v>1.93002923025082</v>
      </c>
      <c r="R20" s="15" t="n">
        <f aca="false">IF(OR($N20="",$O20=""),"",IF(UPPER($O20)="OC",$N20,IF(UPPER($O20)="LOI",IF(OR(LOI_INTERCEPT="",LOI_SLOPE=""),"",IF(LOI_INTERCEPT+LOI_SLOPE*$N20&lt;0,"",LOI_INTERCEPT+LOI_SLOPE*$N20)),"")))</f>
        <v>0.507</v>
      </c>
      <c r="S20" s="18" t="n">
        <f aca="false">IF($R20="","",$R20*10)</f>
        <v>5.07</v>
      </c>
      <c r="T20" s="28" t="n">
        <f aca="false">IF(OR($Q20="",$R20=""),"",$Q20*$R20/100)</f>
        <v>0.00978524819737164</v>
      </c>
      <c r="U20" s="29" t="n">
        <f aca="false">IF(OR($T20="",$F20=""),"",$T20*$F20)</f>
        <v>0.0195704963947433</v>
      </c>
      <c r="V20" s="15" t="n">
        <f aca="false">IF($U20="","",$U20*10)</f>
        <v>0.195704963947433</v>
      </c>
      <c r="W20" s="15" t="n">
        <f aca="false">IF(OR($V20="",$I20="",$J20="",$J20&lt;=$I20),"",$V20*MAX(0,MIN($J20,15)-MAX($I20,0))/($J20-$I20))</f>
        <v>0</v>
      </c>
      <c r="X20" s="15" t="n">
        <f aca="false">IF(OR($V20="",$I20="",$J20="",$J20&lt;=$I20),"",$V20*MAX(0,MIN($J20,30)-MAX($I20,15))/($J20-$I20))</f>
        <v>0.195704963947433</v>
      </c>
      <c r="Y20" s="15" t="n">
        <f aca="false">IF(OR($V20="",$I20="",$J20="",$J20&lt;=$I20),"",$V20*MAX(0,MIN($J20,50)-MAX($I20,30))/($J20-$I20))</f>
        <v>0</v>
      </c>
      <c r="Z20" s="15" t="n">
        <f aca="false">IF(OR($V20="",$I20="",$J20="",$J20&lt;=$I20),"",$V20*MAX(0,MIN($J20,100)-MAX($I20,50))/($J20-$I20))</f>
        <v>0</v>
      </c>
      <c r="AA20" s="16" t="str">
        <f aca="false">IF($A20="","",IF(OR($C20="",$D20="",$D20&lt;=$C20),"CHECK: depths missing, or bottom not below top",IF(COUNTIFS($A$6:$A$205,$A20,$C$6:$C$205,$C20)&gt;1,"DUPLICATE slice",IF(COUNTIFS($A$6:$A$205,$A20,$C$6:$C$205,"&lt;"&amp;$D20,$D$6:$D$205,"&gt;"&amp;$C20)&gt;1,"OVERLAP with another slice",IF(AND($C20&gt;0,COUNTIFS($A$6:$A$205,$A20,$D$6:$D$205,$C20)=0),"GAP above this slice",IF(OR($G20="",$H20=""),"CHECK: Core ID not in Core Log, or its compaction / diameter missing",IF(AND(IF(COUNTIFS('2. Plot &amp; Core Log'!$B$6:$B$35,$A20,'2. Plot &amp; Core Log'!$L$6:$L$35,"&gt;0")=0,"",SUMIFS('2. Plot &amp; Core Log'!$L$6:$L$35,'2. Plot &amp; Core Log'!$B$6:$B$35,$A20))&lt;&gt;"",$D20&gt;IF(COUNTIFS('2. Plot &amp; Core Log'!$B$6:$B$35,$A20,'2. Plot &amp; Core Log'!$L$6:$L$35,"&gt;0")=0,"",SUMIFS('2. Plot &amp; Core Log'!$L$6:$L$35,'2. Plot &amp; Core Log'!$B$6:$B$35,$A20))),"CHECK: slice deeper than the core length on Sheet 2",IF(OR($M20="",$N20="",$O20=""),"AWAITING LAB (dry weight, carbon value or type)",IF(AND(UPPER($O20)&lt;&gt;"OC",UPPER($O20)&lt;&gt;"LOI"),IF(UPPER($O20)="TC","TC is not organic carbon — ask the lab for OC or IC","CHECK: type must be OC, TC or LOI"),IF($R20="",IF(AND(LOI_INTERCEPT&lt;&gt;"",LOI_SLOPE&lt;&gt;""),"CHECK: LOI below the range of the conversion equation (OC would be &lt; 0)","CHECK: LOI conversion not set (Instructions tab)"),IF(OR($Q20&lt;=0,$Q20&gt;2.65,$R20&gt;50),"CHECK: bulk density outside 0–2.65 g/cm3 or OC &gt; 50%","OK")))))))))))</f>
        <v>OK</v>
      </c>
    </row>
    <row r="21" customFormat="false" ht="15.75" hidden="false" customHeight="true" outlineLevel="0" collapsed="false">
      <c r="A21" s="14" t="s">
        <v>105</v>
      </c>
      <c r="B21" s="14" t="n">
        <v>1</v>
      </c>
      <c r="C21" s="24" t="n">
        <v>0</v>
      </c>
      <c r="D21" s="24" t="n">
        <v>1</v>
      </c>
      <c r="E21" s="14" t="s">
        <v>138</v>
      </c>
      <c r="F21" s="16" t="n">
        <f aca="false">IF(OR($C21="",$D21=""),"",$D21-$C21)</f>
        <v>1</v>
      </c>
      <c r="G21" s="25" t="n">
        <f aca="false">IF($A21="","",IFERROR(INDEX('2. Plot &amp; Core Log'!$M$6:$M$35,MATCH($A21,'2. Plot &amp; Core Log'!$B$6:$B$35,0)),""))</f>
        <v>1</v>
      </c>
      <c r="H21" s="26" t="n">
        <f aca="false">IF($A21="","",IFERROR(INDEX('2. Plot &amp; Core Log'!$S$6:$S$35,MATCH($A21,'2. Plot &amp; Core Log'!$B$6:$B$35,0)),""))</f>
        <v>7.6</v>
      </c>
      <c r="I21" s="16" t="n">
        <f aca="false">IF(OR($C21="",$G21=""),"",$C21*$G21)</f>
        <v>0</v>
      </c>
      <c r="J21" s="16" t="n">
        <f aca="false">IF(OR($D21="",$G21=""),"",$D21*$G21)</f>
        <v>1</v>
      </c>
      <c r="K21" s="16" t="n">
        <f aca="false">IF(OR($F21="",$H21=""),"",PI()*(($H21/2)^2)*$F21)</f>
        <v>45.3645979178366</v>
      </c>
      <c r="L21" s="27"/>
      <c r="M21" s="27" t="n">
        <v>77.57</v>
      </c>
      <c r="N21" s="27" t="n">
        <v>0.9</v>
      </c>
      <c r="O21" s="27" t="s">
        <v>32</v>
      </c>
      <c r="P21" s="16" t="str">
        <f aca="false">IF(OR($L21="",$M21="",$L21=0),"",(($L21-$M21)/$L21)*100)</f>
        <v/>
      </c>
      <c r="Q21" s="15" t="n">
        <f aca="false">IF(OR($M21="",$K21="",$K21=0),"",$M21/$K21)</f>
        <v>1.70992367529617</v>
      </c>
      <c r="R21" s="15" t="n">
        <f aca="false">IF(OR($N21="",$O21=""),"",IF(UPPER($O21)="OC",$N21,IF(UPPER($O21)="LOI",IF(OR(LOI_INTERCEPT="",LOI_SLOPE=""),"",IF(LOI_INTERCEPT+LOI_SLOPE*$N21&lt;0,"",LOI_INTERCEPT+LOI_SLOPE*$N21)),"")))</f>
        <v>0.9</v>
      </c>
      <c r="S21" s="18" t="n">
        <f aca="false">IF($R21="","",$R21*10)</f>
        <v>9</v>
      </c>
      <c r="T21" s="28" t="n">
        <f aca="false">IF(OR($Q21="",$R21=""),"",$Q21*$R21/100)</f>
        <v>0.0153893130776655</v>
      </c>
      <c r="U21" s="29" t="n">
        <f aca="false">IF(OR($T21="",$F21=""),"",$T21*$F21)</f>
        <v>0.0153893130776655</v>
      </c>
      <c r="V21" s="15" t="n">
        <f aca="false">IF($U21="","",$U21*10)</f>
        <v>0.153893130776655</v>
      </c>
      <c r="W21" s="15" t="n">
        <f aca="false">IF(OR($V21="",$I21="",$J21="",$J21&lt;=$I21),"",$V21*MAX(0,MIN($J21,15)-MAX($I21,0))/($J21-$I21))</f>
        <v>0.153893130776655</v>
      </c>
      <c r="X21" s="15" t="n">
        <f aca="false">IF(OR($V21="",$I21="",$J21="",$J21&lt;=$I21),"",$V21*MAX(0,MIN($J21,30)-MAX($I21,15))/($J21-$I21))</f>
        <v>0</v>
      </c>
      <c r="Y21" s="15" t="n">
        <f aca="false">IF(OR($V21="",$I21="",$J21="",$J21&lt;=$I21),"",$V21*MAX(0,MIN($J21,50)-MAX($I21,30))/($J21-$I21))</f>
        <v>0</v>
      </c>
      <c r="Z21" s="15" t="n">
        <f aca="false">IF(OR($V21="",$I21="",$J21="",$J21&lt;=$I21),"",$V21*MAX(0,MIN($J21,100)-MAX($I21,50))/($J21-$I21))</f>
        <v>0</v>
      </c>
      <c r="AA21" s="16" t="str">
        <f aca="false">IF($A21="","",IF(OR($C21="",$D21="",$D21&lt;=$C21),"CHECK: depths missing, or bottom not below top",IF(COUNTIFS($A$6:$A$205,$A21,$C$6:$C$205,$C21)&gt;1,"DUPLICATE slice",IF(COUNTIFS($A$6:$A$205,$A21,$C$6:$C$205,"&lt;"&amp;$D21,$D$6:$D$205,"&gt;"&amp;$C21)&gt;1,"OVERLAP with another slice",IF(AND($C21&gt;0,COUNTIFS($A$6:$A$205,$A21,$D$6:$D$205,$C21)=0),"GAP above this slice",IF(OR($G21="",$H21=""),"CHECK: Core ID not in Core Log, or its compaction / diameter missing",IF(AND(IF(COUNTIFS('2. Plot &amp; Core Log'!$B$6:$B$35,$A21,'2. Plot &amp; Core Log'!$L$6:$L$35,"&gt;0")=0,"",SUMIFS('2. Plot &amp; Core Log'!$L$6:$L$35,'2. Plot &amp; Core Log'!$B$6:$B$35,$A21))&lt;&gt;"",$D21&gt;IF(COUNTIFS('2. Plot &amp; Core Log'!$B$6:$B$35,$A21,'2. Plot &amp; Core Log'!$L$6:$L$35,"&gt;0")=0,"",SUMIFS('2. Plot &amp; Core Log'!$L$6:$L$35,'2. Plot &amp; Core Log'!$B$6:$B$35,$A21))),"CHECK: slice deeper than the core length on Sheet 2",IF(OR($M21="",$N21="",$O21=""),"AWAITING LAB (dry weight, carbon value or type)",IF(AND(UPPER($O21)&lt;&gt;"OC",UPPER($O21)&lt;&gt;"LOI"),IF(UPPER($O21)="TC","TC is not organic carbon — ask the lab for OC or IC","CHECK: type must be OC, TC or LOI"),IF($R21="",IF(AND(LOI_INTERCEPT&lt;&gt;"",LOI_SLOPE&lt;&gt;""),"CHECK: LOI below the range of the conversion equation (OC would be &lt; 0)","CHECK: LOI conversion not set (Instructions tab)"),IF(OR($Q21&lt;=0,$Q21&gt;2.65,$R21&gt;50),"CHECK: bulk density outside 0–2.65 g/cm3 or OC &gt; 50%","OK")))))))))))</f>
        <v>OK</v>
      </c>
    </row>
    <row r="22" customFormat="false" ht="15.75" hidden="false" customHeight="true" outlineLevel="0" collapsed="false">
      <c r="A22" s="14" t="s">
        <v>105</v>
      </c>
      <c r="B22" s="14" t="n">
        <v>2</v>
      </c>
      <c r="C22" s="24" t="n">
        <v>1</v>
      </c>
      <c r="D22" s="24" t="n">
        <v>2</v>
      </c>
      <c r="E22" s="14" t="s">
        <v>138</v>
      </c>
      <c r="F22" s="16" t="n">
        <f aca="false">IF(OR($C22="",$D22=""),"",$D22-$C22)</f>
        <v>1</v>
      </c>
      <c r="G22" s="25" t="n">
        <f aca="false">IF($A22="","",IFERROR(INDEX('2. Plot &amp; Core Log'!$M$6:$M$35,MATCH($A22,'2. Plot &amp; Core Log'!$B$6:$B$35,0)),""))</f>
        <v>1</v>
      </c>
      <c r="H22" s="26" t="n">
        <f aca="false">IF($A22="","",IFERROR(INDEX('2. Plot &amp; Core Log'!$S$6:$S$35,MATCH($A22,'2. Plot &amp; Core Log'!$B$6:$B$35,0)),""))</f>
        <v>7.6</v>
      </c>
      <c r="I22" s="16" t="n">
        <f aca="false">IF(OR($C22="",$G22=""),"",$C22*$G22)</f>
        <v>1</v>
      </c>
      <c r="J22" s="16" t="n">
        <f aca="false">IF(OR($D22="",$G22=""),"",$D22*$G22)</f>
        <v>2</v>
      </c>
      <c r="K22" s="16" t="n">
        <f aca="false">IF(OR($F22="",$H22=""),"",PI()*(($H22/2)^2)*$F22)</f>
        <v>45.3645979178366</v>
      </c>
      <c r="L22" s="27"/>
      <c r="M22" s="27" t="n">
        <v>65.33</v>
      </c>
      <c r="N22" s="27" t="n">
        <v>0.4</v>
      </c>
      <c r="O22" s="27" t="s">
        <v>32</v>
      </c>
      <c r="P22" s="16" t="str">
        <f aca="false">IF(OR($L22="",$M22="",$L22=0),"",(($L22-$M22)/$L22)*100)</f>
        <v/>
      </c>
      <c r="Q22" s="15" t="n">
        <f aca="false">IF(OR($M22="",$K22="",$K22=0),"",$M22/$K22)</f>
        <v>1.44010975515146</v>
      </c>
      <c r="R22" s="15" t="n">
        <f aca="false">IF(OR($N22="",$O22=""),"",IF(UPPER($O22)="OC",$N22,IF(UPPER($O22)="LOI",IF(OR(LOI_INTERCEPT="",LOI_SLOPE=""),"",IF(LOI_INTERCEPT+LOI_SLOPE*$N22&lt;0,"",LOI_INTERCEPT+LOI_SLOPE*$N22)),"")))</f>
        <v>0.4</v>
      </c>
      <c r="S22" s="18" t="n">
        <f aca="false">IF($R22="","",$R22*10)</f>
        <v>4</v>
      </c>
      <c r="T22" s="28" t="n">
        <f aca="false">IF(OR($Q22="",$R22=""),"",$Q22*$R22/100)</f>
        <v>0.00576043902060583</v>
      </c>
      <c r="U22" s="29" t="n">
        <f aca="false">IF(OR($T22="",$F22=""),"",$T22*$F22)</f>
        <v>0.00576043902060583</v>
      </c>
      <c r="V22" s="15" t="n">
        <f aca="false">IF($U22="","",$U22*10)</f>
        <v>0.0576043902060583</v>
      </c>
      <c r="W22" s="15" t="n">
        <f aca="false">IF(OR($V22="",$I22="",$J22="",$J22&lt;=$I22),"",$V22*MAX(0,MIN($J22,15)-MAX($I22,0))/($J22-$I22))</f>
        <v>0.0576043902060583</v>
      </c>
      <c r="X22" s="15" t="n">
        <f aca="false">IF(OR($V22="",$I22="",$J22="",$J22&lt;=$I22),"",$V22*MAX(0,MIN($J22,30)-MAX($I22,15))/($J22-$I22))</f>
        <v>0</v>
      </c>
      <c r="Y22" s="15" t="n">
        <f aca="false">IF(OR($V22="",$I22="",$J22="",$J22&lt;=$I22),"",$V22*MAX(0,MIN($J22,50)-MAX($I22,30))/($J22-$I22))</f>
        <v>0</v>
      </c>
      <c r="Z22" s="15" t="n">
        <f aca="false">IF(OR($V22="",$I22="",$J22="",$J22&lt;=$I22),"",$V22*MAX(0,MIN($J22,100)-MAX($I22,50))/($J22-$I22))</f>
        <v>0</v>
      </c>
      <c r="AA22" s="16" t="str">
        <f aca="false">IF($A22="","",IF(OR($C22="",$D22="",$D22&lt;=$C22),"CHECK: depths missing, or bottom not below top",IF(COUNTIFS($A$6:$A$205,$A22,$C$6:$C$205,$C22)&gt;1,"DUPLICATE slice",IF(COUNTIFS($A$6:$A$205,$A22,$C$6:$C$205,"&lt;"&amp;$D22,$D$6:$D$205,"&gt;"&amp;$C22)&gt;1,"OVERLAP with another slice",IF(AND($C22&gt;0,COUNTIFS($A$6:$A$205,$A22,$D$6:$D$205,$C22)=0),"GAP above this slice",IF(OR($G22="",$H22=""),"CHECK: Core ID not in Core Log, or its compaction / diameter missing",IF(AND(IF(COUNTIFS('2. Plot &amp; Core Log'!$B$6:$B$35,$A22,'2. Plot &amp; Core Log'!$L$6:$L$35,"&gt;0")=0,"",SUMIFS('2. Plot &amp; Core Log'!$L$6:$L$35,'2. Plot &amp; Core Log'!$B$6:$B$35,$A22))&lt;&gt;"",$D22&gt;IF(COUNTIFS('2. Plot &amp; Core Log'!$B$6:$B$35,$A22,'2. Plot &amp; Core Log'!$L$6:$L$35,"&gt;0")=0,"",SUMIFS('2. Plot &amp; Core Log'!$L$6:$L$35,'2. Plot &amp; Core Log'!$B$6:$B$35,$A22))),"CHECK: slice deeper than the core length on Sheet 2",IF(OR($M22="",$N22="",$O22=""),"AWAITING LAB (dry weight, carbon value or type)",IF(AND(UPPER($O22)&lt;&gt;"OC",UPPER($O22)&lt;&gt;"LOI"),IF(UPPER($O22)="TC","TC is not organic carbon — ask the lab for OC or IC","CHECK: type must be OC, TC or LOI"),IF($R22="",IF(AND(LOI_INTERCEPT&lt;&gt;"",LOI_SLOPE&lt;&gt;""),"CHECK: LOI below the range of the conversion equation (OC would be &lt; 0)","CHECK: LOI conversion not set (Instructions tab)"),IF(OR($Q22&lt;=0,$Q22&gt;2.65,$R22&gt;50),"CHECK: bulk density outside 0–2.65 g/cm3 or OC &gt; 50%","OK")))))))))))</f>
        <v>OK</v>
      </c>
    </row>
    <row r="23" customFormat="false" ht="15.75" hidden="false" customHeight="true" outlineLevel="0" collapsed="false">
      <c r="A23" s="14" t="s">
        <v>105</v>
      </c>
      <c r="B23" s="14" t="n">
        <v>3</v>
      </c>
      <c r="C23" s="24" t="n">
        <v>2</v>
      </c>
      <c r="D23" s="24" t="n">
        <v>3</v>
      </c>
      <c r="E23" s="14" t="s">
        <v>138</v>
      </c>
      <c r="F23" s="16" t="n">
        <f aca="false">IF(OR($C23="",$D23=""),"",$D23-$C23)</f>
        <v>1</v>
      </c>
      <c r="G23" s="25" t="n">
        <f aca="false">IF($A23="","",IFERROR(INDEX('2. Plot &amp; Core Log'!$M$6:$M$35,MATCH($A23,'2. Plot &amp; Core Log'!$B$6:$B$35,0)),""))</f>
        <v>1</v>
      </c>
      <c r="H23" s="26" t="n">
        <f aca="false">IF($A23="","",IFERROR(INDEX('2. Plot &amp; Core Log'!$S$6:$S$35,MATCH($A23,'2. Plot &amp; Core Log'!$B$6:$B$35,0)),""))</f>
        <v>7.6</v>
      </c>
      <c r="I23" s="16" t="n">
        <f aca="false">IF(OR($C23="",$G23=""),"",$C23*$G23)</f>
        <v>2</v>
      </c>
      <c r="J23" s="16" t="n">
        <f aca="false">IF(OR($D23="",$G23=""),"",$D23*$G23)</f>
        <v>3</v>
      </c>
      <c r="K23" s="16" t="n">
        <f aca="false">IF(OR($F23="",$H23=""),"",PI()*(($H23/2)^2)*$F23)</f>
        <v>45.3645979178366</v>
      </c>
      <c r="L23" s="27"/>
      <c r="M23" s="27" t="n">
        <v>71.68</v>
      </c>
      <c r="N23" s="27" t="n">
        <v>0.4</v>
      </c>
      <c r="O23" s="27" t="s">
        <v>32</v>
      </c>
      <c r="P23" s="16" t="str">
        <f aca="false">IF(OR($L23="",$M23="",$L23=0),"",(($L23-$M23)/$L23)*100)</f>
        <v/>
      </c>
      <c r="Q23" s="15" t="n">
        <f aca="false">IF(OR($M23="",$K23="",$K23=0),"",$M23/$K23)</f>
        <v>1.58008674803699</v>
      </c>
      <c r="R23" s="15" t="n">
        <f aca="false">IF(OR($N23="",$O23=""),"",IF(UPPER($O23)="OC",$N23,IF(UPPER($O23)="LOI",IF(OR(LOI_INTERCEPT="",LOI_SLOPE=""),"",IF(LOI_INTERCEPT+LOI_SLOPE*$N23&lt;0,"",LOI_INTERCEPT+LOI_SLOPE*$N23)),"")))</f>
        <v>0.4</v>
      </c>
      <c r="S23" s="18" t="n">
        <f aca="false">IF($R23="","",$R23*10)</f>
        <v>4</v>
      </c>
      <c r="T23" s="28" t="n">
        <f aca="false">IF(OR($Q23="",$R23=""),"",$Q23*$R23/100)</f>
        <v>0.00632034699214796</v>
      </c>
      <c r="U23" s="29" t="n">
        <f aca="false">IF(OR($T23="",$F23=""),"",$T23*$F23)</f>
        <v>0.00632034699214796</v>
      </c>
      <c r="V23" s="15" t="n">
        <f aca="false">IF($U23="","",$U23*10)</f>
        <v>0.0632034699214796</v>
      </c>
      <c r="W23" s="15" t="n">
        <f aca="false">IF(OR($V23="",$I23="",$J23="",$J23&lt;=$I23),"",$V23*MAX(0,MIN($J23,15)-MAX($I23,0))/($J23-$I23))</f>
        <v>0.0632034699214796</v>
      </c>
      <c r="X23" s="15" t="n">
        <f aca="false">IF(OR($V23="",$I23="",$J23="",$J23&lt;=$I23),"",$V23*MAX(0,MIN($J23,30)-MAX($I23,15))/($J23-$I23))</f>
        <v>0</v>
      </c>
      <c r="Y23" s="15" t="n">
        <f aca="false">IF(OR($V23="",$I23="",$J23="",$J23&lt;=$I23),"",$V23*MAX(0,MIN($J23,50)-MAX($I23,30))/($J23-$I23))</f>
        <v>0</v>
      </c>
      <c r="Z23" s="15" t="n">
        <f aca="false">IF(OR($V23="",$I23="",$J23="",$J23&lt;=$I23),"",$V23*MAX(0,MIN($J23,100)-MAX($I23,50))/($J23-$I23))</f>
        <v>0</v>
      </c>
      <c r="AA23" s="16" t="str">
        <f aca="false">IF($A23="","",IF(OR($C23="",$D23="",$D23&lt;=$C23),"CHECK: depths missing, or bottom not below top",IF(COUNTIFS($A$6:$A$205,$A23,$C$6:$C$205,$C23)&gt;1,"DUPLICATE slice",IF(COUNTIFS($A$6:$A$205,$A23,$C$6:$C$205,"&lt;"&amp;$D23,$D$6:$D$205,"&gt;"&amp;$C23)&gt;1,"OVERLAP with another slice",IF(AND($C23&gt;0,COUNTIFS($A$6:$A$205,$A23,$D$6:$D$205,$C23)=0),"GAP above this slice",IF(OR($G23="",$H23=""),"CHECK: Core ID not in Core Log, or its compaction / diameter missing",IF(AND(IF(COUNTIFS('2. Plot &amp; Core Log'!$B$6:$B$35,$A23,'2. Plot &amp; Core Log'!$L$6:$L$35,"&gt;0")=0,"",SUMIFS('2. Plot &amp; Core Log'!$L$6:$L$35,'2. Plot &amp; Core Log'!$B$6:$B$35,$A23))&lt;&gt;"",$D23&gt;IF(COUNTIFS('2. Plot &amp; Core Log'!$B$6:$B$35,$A23,'2. Plot &amp; Core Log'!$L$6:$L$35,"&gt;0")=0,"",SUMIFS('2. Plot &amp; Core Log'!$L$6:$L$35,'2. Plot &amp; Core Log'!$B$6:$B$35,$A23))),"CHECK: slice deeper than the core length on Sheet 2",IF(OR($M23="",$N23="",$O23=""),"AWAITING LAB (dry weight, carbon value or type)",IF(AND(UPPER($O23)&lt;&gt;"OC",UPPER($O23)&lt;&gt;"LOI"),IF(UPPER($O23)="TC","TC is not organic carbon — ask the lab for OC or IC","CHECK: type must be OC, TC or LOI"),IF($R23="",IF(AND(LOI_INTERCEPT&lt;&gt;"",LOI_SLOPE&lt;&gt;""),"CHECK: LOI below the range of the conversion equation (OC would be &lt; 0)","CHECK: LOI conversion not set (Instructions tab)"),IF(OR($Q23&lt;=0,$Q23&gt;2.65,$R23&gt;50),"CHECK: bulk density outside 0–2.65 g/cm3 or OC &gt; 50%","OK")))))))))))</f>
        <v>OK</v>
      </c>
    </row>
    <row r="24" customFormat="false" ht="15.75" hidden="false" customHeight="true" outlineLevel="0" collapsed="false">
      <c r="A24" s="14" t="s">
        <v>105</v>
      </c>
      <c r="B24" s="14" t="n">
        <v>4</v>
      </c>
      <c r="C24" s="24" t="n">
        <v>3</v>
      </c>
      <c r="D24" s="24" t="n">
        <v>4</v>
      </c>
      <c r="E24" s="14" t="s">
        <v>138</v>
      </c>
      <c r="F24" s="16" t="n">
        <f aca="false">IF(OR($C24="",$D24=""),"",$D24-$C24)</f>
        <v>1</v>
      </c>
      <c r="G24" s="25" t="n">
        <f aca="false">IF($A24="","",IFERROR(INDEX('2. Plot &amp; Core Log'!$M$6:$M$35,MATCH($A24,'2. Plot &amp; Core Log'!$B$6:$B$35,0)),""))</f>
        <v>1</v>
      </c>
      <c r="H24" s="26" t="n">
        <f aca="false">IF($A24="","",IFERROR(INDEX('2. Plot &amp; Core Log'!$S$6:$S$35,MATCH($A24,'2. Plot &amp; Core Log'!$B$6:$B$35,0)),""))</f>
        <v>7.6</v>
      </c>
      <c r="I24" s="16" t="n">
        <f aca="false">IF(OR($C24="",$G24=""),"",$C24*$G24)</f>
        <v>3</v>
      </c>
      <c r="J24" s="16" t="n">
        <f aca="false">IF(OR($D24="",$G24=""),"",$D24*$G24)</f>
        <v>4</v>
      </c>
      <c r="K24" s="16" t="n">
        <f aca="false">IF(OR($F24="",$H24=""),"",PI()*(($H24/2)^2)*$F24)</f>
        <v>45.3645979178366</v>
      </c>
      <c r="L24" s="27"/>
      <c r="M24" s="27" t="n">
        <v>73.94</v>
      </c>
      <c r="N24" s="27" t="n">
        <v>0.4</v>
      </c>
      <c r="O24" s="27" t="s">
        <v>32</v>
      </c>
      <c r="P24" s="16" t="str">
        <f aca="false">IF(OR($L24="",$M24="",$L24=0),"",(($L24-$M24)/$L24)*100)</f>
        <v/>
      </c>
      <c r="Q24" s="15" t="n">
        <f aca="false">IF(OR($M24="",$K24="",$K24=0),"",$M24/$K24)</f>
        <v>1.62990533133168</v>
      </c>
      <c r="R24" s="15" t="n">
        <f aca="false">IF(OR($N24="",$O24=""),"",IF(UPPER($O24)="OC",$N24,IF(UPPER($O24)="LOI",IF(OR(LOI_INTERCEPT="",LOI_SLOPE=""),"",IF(LOI_INTERCEPT+LOI_SLOPE*$N24&lt;0,"",LOI_INTERCEPT+LOI_SLOPE*$N24)),"")))</f>
        <v>0.4</v>
      </c>
      <c r="S24" s="18" t="n">
        <f aca="false">IF($R24="","",$R24*10)</f>
        <v>4</v>
      </c>
      <c r="T24" s="28" t="n">
        <f aca="false">IF(OR($Q24="",$R24=""),"",$Q24*$R24/100)</f>
        <v>0.00651962132532673</v>
      </c>
      <c r="U24" s="29" t="n">
        <f aca="false">IF(OR($T24="",$F24=""),"",$T24*$F24)</f>
        <v>0.00651962132532673</v>
      </c>
      <c r="V24" s="15" t="n">
        <f aca="false">IF($U24="","",$U24*10)</f>
        <v>0.0651962132532673</v>
      </c>
      <c r="W24" s="15" t="n">
        <f aca="false">IF(OR($V24="",$I24="",$J24="",$J24&lt;=$I24),"",$V24*MAX(0,MIN($J24,15)-MAX($I24,0))/($J24-$I24))</f>
        <v>0.0651962132532673</v>
      </c>
      <c r="X24" s="15" t="n">
        <f aca="false">IF(OR($V24="",$I24="",$J24="",$J24&lt;=$I24),"",$V24*MAX(0,MIN($J24,30)-MAX($I24,15))/($J24-$I24))</f>
        <v>0</v>
      </c>
      <c r="Y24" s="15" t="n">
        <f aca="false">IF(OR($V24="",$I24="",$J24="",$J24&lt;=$I24),"",$V24*MAX(0,MIN($J24,50)-MAX($I24,30))/($J24-$I24))</f>
        <v>0</v>
      </c>
      <c r="Z24" s="15" t="n">
        <f aca="false">IF(OR($V24="",$I24="",$J24="",$J24&lt;=$I24),"",$V24*MAX(0,MIN($J24,100)-MAX($I24,50))/($J24-$I24))</f>
        <v>0</v>
      </c>
      <c r="AA24" s="16" t="str">
        <f aca="false">IF($A24="","",IF(OR($C24="",$D24="",$D24&lt;=$C24),"CHECK: depths missing, or bottom not below top",IF(COUNTIFS($A$6:$A$205,$A24,$C$6:$C$205,$C24)&gt;1,"DUPLICATE slice",IF(COUNTIFS($A$6:$A$205,$A24,$C$6:$C$205,"&lt;"&amp;$D24,$D$6:$D$205,"&gt;"&amp;$C24)&gt;1,"OVERLAP with another slice",IF(AND($C24&gt;0,COUNTIFS($A$6:$A$205,$A24,$D$6:$D$205,$C24)=0),"GAP above this slice",IF(OR($G24="",$H24=""),"CHECK: Core ID not in Core Log, or its compaction / diameter missing",IF(AND(IF(COUNTIFS('2. Plot &amp; Core Log'!$B$6:$B$35,$A24,'2. Plot &amp; Core Log'!$L$6:$L$35,"&gt;0")=0,"",SUMIFS('2. Plot &amp; Core Log'!$L$6:$L$35,'2. Plot &amp; Core Log'!$B$6:$B$35,$A24))&lt;&gt;"",$D24&gt;IF(COUNTIFS('2. Plot &amp; Core Log'!$B$6:$B$35,$A24,'2. Plot &amp; Core Log'!$L$6:$L$35,"&gt;0")=0,"",SUMIFS('2. Plot &amp; Core Log'!$L$6:$L$35,'2. Plot &amp; Core Log'!$B$6:$B$35,$A24))),"CHECK: slice deeper than the core length on Sheet 2",IF(OR($M24="",$N24="",$O24=""),"AWAITING LAB (dry weight, carbon value or type)",IF(AND(UPPER($O24)&lt;&gt;"OC",UPPER($O24)&lt;&gt;"LOI"),IF(UPPER($O24)="TC","TC is not organic carbon — ask the lab for OC or IC","CHECK: type must be OC, TC or LOI"),IF($R24="",IF(AND(LOI_INTERCEPT&lt;&gt;"",LOI_SLOPE&lt;&gt;""),"CHECK: LOI below the range of the conversion equation (OC would be &lt; 0)","CHECK: LOI conversion not set (Instructions tab)"),IF(OR($Q24&lt;=0,$Q24&gt;2.65,$R24&gt;50),"CHECK: bulk density outside 0–2.65 g/cm3 or OC &gt; 50%","OK")))))))))))</f>
        <v>OK</v>
      </c>
    </row>
    <row r="25" customFormat="false" ht="15.75" hidden="false" customHeight="true" outlineLevel="0" collapsed="false">
      <c r="A25" s="14" t="s">
        <v>105</v>
      </c>
      <c r="B25" s="14" t="n">
        <v>5</v>
      </c>
      <c r="C25" s="24" t="n">
        <v>4</v>
      </c>
      <c r="D25" s="24" t="n">
        <v>5</v>
      </c>
      <c r="E25" s="14" t="s">
        <v>138</v>
      </c>
      <c r="F25" s="16" t="n">
        <f aca="false">IF(OR($C25="",$D25=""),"",$D25-$C25)</f>
        <v>1</v>
      </c>
      <c r="G25" s="25" t="n">
        <f aca="false">IF($A25="","",IFERROR(INDEX('2. Plot &amp; Core Log'!$M$6:$M$35,MATCH($A25,'2. Plot &amp; Core Log'!$B$6:$B$35,0)),""))</f>
        <v>1</v>
      </c>
      <c r="H25" s="26" t="n">
        <f aca="false">IF($A25="","",IFERROR(INDEX('2. Plot &amp; Core Log'!$S$6:$S$35,MATCH($A25,'2. Plot &amp; Core Log'!$B$6:$B$35,0)),""))</f>
        <v>7.6</v>
      </c>
      <c r="I25" s="16" t="n">
        <f aca="false">IF(OR($C25="",$G25=""),"",$C25*$G25)</f>
        <v>4</v>
      </c>
      <c r="J25" s="16" t="n">
        <f aca="false">IF(OR($D25="",$G25=""),"",$D25*$G25)</f>
        <v>5</v>
      </c>
      <c r="K25" s="16" t="n">
        <f aca="false">IF(OR($F25="",$H25=""),"",PI()*(($H25/2)^2)*$F25)</f>
        <v>45.3645979178366</v>
      </c>
      <c r="L25" s="27"/>
      <c r="M25" s="27" t="n">
        <v>75.76</v>
      </c>
      <c r="N25" s="27" t="n">
        <v>0.4</v>
      </c>
      <c r="O25" s="27" t="s">
        <v>32</v>
      </c>
      <c r="P25" s="16" t="str">
        <f aca="false">IF(OR($L25="",$M25="",$L25=0),"",(($L25-$M25)/$L25)*100)</f>
        <v/>
      </c>
      <c r="Q25" s="15" t="n">
        <f aca="false">IF(OR($M25="",$K25="",$K25=0),"",$M25/$K25)</f>
        <v>1.67002472141856</v>
      </c>
      <c r="R25" s="15" t="n">
        <f aca="false">IF(OR($N25="",$O25=""),"",IF(UPPER($O25)="OC",$N25,IF(UPPER($O25)="LOI",IF(OR(LOI_INTERCEPT="",LOI_SLOPE=""),"",IF(LOI_INTERCEPT+LOI_SLOPE*$N25&lt;0,"",LOI_INTERCEPT+LOI_SLOPE*$N25)),"")))</f>
        <v>0.4</v>
      </c>
      <c r="S25" s="18" t="n">
        <f aca="false">IF($R25="","",$R25*10)</f>
        <v>4</v>
      </c>
      <c r="T25" s="28" t="n">
        <f aca="false">IF(OR($Q25="",$R25=""),"",$Q25*$R25/100)</f>
        <v>0.00668009888567423</v>
      </c>
      <c r="U25" s="29" t="n">
        <f aca="false">IF(OR($T25="",$F25=""),"",$T25*$F25)</f>
        <v>0.00668009888567423</v>
      </c>
      <c r="V25" s="15" t="n">
        <f aca="false">IF($U25="","",$U25*10)</f>
        <v>0.0668009888567424</v>
      </c>
      <c r="W25" s="15" t="n">
        <f aca="false">IF(OR($V25="",$I25="",$J25="",$J25&lt;=$I25),"",$V25*MAX(0,MIN($J25,15)-MAX($I25,0))/($J25-$I25))</f>
        <v>0.0668009888567424</v>
      </c>
      <c r="X25" s="15" t="n">
        <f aca="false">IF(OR($V25="",$I25="",$J25="",$J25&lt;=$I25),"",$V25*MAX(0,MIN($J25,30)-MAX($I25,15))/($J25-$I25))</f>
        <v>0</v>
      </c>
      <c r="Y25" s="15" t="n">
        <f aca="false">IF(OR($V25="",$I25="",$J25="",$J25&lt;=$I25),"",$V25*MAX(0,MIN($J25,50)-MAX($I25,30))/($J25-$I25))</f>
        <v>0</v>
      </c>
      <c r="Z25" s="15" t="n">
        <f aca="false">IF(OR($V25="",$I25="",$J25="",$J25&lt;=$I25),"",$V25*MAX(0,MIN($J25,100)-MAX($I25,50))/($J25-$I25))</f>
        <v>0</v>
      </c>
      <c r="AA25" s="16" t="str">
        <f aca="false">IF($A25="","",IF(OR($C25="",$D25="",$D25&lt;=$C25),"CHECK: depths missing, or bottom not below top",IF(COUNTIFS($A$6:$A$205,$A25,$C$6:$C$205,$C25)&gt;1,"DUPLICATE slice",IF(COUNTIFS($A$6:$A$205,$A25,$C$6:$C$205,"&lt;"&amp;$D25,$D$6:$D$205,"&gt;"&amp;$C25)&gt;1,"OVERLAP with another slice",IF(AND($C25&gt;0,COUNTIFS($A$6:$A$205,$A25,$D$6:$D$205,$C25)=0),"GAP above this slice",IF(OR($G25="",$H25=""),"CHECK: Core ID not in Core Log, or its compaction / diameter missing",IF(AND(IF(COUNTIFS('2. Plot &amp; Core Log'!$B$6:$B$35,$A25,'2. Plot &amp; Core Log'!$L$6:$L$35,"&gt;0")=0,"",SUMIFS('2. Plot &amp; Core Log'!$L$6:$L$35,'2. Plot &amp; Core Log'!$B$6:$B$35,$A25))&lt;&gt;"",$D25&gt;IF(COUNTIFS('2. Plot &amp; Core Log'!$B$6:$B$35,$A25,'2. Plot &amp; Core Log'!$L$6:$L$35,"&gt;0")=0,"",SUMIFS('2. Plot &amp; Core Log'!$L$6:$L$35,'2. Plot &amp; Core Log'!$B$6:$B$35,$A25))),"CHECK: slice deeper than the core length on Sheet 2",IF(OR($M25="",$N25="",$O25=""),"AWAITING LAB (dry weight, carbon value or type)",IF(AND(UPPER($O25)&lt;&gt;"OC",UPPER($O25)&lt;&gt;"LOI"),IF(UPPER($O25)="TC","TC is not organic carbon — ask the lab for OC or IC","CHECK: type must be OC, TC or LOI"),IF($R25="",IF(AND(LOI_INTERCEPT&lt;&gt;"",LOI_SLOPE&lt;&gt;""),"CHECK: LOI below the range of the conversion equation (OC would be &lt; 0)","CHECK: LOI conversion not set (Instructions tab)"),IF(OR($Q25&lt;=0,$Q25&gt;2.65,$R25&gt;50),"CHECK: bulk density outside 0–2.65 g/cm3 or OC &gt; 50%","OK")))))))))))</f>
        <v>OK</v>
      </c>
    </row>
    <row r="26" customFormat="false" ht="15.75" hidden="false" customHeight="true" outlineLevel="0" collapsed="false">
      <c r="A26" s="14" t="s">
        <v>105</v>
      </c>
      <c r="B26" s="14" t="n">
        <v>6</v>
      </c>
      <c r="C26" s="24" t="n">
        <v>5</v>
      </c>
      <c r="D26" s="24" t="n">
        <v>6</v>
      </c>
      <c r="E26" s="14" t="s">
        <v>139</v>
      </c>
      <c r="F26" s="16" t="n">
        <f aca="false">IF(OR($C26="",$D26=""),"",$D26-$C26)</f>
        <v>1</v>
      </c>
      <c r="G26" s="25" t="n">
        <f aca="false">IF($A26="","",IFERROR(INDEX('2. Plot &amp; Core Log'!$M$6:$M$35,MATCH($A26,'2. Plot &amp; Core Log'!$B$6:$B$35,0)),""))</f>
        <v>1</v>
      </c>
      <c r="H26" s="26" t="n">
        <f aca="false">IF($A26="","",IFERROR(INDEX('2. Plot &amp; Core Log'!$S$6:$S$35,MATCH($A26,'2. Plot &amp; Core Log'!$B$6:$B$35,0)),""))</f>
        <v>7.6</v>
      </c>
      <c r="I26" s="16" t="n">
        <f aca="false">IF(OR($C26="",$G26=""),"",$C26*$G26)</f>
        <v>5</v>
      </c>
      <c r="J26" s="16" t="n">
        <f aca="false">IF(OR($D26="",$G26=""),"",$D26*$G26)</f>
        <v>6</v>
      </c>
      <c r="K26" s="16" t="n">
        <f aca="false">IF(OR($F26="",$H26=""),"",PI()*(($H26/2)^2)*$F26)</f>
        <v>45.3645979178366</v>
      </c>
      <c r="L26" s="27"/>
      <c r="M26" s="27" t="n">
        <v>66.69</v>
      </c>
      <c r="N26" s="27" t="n">
        <v>2.1</v>
      </c>
      <c r="O26" s="27" t="s">
        <v>36</v>
      </c>
      <c r="P26" s="16" t="str">
        <f aca="false">IF(OR($L26="",$M26="",$L26=0),"",(($L26-$M26)/$L26)*100)</f>
        <v/>
      </c>
      <c r="Q26" s="15" t="n">
        <f aca="false">IF(OR($M26="",$K26="",$K26=0),"",$M26/$K26)</f>
        <v>1.47008907961198</v>
      </c>
      <c r="R26" s="15" t="n">
        <f aca="false">IF(OR($N26="",$O26=""),"",IF(UPPER($O26)="OC",$N26,IF(UPPER($O26)="LOI",IF(OR(LOI_INTERCEPT="",LOI_SLOPE=""),"",IF(LOI_INTERCEPT+LOI_SLOPE*$N26&lt;0,"",LOI_INTERCEPT+LOI_SLOPE*$N26)),"")))</f>
        <v>0.475</v>
      </c>
      <c r="S26" s="18" t="n">
        <f aca="false">IF($R26="","",$R26*10)</f>
        <v>4.75</v>
      </c>
      <c r="T26" s="28" t="n">
        <f aca="false">IF(OR($Q26="",$R26=""),"",$Q26*$R26/100)</f>
        <v>0.00698292312815691</v>
      </c>
      <c r="U26" s="29" t="n">
        <f aca="false">IF(OR($T26="",$F26=""),"",$T26*$F26)</f>
        <v>0.00698292312815691</v>
      </c>
      <c r="V26" s="15" t="n">
        <f aca="false">IF($U26="","",$U26*10)</f>
        <v>0.0698292312815691</v>
      </c>
      <c r="W26" s="15" t="n">
        <f aca="false">IF(OR($V26="",$I26="",$J26="",$J26&lt;=$I26),"",$V26*MAX(0,MIN($J26,15)-MAX($I26,0))/($J26-$I26))</f>
        <v>0.0698292312815691</v>
      </c>
      <c r="X26" s="15" t="n">
        <f aca="false">IF(OR($V26="",$I26="",$J26="",$J26&lt;=$I26),"",$V26*MAX(0,MIN($J26,30)-MAX($I26,15))/($J26-$I26))</f>
        <v>0</v>
      </c>
      <c r="Y26" s="15" t="n">
        <f aca="false">IF(OR($V26="",$I26="",$J26="",$J26&lt;=$I26),"",$V26*MAX(0,MIN($J26,50)-MAX($I26,30))/($J26-$I26))</f>
        <v>0</v>
      </c>
      <c r="Z26" s="15" t="n">
        <f aca="false">IF(OR($V26="",$I26="",$J26="",$J26&lt;=$I26),"",$V26*MAX(0,MIN($J26,100)-MAX($I26,50))/($J26-$I26))</f>
        <v>0</v>
      </c>
      <c r="AA26" s="16" t="str">
        <f aca="false">IF($A26="","",IF(OR($C26="",$D26="",$D26&lt;=$C26),"CHECK: depths missing, or bottom not below top",IF(COUNTIFS($A$6:$A$205,$A26,$C$6:$C$205,$C26)&gt;1,"DUPLICATE slice",IF(COUNTIFS($A$6:$A$205,$A26,$C$6:$C$205,"&lt;"&amp;$D26,$D$6:$D$205,"&gt;"&amp;$C26)&gt;1,"OVERLAP with another slice",IF(AND($C26&gt;0,COUNTIFS($A$6:$A$205,$A26,$D$6:$D$205,$C26)=0),"GAP above this slice",IF(OR($G26="",$H26=""),"CHECK: Core ID not in Core Log, or its compaction / diameter missing",IF(AND(IF(COUNTIFS('2. Plot &amp; Core Log'!$B$6:$B$35,$A26,'2. Plot &amp; Core Log'!$L$6:$L$35,"&gt;0")=0,"",SUMIFS('2. Plot &amp; Core Log'!$L$6:$L$35,'2. Plot &amp; Core Log'!$B$6:$B$35,$A26))&lt;&gt;"",$D26&gt;IF(COUNTIFS('2. Plot &amp; Core Log'!$B$6:$B$35,$A26,'2. Plot &amp; Core Log'!$L$6:$L$35,"&gt;0")=0,"",SUMIFS('2. Plot &amp; Core Log'!$L$6:$L$35,'2. Plot &amp; Core Log'!$B$6:$B$35,$A26))),"CHECK: slice deeper than the core length on Sheet 2",IF(OR($M26="",$N26="",$O26=""),"AWAITING LAB (dry weight, carbon value or type)",IF(AND(UPPER($O26)&lt;&gt;"OC",UPPER($O26)&lt;&gt;"LOI"),IF(UPPER($O26)="TC","TC is not organic carbon — ask the lab for OC or IC","CHECK: type must be OC, TC or LOI"),IF($R26="",IF(AND(LOI_INTERCEPT&lt;&gt;"",LOI_SLOPE&lt;&gt;""),"CHECK: LOI below the range of the conversion equation (OC would be &lt; 0)","CHECK: LOI conversion not set (Instructions tab)"),IF(OR($Q26&lt;=0,$Q26&gt;2.65,$R26&gt;50),"CHECK: bulk density outside 0–2.65 g/cm3 or OC &gt; 50%","OK")))))))))))</f>
        <v>OK</v>
      </c>
    </row>
    <row r="27" customFormat="false" ht="15.75" hidden="false" customHeight="true" outlineLevel="0" collapsed="false">
      <c r="A27" s="14" t="s">
        <v>105</v>
      </c>
      <c r="B27" s="14" t="n">
        <v>7</v>
      </c>
      <c r="C27" s="24" t="n">
        <v>6</v>
      </c>
      <c r="D27" s="24" t="n">
        <v>7</v>
      </c>
      <c r="E27" s="14" t="s">
        <v>138</v>
      </c>
      <c r="F27" s="16" t="n">
        <f aca="false">IF(OR($C27="",$D27=""),"",$D27-$C27)</f>
        <v>1</v>
      </c>
      <c r="G27" s="25" t="n">
        <f aca="false">IF($A27="","",IFERROR(INDEX('2. Plot &amp; Core Log'!$M$6:$M$35,MATCH($A27,'2. Plot &amp; Core Log'!$B$6:$B$35,0)),""))</f>
        <v>1</v>
      </c>
      <c r="H27" s="26" t="n">
        <f aca="false">IF($A27="","",IFERROR(INDEX('2. Plot &amp; Core Log'!$S$6:$S$35,MATCH($A27,'2. Plot &amp; Core Log'!$B$6:$B$35,0)),""))</f>
        <v>7.6</v>
      </c>
      <c r="I27" s="16" t="n">
        <f aca="false">IF(OR($C27="",$G27=""),"",$C27*$G27)</f>
        <v>6</v>
      </c>
      <c r="J27" s="16" t="n">
        <f aca="false">IF(OR($D27="",$G27=""),"",$D27*$G27)</f>
        <v>7</v>
      </c>
      <c r="K27" s="16" t="n">
        <f aca="false">IF(OR($F27="",$H27=""),"",PI()*(($H27/2)^2)*$F27)</f>
        <v>45.3645979178366</v>
      </c>
      <c r="L27" s="27"/>
      <c r="M27" s="27" t="n">
        <v>70.77</v>
      </c>
      <c r="N27" s="27" t="n">
        <v>0.5</v>
      </c>
      <c r="O27" s="27" t="s">
        <v>32</v>
      </c>
      <c r="P27" s="16" t="str">
        <f aca="false">IF(OR($L27="",$M27="",$L27=0),"",(($L27-$M27)/$L27)*100)</f>
        <v/>
      </c>
      <c r="Q27" s="15" t="n">
        <f aca="false">IF(OR($M27="",$K27="",$K27=0),"",$M27/$K27)</f>
        <v>1.56002705299355</v>
      </c>
      <c r="R27" s="15" t="n">
        <f aca="false">IF(OR($N27="",$O27=""),"",IF(UPPER($O27)="OC",$N27,IF(UPPER($O27)="LOI",IF(OR(LOI_INTERCEPT="",LOI_SLOPE=""),"",IF(LOI_INTERCEPT+LOI_SLOPE*$N27&lt;0,"",LOI_INTERCEPT+LOI_SLOPE*$N27)),"")))</f>
        <v>0.5</v>
      </c>
      <c r="S27" s="18" t="n">
        <f aca="false">IF($R27="","",$R27*10)</f>
        <v>5</v>
      </c>
      <c r="T27" s="28" t="n">
        <f aca="false">IF(OR($Q27="",$R27=""),"",$Q27*$R27/100)</f>
        <v>0.00780013526496775</v>
      </c>
      <c r="U27" s="29" t="n">
        <f aca="false">IF(OR($T27="",$F27=""),"",$T27*$F27)</f>
        <v>0.00780013526496775</v>
      </c>
      <c r="V27" s="15" t="n">
        <f aca="false">IF($U27="","",$U27*10)</f>
        <v>0.0780013526496775</v>
      </c>
      <c r="W27" s="15" t="n">
        <f aca="false">IF(OR($V27="",$I27="",$J27="",$J27&lt;=$I27),"",$V27*MAX(0,MIN($J27,15)-MAX($I27,0))/($J27-$I27))</f>
        <v>0.0780013526496775</v>
      </c>
      <c r="X27" s="15" t="n">
        <f aca="false">IF(OR($V27="",$I27="",$J27="",$J27&lt;=$I27),"",$V27*MAX(0,MIN($J27,30)-MAX($I27,15))/($J27-$I27))</f>
        <v>0</v>
      </c>
      <c r="Y27" s="15" t="n">
        <f aca="false">IF(OR($V27="",$I27="",$J27="",$J27&lt;=$I27),"",$V27*MAX(0,MIN($J27,50)-MAX($I27,30))/($J27-$I27))</f>
        <v>0</v>
      </c>
      <c r="Z27" s="15" t="n">
        <f aca="false">IF(OR($V27="",$I27="",$J27="",$J27&lt;=$I27),"",$V27*MAX(0,MIN($J27,100)-MAX($I27,50))/($J27-$I27))</f>
        <v>0</v>
      </c>
      <c r="AA27" s="16" t="str">
        <f aca="false">IF($A27="","",IF(OR($C27="",$D27="",$D27&lt;=$C27),"CHECK: depths missing, or bottom not below top",IF(COUNTIFS($A$6:$A$205,$A27,$C$6:$C$205,$C27)&gt;1,"DUPLICATE slice",IF(COUNTIFS($A$6:$A$205,$A27,$C$6:$C$205,"&lt;"&amp;$D27,$D$6:$D$205,"&gt;"&amp;$C27)&gt;1,"OVERLAP with another slice",IF(AND($C27&gt;0,COUNTIFS($A$6:$A$205,$A27,$D$6:$D$205,$C27)=0),"GAP above this slice",IF(OR($G27="",$H27=""),"CHECK: Core ID not in Core Log, or its compaction / diameter missing",IF(AND(IF(COUNTIFS('2. Plot &amp; Core Log'!$B$6:$B$35,$A27,'2. Plot &amp; Core Log'!$L$6:$L$35,"&gt;0")=0,"",SUMIFS('2. Plot &amp; Core Log'!$L$6:$L$35,'2. Plot &amp; Core Log'!$B$6:$B$35,$A27))&lt;&gt;"",$D27&gt;IF(COUNTIFS('2. Plot &amp; Core Log'!$B$6:$B$35,$A27,'2. Plot &amp; Core Log'!$L$6:$L$35,"&gt;0")=0,"",SUMIFS('2. Plot &amp; Core Log'!$L$6:$L$35,'2. Plot &amp; Core Log'!$B$6:$B$35,$A27))),"CHECK: slice deeper than the core length on Sheet 2",IF(OR($M27="",$N27="",$O27=""),"AWAITING LAB (dry weight, carbon value or type)",IF(AND(UPPER($O27)&lt;&gt;"OC",UPPER($O27)&lt;&gt;"LOI"),IF(UPPER($O27)="TC","TC is not organic carbon — ask the lab for OC or IC","CHECK: type must be OC, TC or LOI"),IF($R27="",IF(AND(LOI_INTERCEPT&lt;&gt;"",LOI_SLOPE&lt;&gt;""),"CHECK: LOI below the range of the conversion equation (OC would be &lt; 0)","CHECK: LOI conversion not set (Instructions tab)"),IF(OR($Q27&lt;=0,$Q27&gt;2.65,$R27&gt;50),"CHECK: bulk density outside 0–2.65 g/cm3 or OC &gt; 50%","OK")))))))))))</f>
        <v>OK</v>
      </c>
    </row>
    <row r="28" customFormat="false" ht="15.75" hidden="false" customHeight="true" outlineLevel="0" collapsed="false">
      <c r="A28" s="14" t="s">
        <v>105</v>
      </c>
      <c r="B28" s="14" t="n">
        <v>8</v>
      </c>
      <c r="C28" s="24" t="n">
        <v>7</v>
      </c>
      <c r="D28" s="24" t="n">
        <v>8</v>
      </c>
      <c r="E28" s="14" t="s">
        <v>138</v>
      </c>
      <c r="F28" s="16" t="n">
        <f aca="false">IF(OR($C28="",$D28=""),"",$D28-$C28)</f>
        <v>1</v>
      </c>
      <c r="G28" s="25" t="n">
        <f aca="false">IF($A28="","",IFERROR(INDEX('2. Plot &amp; Core Log'!$M$6:$M$35,MATCH($A28,'2. Plot &amp; Core Log'!$B$6:$B$35,0)),""))</f>
        <v>1</v>
      </c>
      <c r="H28" s="26" t="n">
        <f aca="false">IF($A28="","",IFERROR(INDEX('2. Plot &amp; Core Log'!$S$6:$S$35,MATCH($A28,'2. Plot &amp; Core Log'!$B$6:$B$35,0)),""))</f>
        <v>7.6</v>
      </c>
      <c r="I28" s="16" t="n">
        <f aca="false">IF(OR($C28="",$G28=""),"",$C28*$G28)</f>
        <v>7</v>
      </c>
      <c r="J28" s="16" t="n">
        <f aca="false">IF(OR($D28="",$G28=""),"",$D28*$G28)</f>
        <v>8</v>
      </c>
      <c r="K28" s="16" t="n">
        <f aca="false">IF(OR($F28="",$H28=""),"",PI()*(($H28/2)^2)*$F28)</f>
        <v>45.3645979178366</v>
      </c>
      <c r="L28" s="27"/>
      <c r="M28" s="27" t="n">
        <v>71.22</v>
      </c>
      <c r="N28" s="27" t="n">
        <v>0.7</v>
      </c>
      <c r="O28" s="27" t="s">
        <v>32</v>
      </c>
      <c r="P28" s="16" t="str">
        <f aca="false">IF(OR($L28="",$M28="",$L28=0),"",(($L28-$M28)/$L28)*100)</f>
        <v/>
      </c>
      <c r="Q28" s="15" t="n">
        <f aca="false">IF(OR($M28="",$K28="",$K28=0),"",$M28/$K28)</f>
        <v>1.56994668241064</v>
      </c>
      <c r="R28" s="15" t="n">
        <f aca="false">IF(OR($N28="",$O28=""),"",IF(UPPER($O28)="OC",$N28,IF(UPPER($O28)="LOI",IF(OR(LOI_INTERCEPT="",LOI_SLOPE=""),"",IF(LOI_INTERCEPT+LOI_SLOPE*$N28&lt;0,"",LOI_INTERCEPT+LOI_SLOPE*$N28)),"")))</f>
        <v>0.7</v>
      </c>
      <c r="S28" s="18" t="n">
        <f aca="false">IF($R28="","",$R28*10)</f>
        <v>7</v>
      </c>
      <c r="T28" s="28" t="n">
        <f aca="false">IF(OR($Q28="",$R28=""),"",$Q28*$R28/100)</f>
        <v>0.0109896267768744</v>
      </c>
      <c r="U28" s="29" t="n">
        <f aca="false">IF(OR($T28="",$F28=""),"",$T28*$F28)</f>
        <v>0.0109896267768744</v>
      </c>
      <c r="V28" s="15" t="n">
        <f aca="false">IF($U28="","",$U28*10)</f>
        <v>0.109896267768744</v>
      </c>
      <c r="W28" s="15" t="n">
        <f aca="false">IF(OR($V28="",$I28="",$J28="",$J28&lt;=$I28),"",$V28*MAX(0,MIN($J28,15)-MAX($I28,0))/($J28-$I28))</f>
        <v>0.109896267768744</v>
      </c>
      <c r="X28" s="15" t="n">
        <f aca="false">IF(OR($V28="",$I28="",$J28="",$J28&lt;=$I28),"",$V28*MAX(0,MIN($J28,30)-MAX($I28,15))/($J28-$I28))</f>
        <v>0</v>
      </c>
      <c r="Y28" s="15" t="n">
        <f aca="false">IF(OR($V28="",$I28="",$J28="",$J28&lt;=$I28),"",$V28*MAX(0,MIN($J28,50)-MAX($I28,30))/($J28-$I28))</f>
        <v>0</v>
      </c>
      <c r="Z28" s="15" t="n">
        <f aca="false">IF(OR($V28="",$I28="",$J28="",$J28&lt;=$I28),"",$V28*MAX(0,MIN($J28,100)-MAX($I28,50))/($J28-$I28))</f>
        <v>0</v>
      </c>
      <c r="AA28" s="16" t="str">
        <f aca="false">IF($A28="","",IF(OR($C28="",$D28="",$D28&lt;=$C28),"CHECK: depths missing, or bottom not below top",IF(COUNTIFS($A$6:$A$205,$A28,$C$6:$C$205,$C28)&gt;1,"DUPLICATE slice",IF(COUNTIFS($A$6:$A$205,$A28,$C$6:$C$205,"&lt;"&amp;$D28,$D$6:$D$205,"&gt;"&amp;$C28)&gt;1,"OVERLAP with another slice",IF(AND($C28&gt;0,COUNTIFS($A$6:$A$205,$A28,$D$6:$D$205,$C28)=0),"GAP above this slice",IF(OR($G28="",$H28=""),"CHECK: Core ID not in Core Log, or its compaction / diameter missing",IF(AND(IF(COUNTIFS('2. Plot &amp; Core Log'!$B$6:$B$35,$A28,'2. Plot &amp; Core Log'!$L$6:$L$35,"&gt;0")=0,"",SUMIFS('2. Plot &amp; Core Log'!$L$6:$L$35,'2. Plot &amp; Core Log'!$B$6:$B$35,$A28))&lt;&gt;"",$D28&gt;IF(COUNTIFS('2. Plot &amp; Core Log'!$B$6:$B$35,$A28,'2. Plot &amp; Core Log'!$L$6:$L$35,"&gt;0")=0,"",SUMIFS('2. Plot &amp; Core Log'!$L$6:$L$35,'2. Plot &amp; Core Log'!$B$6:$B$35,$A28))),"CHECK: slice deeper than the core length on Sheet 2",IF(OR($M28="",$N28="",$O28=""),"AWAITING LAB (dry weight, carbon value or type)",IF(AND(UPPER($O28)&lt;&gt;"OC",UPPER($O28)&lt;&gt;"LOI"),IF(UPPER($O28)="TC","TC is not organic carbon — ask the lab for OC or IC","CHECK: type must be OC, TC or LOI"),IF($R28="",IF(AND(LOI_INTERCEPT&lt;&gt;"",LOI_SLOPE&lt;&gt;""),"CHECK: LOI below the range of the conversion equation (OC would be &lt; 0)","CHECK: LOI conversion not set (Instructions tab)"),IF(OR($Q28&lt;=0,$Q28&gt;2.65,$R28&gt;50),"CHECK: bulk density outside 0–2.65 g/cm3 or OC &gt; 50%","OK")))))))))))</f>
        <v>OK</v>
      </c>
    </row>
    <row r="29" customFormat="false" ht="15.75" hidden="false" customHeight="true" outlineLevel="0" collapsed="false">
      <c r="A29" s="14" t="s">
        <v>105</v>
      </c>
      <c r="B29" s="14" t="n">
        <v>9</v>
      </c>
      <c r="C29" s="24" t="n">
        <v>8</v>
      </c>
      <c r="D29" s="24" t="n">
        <v>9</v>
      </c>
      <c r="E29" s="14" t="s">
        <v>138</v>
      </c>
      <c r="F29" s="16" t="n">
        <f aca="false">IF(OR($C29="",$D29=""),"",$D29-$C29)</f>
        <v>1</v>
      </c>
      <c r="G29" s="25" t="n">
        <f aca="false">IF($A29="","",IFERROR(INDEX('2. Plot &amp; Core Log'!$M$6:$M$35,MATCH($A29,'2. Plot &amp; Core Log'!$B$6:$B$35,0)),""))</f>
        <v>1</v>
      </c>
      <c r="H29" s="26" t="n">
        <f aca="false">IF($A29="","",IFERROR(INDEX('2. Plot &amp; Core Log'!$S$6:$S$35,MATCH($A29,'2. Plot &amp; Core Log'!$B$6:$B$35,0)),""))</f>
        <v>7.6</v>
      </c>
      <c r="I29" s="16" t="n">
        <f aca="false">IF(OR($C29="",$G29=""),"",$C29*$G29)</f>
        <v>8</v>
      </c>
      <c r="J29" s="16" t="n">
        <f aca="false">IF(OR($D29="",$G29=""),"",$D29*$G29)</f>
        <v>9</v>
      </c>
      <c r="K29" s="16" t="n">
        <f aca="false">IF(OR($F29="",$H29=""),"",PI()*(($H29/2)^2)*$F29)</f>
        <v>45.3645979178366</v>
      </c>
      <c r="L29" s="27"/>
      <c r="M29" s="27" t="n">
        <v>66.23</v>
      </c>
      <c r="N29" s="27" t="n">
        <v>0.4</v>
      </c>
      <c r="O29" s="27" t="s">
        <v>32</v>
      </c>
      <c r="P29" s="16" t="str">
        <f aca="false">IF(OR($L29="",$M29="",$L29=0),"",(($L29-$M29)/$L29)*100)</f>
        <v/>
      </c>
      <c r="Q29" s="15" t="n">
        <f aca="false">IF(OR($M29="",$K29="",$K29=0),"",$M29/$K29)</f>
        <v>1.45994901398563</v>
      </c>
      <c r="R29" s="15" t="n">
        <f aca="false">IF(OR($N29="",$O29=""),"",IF(UPPER($O29)="OC",$N29,IF(UPPER($O29)="LOI",IF(OR(LOI_INTERCEPT="",LOI_SLOPE=""),"",IF(LOI_INTERCEPT+LOI_SLOPE*$N29&lt;0,"",LOI_INTERCEPT+LOI_SLOPE*$N29)),"")))</f>
        <v>0.4</v>
      </c>
      <c r="S29" s="18" t="n">
        <f aca="false">IF($R29="","",$R29*10)</f>
        <v>4</v>
      </c>
      <c r="T29" s="28" t="n">
        <f aca="false">IF(OR($Q29="",$R29=""),"",$Q29*$R29/100)</f>
        <v>0.00583979605594251</v>
      </c>
      <c r="U29" s="29" t="n">
        <f aca="false">IF(OR($T29="",$F29=""),"",$T29*$F29)</f>
        <v>0.00583979605594251</v>
      </c>
      <c r="V29" s="15" t="n">
        <f aca="false">IF($U29="","",$U29*10)</f>
        <v>0.0583979605594251</v>
      </c>
      <c r="W29" s="15" t="n">
        <f aca="false">IF(OR($V29="",$I29="",$J29="",$J29&lt;=$I29),"",$V29*MAX(0,MIN($J29,15)-MAX($I29,0))/($J29-$I29))</f>
        <v>0.0583979605594251</v>
      </c>
      <c r="X29" s="15" t="n">
        <f aca="false">IF(OR($V29="",$I29="",$J29="",$J29&lt;=$I29),"",$V29*MAX(0,MIN($J29,30)-MAX($I29,15))/($J29-$I29))</f>
        <v>0</v>
      </c>
      <c r="Y29" s="15" t="n">
        <f aca="false">IF(OR($V29="",$I29="",$J29="",$J29&lt;=$I29),"",$V29*MAX(0,MIN($J29,50)-MAX($I29,30))/($J29-$I29))</f>
        <v>0</v>
      </c>
      <c r="Z29" s="15" t="n">
        <f aca="false">IF(OR($V29="",$I29="",$J29="",$J29&lt;=$I29),"",$V29*MAX(0,MIN($J29,100)-MAX($I29,50))/($J29-$I29))</f>
        <v>0</v>
      </c>
      <c r="AA29" s="16" t="str">
        <f aca="false">IF($A29="","",IF(OR($C29="",$D29="",$D29&lt;=$C29),"CHECK: depths missing, or bottom not below top",IF(COUNTIFS($A$6:$A$205,$A29,$C$6:$C$205,$C29)&gt;1,"DUPLICATE slice",IF(COUNTIFS($A$6:$A$205,$A29,$C$6:$C$205,"&lt;"&amp;$D29,$D$6:$D$205,"&gt;"&amp;$C29)&gt;1,"OVERLAP with another slice",IF(AND($C29&gt;0,COUNTIFS($A$6:$A$205,$A29,$D$6:$D$205,$C29)=0),"GAP above this slice",IF(OR($G29="",$H29=""),"CHECK: Core ID not in Core Log, or its compaction / diameter missing",IF(AND(IF(COUNTIFS('2. Plot &amp; Core Log'!$B$6:$B$35,$A29,'2. Plot &amp; Core Log'!$L$6:$L$35,"&gt;0")=0,"",SUMIFS('2. Plot &amp; Core Log'!$L$6:$L$35,'2. Plot &amp; Core Log'!$B$6:$B$35,$A29))&lt;&gt;"",$D29&gt;IF(COUNTIFS('2. Plot &amp; Core Log'!$B$6:$B$35,$A29,'2. Plot &amp; Core Log'!$L$6:$L$35,"&gt;0")=0,"",SUMIFS('2. Plot &amp; Core Log'!$L$6:$L$35,'2. Plot &amp; Core Log'!$B$6:$B$35,$A29))),"CHECK: slice deeper than the core length on Sheet 2",IF(OR($M29="",$N29="",$O29=""),"AWAITING LAB (dry weight, carbon value or type)",IF(AND(UPPER($O29)&lt;&gt;"OC",UPPER($O29)&lt;&gt;"LOI"),IF(UPPER($O29)="TC","TC is not organic carbon — ask the lab for OC or IC","CHECK: type must be OC, TC or LOI"),IF($R29="",IF(AND(LOI_INTERCEPT&lt;&gt;"",LOI_SLOPE&lt;&gt;""),"CHECK: LOI below the range of the conversion equation (OC would be &lt; 0)","CHECK: LOI conversion not set (Instructions tab)"),IF(OR($Q29&lt;=0,$Q29&gt;2.65,$R29&gt;50),"CHECK: bulk density outside 0–2.65 g/cm3 or OC &gt; 50%","OK")))))))))))</f>
        <v>OK</v>
      </c>
    </row>
    <row r="30" customFormat="false" ht="15.75" hidden="false" customHeight="true" outlineLevel="0" collapsed="false">
      <c r="A30" s="14" t="s">
        <v>105</v>
      </c>
      <c r="B30" s="14" t="n">
        <v>10</v>
      </c>
      <c r="C30" s="24" t="n">
        <v>9</v>
      </c>
      <c r="D30" s="24" t="n">
        <v>10</v>
      </c>
      <c r="E30" s="14" t="s">
        <v>138</v>
      </c>
      <c r="F30" s="16" t="n">
        <f aca="false">IF(OR($C30="",$D30=""),"",$D30-$C30)</f>
        <v>1</v>
      </c>
      <c r="G30" s="25" t="n">
        <f aca="false">IF($A30="","",IFERROR(INDEX('2. Plot &amp; Core Log'!$M$6:$M$35,MATCH($A30,'2. Plot &amp; Core Log'!$B$6:$B$35,0)),""))</f>
        <v>1</v>
      </c>
      <c r="H30" s="26" t="n">
        <f aca="false">IF($A30="","",IFERROR(INDEX('2. Plot &amp; Core Log'!$S$6:$S$35,MATCH($A30,'2. Plot &amp; Core Log'!$B$6:$B$35,0)),""))</f>
        <v>7.6</v>
      </c>
      <c r="I30" s="16" t="n">
        <f aca="false">IF(OR($C30="",$G30=""),"",$C30*$G30)</f>
        <v>9</v>
      </c>
      <c r="J30" s="16" t="n">
        <f aca="false">IF(OR($D30="",$G30=""),"",$D30*$G30)</f>
        <v>10</v>
      </c>
      <c r="K30" s="16" t="n">
        <f aca="false">IF(OR($F30="",$H30=""),"",PI()*(($H30/2)^2)*$F30)</f>
        <v>45.3645979178366</v>
      </c>
      <c r="L30" s="27"/>
      <c r="M30" s="27" t="n">
        <v>68.05</v>
      </c>
      <c r="N30" s="27" t="n">
        <v>0.4</v>
      </c>
      <c r="O30" s="27" t="s">
        <v>32</v>
      </c>
      <c r="P30" s="16" t="str">
        <f aca="false">IF(OR($L30="",$M30="",$L30=0),"",(($L30-$M30)/$L30)*100)</f>
        <v/>
      </c>
      <c r="Q30" s="15" t="n">
        <f aca="false">IF(OR($M30="",$K30="",$K30=0),"",$M30/$K30)</f>
        <v>1.5000684040725</v>
      </c>
      <c r="R30" s="15" t="n">
        <f aca="false">IF(OR($N30="",$O30=""),"",IF(UPPER($O30)="OC",$N30,IF(UPPER($O30)="LOI",IF(OR(LOI_INTERCEPT="",LOI_SLOPE=""),"",IF(LOI_INTERCEPT+LOI_SLOPE*$N30&lt;0,"",LOI_INTERCEPT+LOI_SLOPE*$N30)),"")))</f>
        <v>0.4</v>
      </c>
      <c r="S30" s="18" t="n">
        <f aca="false">IF($R30="","",$R30*10)</f>
        <v>4</v>
      </c>
      <c r="T30" s="28" t="n">
        <f aca="false">IF(OR($Q30="",$R30=""),"",$Q30*$R30/100)</f>
        <v>0.00600027361629002</v>
      </c>
      <c r="U30" s="29" t="n">
        <f aca="false">IF(OR($T30="",$F30=""),"",$T30*$F30)</f>
        <v>0.00600027361629002</v>
      </c>
      <c r="V30" s="15" t="n">
        <f aca="false">IF($U30="","",$U30*10)</f>
        <v>0.0600027361629002</v>
      </c>
      <c r="W30" s="15" t="n">
        <f aca="false">IF(OR($V30="",$I30="",$J30="",$J30&lt;=$I30),"",$V30*MAX(0,MIN($J30,15)-MAX($I30,0))/($J30-$I30))</f>
        <v>0.0600027361629002</v>
      </c>
      <c r="X30" s="15" t="n">
        <f aca="false">IF(OR($V30="",$I30="",$J30="",$J30&lt;=$I30),"",$V30*MAX(0,MIN($J30,30)-MAX($I30,15))/($J30-$I30))</f>
        <v>0</v>
      </c>
      <c r="Y30" s="15" t="n">
        <f aca="false">IF(OR($V30="",$I30="",$J30="",$J30&lt;=$I30),"",$V30*MAX(0,MIN($J30,50)-MAX($I30,30))/($J30-$I30))</f>
        <v>0</v>
      </c>
      <c r="Z30" s="15" t="n">
        <f aca="false">IF(OR($V30="",$I30="",$J30="",$J30&lt;=$I30),"",$V30*MAX(0,MIN($J30,100)-MAX($I30,50))/($J30-$I30))</f>
        <v>0</v>
      </c>
      <c r="AA30" s="16" t="str">
        <f aca="false">IF($A30="","",IF(OR($C30="",$D30="",$D30&lt;=$C30),"CHECK: depths missing, or bottom not below top",IF(COUNTIFS($A$6:$A$205,$A30,$C$6:$C$205,$C30)&gt;1,"DUPLICATE slice",IF(COUNTIFS($A$6:$A$205,$A30,$C$6:$C$205,"&lt;"&amp;$D30,$D$6:$D$205,"&gt;"&amp;$C30)&gt;1,"OVERLAP with another slice",IF(AND($C30&gt;0,COUNTIFS($A$6:$A$205,$A30,$D$6:$D$205,$C30)=0),"GAP above this slice",IF(OR($G30="",$H30=""),"CHECK: Core ID not in Core Log, or its compaction / diameter missing",IF(AND(IF(COUNTIFS('2. Plot &amp; Core Log'!$B$6:$B$35,$A30,'2. Plot &amp; Core Log'!$L$6:$L$35,"&gt;0")=0,"",SUMIFS('2. Plot &amp; Core Log'!$L$6:$L$35,'2. Plot &amp; Core Log'!$B$6:$B$35,$A30))&lt;&gt;"",$D30&gt;IF(COUNTIFS('2. Plot &amp; Core Log'!$B$6:$B$35,$A30,'2. Plot &amp; Core Log'!$L$6:$L$35,"&gt;0")=0,"",SUMIFS('2. Plot &amp; Core Log'!$L$6:$L$35,'2. Plot &amp; Core Log'!$B$6:$B$35,$A30))),"CHECK: slice deeper than the core length on Sheet 2",IF(OR($M30="",$N30="",$O30=""),"AWAITING LAB (dry weight, carbon value or type)",IF(AND(UPPER($O30)&lt;&gt;"OC",UPPER($O30)&lt;&gt;"LOI"),IF(UPPER($O30)="TC","TC is not organic carbon — ask the lab for OC or IC","CHECK: type must be OC, TC or LOI"),IF($R30="",IF(AND(LOI_INTERCEPT&lt;&gt;"",LOI_SLOPE&lt;&gt;""),"CHECK: LOI below the range of the conversion equation (OC would be &lt; 0)","CHECK: LOI conversion not set (Instructions tab)"),IF(OR($Q30&lt;=0,$Q30&gt;2.65,$R30&gt;50),"CHECK: bulk density outside 0–2.65 g/cm3 or OC &gt; 50%","OK")))))))))))</f>
        <v>OK</v>
      </c>
    </row>
    <row r="31" customFormat="false" ht="15.75" hidden="false" customHeight="true" outlineLevel="0" collapsed="false">
      <c r="A31" s="14" t="s">
        <v>105</v>
      </c>
      <c r="B31" s="14" t="n">
        <v>11</v>
      </c>
      <c r="C31" s="24" t="n">
        <v>10</v>
      </c>
      <c r="D31" s="24" t="n">
        <v>12</v>
      </c>
      <c r="E31" s="14" t="s">
        <v>138</v>
      </c>
      <c r="F31" s="16" t="n">
        <f aca="false">IF(OR($C31="",$D31=""),"",$D31-$C31)</f>
        <v>2</v>
      </c>
      <c r="G31" s="25" t="n">
        <f aca="false">IF($A31="","",IFERROR(INDEX('2. Plot &amp; Core Log'!$M$6:$M$35,MATCH($A31,'2. Plot &amp; Core Log'!$B$6:$B$35,0)),""))</f>
        <v>1</v>
      </c>
      <c r="H31" s="26" t="n">
        <f aca="false">IF($A31="","",IFERROR(INDEX('2. Plot &amp; Core Log'!$S$6:$S$35,MATCH($A31,'2. Plot &amp; Core Log'!$B$6:$B$35,0)),""))</f>
        <v>7.6</v>
      </c>
      <c r="I31" s="16" t="n">
        <f aca="false">IF(OR($C31="",$G31=""),"",$C31*$G31)</f>
        <v>10</v>
      </c>
      <c r="J31" s="16" t="n">
        <f aca="false">IF(OR($D31="",$G31=""),"",$D31*$G31)</f>
        <v>12</v>
      </c>
      <c r="K31" s="16" t="n">
        <f aca="false">IF(OR($F31="",$H31=""),"",PI()*(($H31/2)^2)*$F31)</f>
        <v>90.7291958356732</v>
      </c>
      <c r="L31" s="27"/>
      <c r="M31" s="27" t="n">
        <v>169.66</v>
      </c>
      <c r="N31" s="27" t="n">
        <v>0.6</v>
      </c>
      <c r="O31" s="27" t="s">
        <v>32</v>
      </c>
      <c r="P31" s="16" t="str">
        <f aca="false">IF(OR($L31="",$M31="",$L31=0),"",(($L31-$M31)/$L31)*100)</f>
        <v/>
      </c>
      <c r="Q31" s="15" t="n">
        <f aca="false">IF(OR($M31="",$K31="",$K31=0),"",$M31/$K31)</f>
        <v>1.86996036322514</v>
      </c>
      <c r="R31" s="15" t="n">
        <f aca="false">IF(OR($N31="",$O31=""),"",IF(UPPER($O31)="OC",$N31,IF(UPPER($O31)="LOI",IF(OR(LOI_INTERCEPT="",LOI_SLOPE=""),"",IF(LOI_INTERCEPT+LOI_SLOPE*$N31&lt;0,"",LOI_INTERCEPT+LOI_SLOPE*$N31)),"")))</f>
        <v>0.6</v>
      </c>
      <c r="S31" s="18" t="n">
        <f aca="false">IF($R31="","",$R31*10)</f>
        <v>6</v>
      </c>
      <c r="T31" s="28" t="n">
        <f aca="false">IF(OR($Q31="",$R31=""),"",$Q31*$R31/100)</f>
        <v>0.0112197621793508</v>
      </c>
      <c r="U31" s="29" t="n">
        <f aca="false">IF(OR($T31="",$F31=""),"",$T31*$F31)</f>
        <v>0.0224395243587016</v>
      </c>
      <c r="V31" s="15" t="n">
        <f aca="false">IF($U31="","",$U31*10)</f>
        <v>0.224395243587016</v>
      </c>
      <c r="W31" s="15" t="n">
        <f aca="false">IF(OR($V31="",$I31="",$J31="",$J31&lt;=$I31),"",$V31*MAX(0,MIN($J31,15)-MAX($I31,0))/($J31-$I31))</f>
        <v>0.224395243587016</v>
      </c>
      <c r="X31" s="15" t="n">
        <f aca="false">IF(OR($V31="",$I31="",$J31="",$J31&lt;=$I31),"",$V31*MAX(0,MIN($J31,30)-MAX($I31,15))/($J31-$I31))</f>
        <v>0</v>
      </c>
      <c r="Y31" s="15" t="n">
        <f aca="false">IF(OR($V31="",$I31="",$J31="",$J31&lt;=$I31),"",$V31*MAX(0,MIN($J31,50)-MAX($I31,30))/($J31-$I31))</f>
        <v>0</v>
      </c>
      <c r="Z31" s="15" t="n">
        <f aca="false">IF(OR($V31="",$I31="",$J31="",$J31&lt;=$I31),"",$V31*MAX(0,MIN($J31,100)-MAX($I31,50))/($J31-$I31))</f>
        <v>0</v>
      </c>
      <c r="AA31" s="16" t="str">
        <f aca="false">IF($A31="","",IF(OR($C31="",$D31="",$D31&lt;=$C31),"CHECK: depths missing, or bottom not below top",IF(COUNTIFS($A$6:$A$205,$A31,$C$6:$C$205,$C31)&gt;1,"DUPLICATE slice",IF(COUNTIFS($A$6:$A$205,$A31,$C$6:$C$205,"&lt;"&amp;$D31,$D$6:$D$205,"&gt;"&amp;$C31)&gt;1,"OVERLAP with another slice",IF(AND($C31&gt;0,COUNTIFS($A$6:$A$205,$A31,$D$6:$D$205,$C31)=0),"GAP above this slice",IF(OR($G31="",$H31=""),"CHECK: Core ID not in Core Log, or its compaction / diameter missing",IF(AND(IF(COUNTIFS('2. Plot &amp; Core Log'!$B$6:$B$35,$A31,'2. Plot &amp; Core Log'!$L$6:$L$35,"&gt;0")=0,"",SUMIFS('2. Plot &amp; Core Log'!$L$6:$L$35,'2. Plot &amp; Core Log'!$B$6:$B$35,$A31))&lt;&gt;"",$D31&gt;IF(COUNTIFS('2. Plot &amp; Core Log'!$B$6:$B$35,$A31,'2. Plot &amp; Core Log'!$L$6:$L$35,"&gt;0")=0,"",SUMIFS('2. Plot &amp; Core Log'!$L$6:$L$35,'2. Plot &amp; Core Log'!$B$6:$B$35,$A31))),"CHECK: slice deeper than the core length on Sheet 2",IF(OR($M31="",$N31="",$O31=""),"AWAITING LAB (dry weight, carbon value or type)",IF(AND(UPPER($O31)&lt;&gt;"OC",UPPER($O31)&lt;&gt;"LOI"),IF(UPPER($O31)="TC","TC is not organic carbon — ask the lab for OC or IC","CHECK: type must be OC, TC or LOI"),IF($R31="",IF(AND(LOI_INTERCEPT&lt;&gt;"",LOI_SLOPE&lt;&gt;""),"CHECK: LOI below the range of the conversion equation (OC would be &lt; 0)","CHECK: LOI conversion not set (Instructions tab)"),IF(OR($Q31&lt;=0,$Q31&gt;2.65,$R31&gt;50),"CHECK: bulk density outside 0–2.65 g/cm3 or OC &gt; 50%","OK")))))))))))</f>
        <v>OK</v>
      </c>
    </row>
    <row r="32" customFormat="false" ht="15.75" hidden="false" customHeight="true" outlineLevel="0" collapsed="false">
      <c r="A32" s="14" t="s">
        <v>105</v>
      </c>
      <c r="B32" s="14" t="n">
        <v>12</v>
      </c>
      <c r="C32" s="24" t="n">
        <v>12</v>
      </c>
      <c r="D32" s="24" t="n">
        <v>14</v>
      </c>
      <c r="E32" s="14" t="s">
        <v>138</v>
      </c>
      <c r="F32" s="16" t="n">
        <f aca="false">IF(OR($C32="",$D32=""),"",$D32-$C32)</f>
        <v>2</v>
      </c>
      <c r="G32" s="25" t="n">
        <f aca="false">IF($A32="","",IFERROR(INDEX('2. Plot &amp; Core Log'!$M$6:$M$35,MATCH($A32,'2. Plot &amp; Core Log'!$B$6:$B$35,0)),""))</f>
        <v>1</v>
      </c>
      <c r="H32" s="26" t="n">
        <f aca="false">IF($A32="","",IFERROR(INDEX('2. Plot &amp; Core Log'!$S$6:$S$35,MATCH($A32,'2. Plot &amp; Core Log'!$B$6:$B$35,0)),""))</f>
        <v>7.6</v>
      </c>
      <c r="I32" s="16" t="n">
        <f aca="false">IF(OR($C32="",$G32=""),"",$C32*$G32)</f>
        <v>12</v>
      </c>
      <c r="J32" s="16" t="n">
        <f aca="false">IF(OR($D32="",$G32=""),"",$D32*$G32)</f>
        <v>14</v>
      </c>
      <c r="K32" s="16" t="n">
        <f aca="false">IF(OR($F32="",$H32=""),"",PI()*(($H32/2)^2)*$F32)</f>
        <v>90.7291958356732</v>
      </c>
      <c r="L32" s="27"/>
      <c r="M32" s="27" t="n">
        <v>141.54</v>
      </c>
      <c r="N32" s="27" t="n">
        <v>0.3</v>
      </c>
      <c r="O32" s="27" t="s">
        <v>32</v>
      </c>
      <c r="P32" s="16" t="str">
        <f aca="false">IF(OR($L32="",$M32="",$L32=0),"",(($L32-$M32)/$L32)*100)</f>
        <v/>
      </c>
      <c r="Q32" s="15" t="n">
        <f aca="false">IF(OR($M32="",$K32="",$K32=0),"",$M32/$K32)</f>
        <v>1.56002705299355</v>
      </c>
      <c r="R32" s="15" t="n">
        <f aca="false">IF(OR($N32="",$O32=""),"",IF(UPPER($O32)="OC",$N32,IF(UPPER($O32)="LOI",IF(OR(LOI_INTERCEPT="",LOI_SLOPE=""),"",IF(LOI_INTERCEPT+LOI_SLOPE*$N32&lt;0,"",LOI_INTERCEPT+LOI_SLOPE*$N32)),"")))</f>
        <v>0.3</v>
      </c>
      <c r="S32" s="18" t="n">
        <f aca="false">IF($R32="","",$R32*10)</f>
        <v>3</v>
      </c>
      <c r="T32" s="28" t="n">
        <f aca="false">IF(OR($Q32="",$R32=""),"",$Q32*$R32/100)</f>
        <v>0.00468008115898065</v>
      </c>
      <c r="U32" s="29" t="n">
        <f aca="false">IF(OR($T32="",$F32=""),"",$T32*$F32)</f>
        <v>0.0093601623179613</v>
      </c>
      <c r="V32" s="15" t="n">
        <f aca="false">IF($U32="","",$U32*10)</f>
        <v>0.093601623179613</v>
      </c>
      <c r="W32" s="15" t="n">
        <f aca="false">IF(OR($V32="",$I32="",$J32="",$J32&lt;=$I32),"",$V32*MAX(0,MIN($J32,15)-MAX($I32,0))/($J32-$I32))</f>
        <v>0.093601623179613</v>
      </c>
      <c r="X32" s="15" t="n">
        <f aca="false">IF(OR($V32="",$I32="",$J32="",$J32&lt;=$I32),"",$V32*MAX(0,MIN($J32,30)-MAX($I32,15))/($J32-$I32))</f>
        <v>0</v>
      </c>
      <c r="Y32" s="15" t="n">
        <f aca="false">IF(OR($V32="",$I32="",$J32="",$J32&lt;=$I32),"",$V32*MAX(0,MIN($J32,50)-MAX($I32,30))/($J32-$I32))</f>
        <v>0</v>
      </c>
      <c r="Z32" s="15" t="n">
        <f aca="false">IF(OR($V32="",$I32="",$J32="",$J32&lt;=$I32),"",$V32*MAX(0,MIN($J32,100)-MAX($I32,50))/($J32-$I32))</f>
        <v>0</v>
      </c>
      <c r="AA32" s="16" t="str">
        <f aca="false">IF($A32="","",IF(OR($C32="",$D32="",$D32&lt;=$C32),"CHECK: depths missing, or bottom not below top",IF(COUNTIFS($A$6:$A$205,$A32,$C$6:$C$205,$C32)&gt;1,"DUPLICATE slice",IF(COUNTIFS($A$6:$A$205,$A32,$C$6:$C$205,"&lt;"&amp;$D32,$D$6:$D$205,"&gt;"&amp;$C32)&gt;1,"OVERLAP with another slice",IF(AND($C32&gt;0,COUNTIFS($A$6:$A$205,$A32,$D$6:$D$205,$C32)=0),"GAP above this slice",IF(OR($G32="",$H32=""),"CHECK: Core ID not in Core Log, or its compaction / diameter missing",IF(AND(IF(COUNTIFS('2. Plot &amp; Core Log'!$B$6:$B$35,$A32,'2. Plot &amp; Core Log'!$L$6:$L$35,"&gt;0")=0,"",SUMIFS('2. Plot &amp; Core Log'!$L$6:$L$35,'2. Plot &amp; Core Log'!$B$6:$B$35,$A32))&lt;&gt;"",$D32&gt;IF(COUNTIFS('2. Plot &amp; Core Log'!$B$6:$B$35,$A32,'2. Plot &amp; Core Log'!$L$6:$L$35,"&gt;0")=0,"",SUMIFS('2. Plot &amp; Core Log'!$L$6:$L$35,'2. Plot &amp; Core Log'!$B$6:$B$35,$A32))),"CHECK: slice deeper than the core length on Sheet 2",IF(OR($M32="",$N32="",$O32=""),"AWAITING LAB (dry weight, carbon value or type)",IF(AND(UPPER($O32)&lt;&gt;"OC",UPPER($O32)&lt;&gt;"LOI"),IF(UPPER($O32)="TC","TC is not organic carbon — ask the lab for OC or IC","CHECK: type must be OC, TC or LOI"),IF($R32="",IF(AND(LOI_INTERCEPT&lt;&gt;"",LOI_SLOPE&lt;&gt;""),"CHECK: LOI below the range of the conversion equation (OC would be &lt; 0)","CHECK: LOI conversion not set (Instructions tab)"),IF(OR($Q32&lt;=0,$Q32&gt;2.65,$R32&gt;50),"CHECK: bulk density outside 0–2.65 g/cm3 or OC &gt; 50%","OK")))))))))))</f>
        <v>OK</v>
      </c>
    </row>
    <row r="33" customFormat="false" ht="15.75" hidden="false" customHeight="true" outlineLevel="0" collapsed="false">
      <c r="A33" s="14" t="s">
        <v>105</v>
      </c>
      <c r="B33" s="14" t="n">
        <v>13</v>
      </c>
      <c r="C33" s="24" t="n">
        <v>14</v>
      </c>
      <c r="D33" s="24" t="n">
        <v>16</v>
      </c>
      <c r="E33" s="14" t="s">
        <v>138</v>
      </c>
      <c r="F33" s="16" t="n">
        <f aca="false">IF(OR($C33="",$D33=""),"",$D33-$C33)</f>
        <v>2</v>
      </c>
      <c r="G33" s="25" t="n">
        <f aca="false">IF($A33="","",IFERROR(INDEX('2. Plot &amp; Core Log'!$M$6:$M$35,MATCH($A33,'2. Plot &amp; Core Log'!$B$6:$B$35,0)),""))</f>
        <v>1</v>
      </c>
      <c r="H33" s="26" t="n">
        <f aca="false">IF($A33="","",IFERROR(INDEX('2. Plot &amp; Core Log'!$S$6:$S$35,MATCH($A33,'2. Plot &amp; Core Log'!$B$6:$B$35,0)),""))</f>
        <v>7.6</v>
      </c>
      <c r="I33" s="16" t="n">
        <f aca="false">IF(OR($C33="",$G33=""),"",$C33*$G33)</f>
        <v>14</v>
      </c>
      <c r="J33" s="16" t="n">
        <f aca="false">IF(OR($D33="",$G33=""),"",$D33*$G33)</f>
        <v>16</v>
      </c>
      <c r="K33" s="16" t="n">
        <f aca="false">IF(OR($F33="",$H33=""),"",PI()*(($H33/2)^2)*$F33)</f>
        <v>90.7291958356732</v>
      </c>
      <c r="L33" s="27"/>
      <c r="M33" s="27" t="n">
        <v>167.85</v>
      </c>
      <c r="N33" s="27" t="n">
        <v>0.6</v>
      </c>
      <c r="O33" s="27" t="s">
        <v>32</v>
      </c>
      <c r="P33" s="16" t="str">
        <f aca="false">IF(OR($L33="",$M33="",$L33=0),"",(($L33-$M33)/$L33)*100)</f>
        <v/>
      </c>
      <c r="Q33" s="15" t="n">
        <f aca="false">IF(OR($M33="",$K33="",$K33=0),"",$M33/$K33)</f>
        <v>1.85001088628633</v>
      </c>
      <c r="R33" s="15" t="n">
        <f aca="false">IF(OR($N33="",$O33=""),"",IF(UPPER($O33)="OC",$N33,IF(UPPER($O33)="LOI",IF(OR(LOI_INTERCEPT="",LOI_SLOPE=""),"",IF(LOI_INTERCEPT+LOI_SLOPE*$N33&lt;0,"",LOI_INTERCEPT+LOI_SLOPE*$N33)),"")))</f>
        <v>0.6</v>
      </c>
      <c r="S33" s="18" t="n">
        <f aca="false">IF($R33="","",$R33*10)</f>
        <v>6</v>
      </c>
      <c r="T33" s="28" t="n">
        <f aca="false">IF(OR($Q33="",$R33=""),"",$Q33*$R33/100)</f>
        <v>0.011100065317718</v>
      </c>
      <c r="U33" s="29" t="n">
        <f aca="false">IF(OR($T33="",$F33=""),"",$T33*$F33)</f>
        <v>0.022200130635436</v>
      </c>
      <c r="V33" s="15" t="n">
        <f aca="false">IF($U33="","",$U33*10)</f>
        <v>0.22200130635436</v>
      </c>
      <c r="W33" s="15" t="n">
        <f aca="false">IF(OR($V33="",$I33="",$J33="",$J33&lt;=$I33),"",$V33*MAX(0,MIN($J33,15)-MAX($I33,0))/($J33-$I33))</f>
        <v>0.11100065317718</v>
      </c>
      <c r="X33" s="15" t="n">
        <f aca="false">IF(OR($V33="",$I33="",$J33="",$J33&lt;=$I33),"",$V33*MAX(0,MIN($J33,30)-MAX($I33,15))/($J33-$I33))</f>
        <v>0.11100065317718</v>
      </c>
      <c r="Y33" s="15" t="n">
        <f aca="false">IF(OR($V33="",$I33="",$J33="",$J33&lt;=$I33),"",$V33*MAX(0,MIN($J33,50)-MAX($I33,30))/($J33-$I33))</f>
        <v>0</v>
      </c>
      <c r="Z33" s="15" t="n">
        <f aca="false">IF(OR($V33="",$I33="",$J33="",$J33&lt;=$I33),"",$V33*MAX(0,MIN($J33,100)-MAX($I33,50))/($J33-$I33))</f>
        <v>0</v>
      </c>
      <c r="AA33" s="16" t="str">
        <f aca="false">IF($A33="","",IF(OR($C33="",$D33="",$D33&lt;=$C33),"CHECK: depths missing, or bottom not below top",IF(COUNTIFS($A$6:$A$205,$A33,$C$6:$C$205,$C33)&gt;1,"DUPLICATE slice",IF(COUNTIFS($A$6:$A$205,$A33,$C$6:$C$205,"&lt;"&amp;$D33,$D$6:$D$205,"&gt;"&amp;$C33)&gt;1,"OVERLAP with another slice",IF(AND($C33&gt;0,COUNTIFS($A$6:$A$205,$A33,$D$6:$D$205,$C33)=0),"GAP above this slice",IF(OR($G33="",$H33=""),"CHECK: Core ID not in Core Log, or its compaction / diameter missing",IF(AND(IF(COUNTIFS('2. Plot &amp; Core Log'!$B$6:$B$35,$A33,'2. Plot &amp; Core Log'!$L$6:$L$35,"&gt;0")=0,"",SUMIFS('2. Plot &amp; Core Log'!$L$6:$L$35,'2. Plot &amp; Core Log'!$B$6:$B$35,$A33))&lt;&gt;"",$D33&gt;IF(COUNTIFS('2. Plot &amp; Core Log'!$B$6:$B$35,$A33,'2. Plot &amp; Core Log'!$L$6:$L$35,"&gt;0")=0,"",SUMIFS('2. Plot &amp; Core Log'!$L$6:$L$35,'2. Plot &amp; Core Log'!$B$6:$B$35,$A33))),"CHECK: slice deeper than the core length on Sheet 2",IF(OR($M33="",$N33="",$O33=""),"AWAITING LAB (dry weight, carbon value or type)",IF(AND(UPPER($O33)&lt;&gt;"OC",UPPER($O33)&lt;&gt;"LOI"),IF(UPPER($O33)="TC","TC is not organic carbon — ask the lab for OC or IC","CHECK: type must be OC, TC or LOI"),IF($R33="",IF(AND(LOI_INTERCEPT&lt;&gt;"",LOI_SLOPE&lt;&gt;""),"CHECK: LOI below the range of the conversion equation (OC would be &lt; 0)","CHECK: LOI conversion not set (Instructions tab)"),IF(OR($Q33&lt;=0,$Q33&gt;2.65,$R33&gt;50),"CHECK: bulk density outside 0–2.65 g/cm3 or OC &gt; 50%","OK")))))))))))</f>
        <v>OK</v>
      </c>
    </row>
    <row r="34" customFormat="false" ht="15.75" hidden="false" customHeight="true" outlineLevel="0" collapsed="false">
      <c r="A34" s="14" t="s">
        <v>105</v>
      </c>
      <c r="B34" s="14" t="n">
        <v>14</v>
      </c>
      <c r="C34" s="24" t="n">
        <v>16</v>
      </c>
      <c r="D34" s="24" t="n">
        <v>18</v>
      </c>
      <c r="E34" s="14" t="s">
        <v>138</v>
      </c>
      <c r="F34" s="16" t="n">
        <f aca="false">IF(OR($C34="",$D34=""),"",$D34-$C34)</f>
        <v>2</v>
      </c>
      <c r="G34" s="25" t="n">
        <f aca="false">IF($A34="","",IFERROR(INDEX('2. Plot &amp; Core Log'!$M$6:$M$35,MATCH($A34,'2. Plot &amp; Core Log'!$B$6:$B$35,0)),""))</f>
        <v>1</v>
      </c>
      <c r="H34" s="26" t="n">
        <f aca="false">IF($A34="","",IFERROR(INDEX('2. Plot &amp; Core Log'!$S$6:$S$35,MATCH($A34,'2. Plot &amp; Core Log'!$B$6:$B$35,0)),""))</f>
        <v>7.6</v>
      </c>
      <c r="I34" s="16" t="n">
        <f aca="false">IF(OR($C34="",$G34=""),"",$C34*$G34)</f>
        <v>16</v>
      </c>
      <c r="J34" s="16" t="n">
        <f aca="false">IF(OR($D34="",$G34=""),"",$D34*$G34)</f>
        <v>18</v>
      </c>
      <c r="K34" s="16" t="n">
        <f aca="false">IF(OR($F34="",$H34=""),"",PI()*(($H34/2)^2)*$F34)</f>
        <v>90.7291958356732</v>
      </c>
      <c r="L34" s="27"/>
      <c r="M34" s="27" t="n">
        <v>159.68</v>
      </c>
      <c r="N34" s="27" t="n">
        <v>1</v>
      </c>
      <c r="O34" s="27" t="s">
        <v>32</v>
      </c>
      <c r="P34" s="16" t="str">
        <f aca="false">IF(OR($L34="",$M34="",$L34=0),"",(($L34-$M34)/$L34)*100)</f>
        <v/>
      </c>
      <c r="Q34" s="15" t="n">
        <f aca="false">IF(OR($M34="",$K34="",$K34=0),"",$M34/$K34)</f>
        <v>1.75996269480013</v>
      </c>
      <c r="R34" s="15" t="n">
        <f aca="false">IF(OR($N34="",$O34=""),"",IF(UPPER($O34)="OC",$N34,IF(UPPER($O34)="LOI",IF(OR(LOI_INTERCEPT="",LOI_SLOPE=""),"",IF(LOI_INTERCEPT+LOI_SLOPE*$N34&lt;0,"",LOI_INTERCEPT+LOI_SLOPE*$N34)),"")))</f>
        <v>1</v>
      </c>
      <c r="S34" s="18" t="n">
        <f aca="false">IF($R34="","",$R34*10)</f>
        <v>10</v>
      </c>
      <c r="T34" s="28" t="n">
        <f aca="false">IF(OR($Q34="",$R34=""),"",$Q34*$R34/100)</f>
        <v>0.0175996269480013</v>
      </c>
      <c r="U34" s="29" t="n">
        <f aca="false">IF(OR($T34="",$F34=""),"",$T34*$F34)</f>
        <v>0.0351992538960026</v>
      </c>
      <c r="V34" s="15" t="n">
        <f aca="false">IF($U34="","",$U34*10)</f>
        <v>0.351992538960026</v>
      </c>
      <c r="W34" s="15" t="n">
        <f aca="false">IF(OR($V34="",$I34="",$J34="",$J34&lt;=$I34),"",$V34*MAX(0,MIN($J34,15)-MAX($I34,0))/($J34-$I34))</f>
        <v>0</v>
      </c>
      <c r="X34" s="15" t="n">
        <f aca="false">IF(OR($V34="",$I34="",$J34="",$J34&lt;=$I34),"",$V34*MAX(0,MIN($J34,30)-MAX($I34,15))/($J34-$I34))</f>
        <v>0.351992538960026</v>
      </c>
      <c r="Y34" s="15" t="n">
        <f aca="false">IF(OR($V34="",$I34="",$J34="",$J34&lt;=$I34),"",$V34*MAX(0,MIN($J34,50)-MAX($I34,30))/($J34-$I34))</f>
        <v>0</v>
      </c>
      <c r="Z34" s="15" t="n">
        <f aca="false">IF(OR($V34="",$I34="",$J34="",$J34&lt;=$I34),"",$V34*MAX(0,MIN($J34,100)-MAX($I34,50))/($J34-$I34))</f>
        <v>0</v>
      </c>
      <c r="AA34" s="16" t="str">
        <f aca="false">IF($A34="","",IF(OR($C34="",$D34="",$D34&lt;=$C34),"CHECK: depths missing, or bottom not below top",IF(COUNTIFS($A$6:$A$205,$A34,$C$6:$C$205,$C34)&gt;1,"DUPLICATE slice",IF(COUNTIFS($A$6:$A$205,$A34,$C$6:$C$205,"&lt;"&amp;$D34,$D$6:$D$205,"&gt;"&amp;$C34)&gt;1,"OVERLAP with another slice",IF(AND($C34&gt;0,COUNTIFS($A$6:$A$205,$A34,$D$6:$D$205,$C34)=0),"GAP above this slice",IF(OR($G34="",$H34=""),"CHECK: Core ID not in Core Log, or its compaction / diameter missing",IF(AND(IF(COUNTIFS('2. Plot &amp; Core Log'!$B$6:$B$35,$A34,'2. Plot &amp; Core Log'!$L$6:$L$35,"&gt;0")=0,"",SUMIFS('2. Plot &amp; Core Log'!$L$6:$L$35,'2. Plot &amp; Core Log'!$B$6:$B$35,$A34))&lt;&gt;"",$D34&gt;IF(COUNTIFS('2. Plot &amp; Core Log'!$B$6:$B$35,$A34,'2. Plot &amp; Core Log'!$L$6:$L$35,"&gt;0")=0,"",SUMIFS('2. Plot &amp; Core Log'!$L$6:$L$35,'2. Plot &amp; Core Log'!$B$6:$B$35,$A34))),"CHECK: slice deeper than the core length on Sheet 2",IF(OR($M34="",$N34="",$O34=""),"AWAITING LAB (dry weight, carbon value or type)",IF(AND(UPPER($O34)&lt;&gt;"OC",UPPER($O34)&lt;&gt;"LOI"),IF(UPPER($O34)="TC","TC is not organic carbon — ask the lab for OC or IC","CHECK: type must be OC, TC or LOI"),IF($R34="",IF(AND(LOI_INTERCEPT&lt;&gt;"",LOI_SLOPE&lt;&gt;""),"CHECK: LOI below the range of the conversion equation (OC would be &lt; 0)","CHECK: LOI conversion not set (Instructions tab)"),IF(OR($Q34&lt;=0,$Q34&gt;2.65,$R34&gt;50),"CHECK: bulk density outside 0–2.65 g/cm3 or OC &gt; 50%","OK")))))))))))</f>
        <v>OK</v>
      </c>
    </row>
    <row r="35" customFormat="false" ht="15.75" hidden="false" customHeight="true" outlineLevel="0" collapsed="false">
      <c r="A35" s="14" t="s">
        <v>105</v>
      </c>
      <c r="B35" s="14" t="n">
        <v>15</v>
      </c>
      <c r="C35" s="24" t="n">
        <v>18</v>
      </c>
      <c r="D35" s="24" t="n">
        <v>20</v>
      </c>
      <c r="E35" s="14" t="s">
        <v>138</v>
      </c>
      <c r="F35" s="16" t="n">
        <f aca="false">IF(OR($C35="",$D35=""),"",$D35-$C35)</f>
        <v>2</v>
      </c>
      <c r="G35" s="25" t="n">
        <f aca="false">IF($A35="","",IFERROR(INDEX('2. Plot &amp; Core Log'!$M$6:$M$35,MATCH($A35,'2. Plot &amp; Core Log'!$B$6:$B$35,0)),""))</f>
        <v>1</v>
      </c>
      <c r="H35" s="26" t="n">
        <f aca="false">IF($A35="","",IFERROR(INDEX('2. Plot &amp; Core Log'!$S$6:$S$35,MATCH($A35,'2. Plot &amp; Core Log'!$B$6:$B$35,0)),""))</f>
        <v>7.6</v>
      </c>
      <c r="I35" s="16" t="n">
        <f aca="false">IF(OR($C35="",$G35=""),"",$C35*$G35)</f>
        <v>18</v>
      </c>
      <c r="J35" s="16" t="n">
        <f aca="false">IF(OR($D35="",$G35=""),"",$D35*$G35)</f>
        <v>20</v>
      </c>
      <c r="K35" s="16" t="n">
        <f aca="false">IF(OR($F35="",$H35=""),"",PI()*(($H35/2)^2)*$F35)</f>
        <v>90.7291958356732</v>
      </c>
      <c r="L35" s="27"/>
      <c r="M35" s="27" t="n">
        <v>153.33</v>
      </c>
      <c r="N35" s="27" t="n">
        <v>1.5</v>
      </c>
      <c r="O35" s="27" t="s">
        <v>32</v>
      </c>
      <c r="P35" s="16" t="str">
        <f aca="false">IF(OR($L35="",$M35="",$L35=0),"",(($L35-$M35)/$L35)*100)</f>
        <v/>
      </c>
      <c r="Q35" s="15" t="n">
        <f aca="false">IF(OR($M35="",$K35="",$K35=0),"",$M35/$K35)</f>
        <v>1.68997419835736</v>
      </c>
      <c r="R35" s="15" t="n">
        <f aca="false">IF(OR($N35="",$O35=""),"",IF(UPPER($O35)="OC",$N35,IF(UPPER($O35)="LOI",IF(OR(LOI_INTERCEPT="",LOI_SLOPE=""),"",IF(LOI_INTERCEPT+LOI_SLOPE*$N35&lt;0,"",LOI_INTERCEPT+LOI_SLOPE*$N35)),"")))</f>
        <v>1.5</v>
      </c>
      <c r="S35" s="18" t="n">
        <f aca="false">IF($R35="","",$R35*10)</f>
        <v>15</v>
      </c>
      <c r="T35" s="28" t="n">
        <f aca="false">IF(OR($Q35="",$R35=""),"",$Q35*$R35/100)</f>
        <v>0.0253496129753604</v>
      </c>
      <c r="U35" s="29" t="n">
        <f aca="false">IF(OR($T35="",$F35=""),"",$T35*$F35)</f>
        <v>0.0506992259507209</v>
      </c>
      <c r="V35" s="15" t="n">
        <f aca="false">IF($U35="","",$U35*10)</f>
        <v>0.506992259507209</v>
      </c>
      <c r="W35" s="15" t="n">
        <f aca="false">IF(OR($V35="",$I35="",$J35="",$J35&lt;=$I35),"",$V35*MAX(0,MIN($J35,15)-MAX($I35,0))/($J35-$I35))</f>
        <v>0</v>
      </c>
      <c r="X35" s="15" t="n">
        <f aca="false">IF(OR($V35="",$I35="",$J35="",$J35&lt;=$I35),"",$V35*MAX(0,MIN($J35,30)-MAX($I35,15))/($J35-$I35))</f>
        <v>0.506992259507209</v>
      </c>
      <c r="Y35" s="15" t="n">
        <f aca="false">IF(OR($V35="",$I35="",$J35="",$J35&lt;=$I35),"",$V35*MAX(0,MIN($J35,50)-MAX($I35,30))/($J35-$I35))</f>
        <v>0</v>
      </c>
      <c r="Z35" s="15" t="n">
        <f aca="false">IF(OR($V35="",$I35="",$J35="",$J35&lt;=$I35),"",$V35*MAX(0,MIN($J35,100)-MAX($I35,50))/($J35-$I35))</f>
        <v>0</v>
      </c>
      <c r="AA35" s="16" t="str">
        <f aca="false">IF($A35="","",IF(OR($C35="",$D35="",$D35&lt;=$C35),"CHECK: depths missing, or bottom not below top",IF(COUNTIFS($A$6:$A$205,$A35,$C$6:$C$205,$C35)&gt;1,"DUPLICATE slice",IF(COUNTIFS($A$6:$A$205,$A35,$C$6:$C$205,"&lt;"&amp;$D35,$D$6:$D$205,"&gt;"&amp;$C35)&gt;1,"OVERLAP with another slice",IF(AND($C35&gt;0,COUNTIFS($A$6:$A$205,$A35,$D$6:$D$205,$C35)=0),"GAP above this slice",IF(OR($G35="",$H35=""),"CHECK: Core ID not in Core Log, or its compaction / diameter missing",IF(AND(IF(COUNTIFS('2. Plot &amp; Core Log'!$B$6:$B$35,$A35,'2. Plot &amp; Core Log'!$L$6:$L$35,"&gt;0")=0,"",SUMIFS('2. Plot &amp; Core Log'!$L$6:$L$35,'2. Plot &amp; Core Log'!$B$6:$B$35,$A35))&lt;&gt;"",$D35&gt;IF(COUNTIFS('2. Plot &amp; Core Log'!$B$6:$B$35,$A35,'2. Plot &amp; Core Log'!$L$6:$L$35,"&gt;0")=0,"",SUMIFS('2. Plot &amp; Core Log'!$L$6:$L$35,'2. Plot &amp; Core Log'!$B$6:$B$35,$A35))),"CHECK: slice deeper than the core length on Sheet 2",IF(OR($M35="",$N35="",$O35=""),"AWAITING LAB (dry weight, carbon value or type)",IF(AND(UPPER($O35)&lt;&gt;"OC",UPPER($O35)&lt;&gt;"LOI"),IF(UPPER($O35)="TC","TC is not organic carbon — ask the lab for OC or IC","CHECK: type must be OC, TC or LOI"),IF($R35="",IF(AND(LOI_INTERCEPT&lt;&gt;"",LOI_SLOPE&lt;&gt;""),"CHECK: LOI below the range of the conversion equation (OC would be &lt; 0)","CHECK: LOI conversion not set (Instructions tab)"),IF(OR($Q35&lt;=0,$Q35&gt;2.65,$R35&gt;50),"CHECK: bulk density outside 0–2.65 g/cm3 or OC &gt; 50%","OK")))))))))))</f>
        <v>OK</v>
      </c>
    </row>
    <row r="36" customFormat="false" ht="15.75" hidden="false" customHeight="true" outlineLevel="0" collapsed="false">
      <c r="A36" s="14" t="s">
        <v>107</v>
      </c>
      <c r="B36" s="14" t="n">
        <v>1</v>
      </c>
      <c r="C36" s="24" t="n">
        <v>0</v>
      </c>
      <c r="D36" s="24" t="n">
        <v>1</v>
      </c>
      <c r="E36" s="14" t="s">
        <v>138</v>
      </c>
      <c r="F36" s="16" t="n">
        <f aca="false">IF(OR($C36="",$D36=""),"",$D36-$C36)</f>
        <v>1</v>
      </c>
      <c r="G36" s="25" t="n">
        <f aca="false">IF($A36="","",IFERROR(INDEX('2. Plot &amp; Core Log'!$M$6:$M$35,MATCH($A36,'2. Plot &amp; Core Log'!$B$6:$B$35,0)),""))</f>
        <v>1</v>
      </c>
      <c r="H36" s="26" t="n">
        <f aca="false">IF($A36="","",IFERROR(INDEX('2. Plot &amp; Core Log'!$S$6:$S$35,MATCH($A36,'2. Plot &amp; Core Log'!$B$6:$B$35,0)),""))</f>
        <v>7.6</v>
      </c>
      <c r="I36" s="16" t="n">
        <f aca="false">IF(OR($C36="",$G36=""),"",$C36*$G36)</f>
        <v>0</v>
      </c>
      <c r="J36" s="16" t="n">
        <f aca="false">IF(OR($D36="",$G36=""),"",$D36*$G36)</f>
        <v>1</v>
      </c>
      <c r="K36" s="16" t="n">
        <f aca="false">IF(OR($F36="",$H36=""),"",PI()*(($H36/2)^2)*$F36)</f>
        <v>45.3645979178366</v>
      </c>
      <c r="L36" s="27"/>
      <c r="M36" s="27" t="n">
        <v>78.03</v>
      </c>
      <c r="N36" s="27" t="n">
        <v>0.4</v>
      </c>
      <c r="O36" s="27" t="s">
        <v>32</v>
      </c>
      <c r="P36" s="16" t="str">
        <f aca="false">IF(OR($L36="",$M36="",$L36=0),"",(($L36-$M36)/$L36)*100)</f>
        <v/>
      </c>
      <c r="Q36" s="15" t="n">
        <f aca="false">IF(OR($M36="",$K36="",$K36=0),"",$M36/$K36)</f>
        <v>1.72006374092252</v>
      </c>
      <c r="R36" s="15" t="n">
        <f aca="false">IF(OR($N36="",$O36=""),"",IF(UPPER($O36)="OC",$N36,IF(UPPER($O36)="LOI",IF(OR(LOI_INTERCEPT="",LOI_SLOPE=""),"",IF(LOI_INTERCEPT+LOI_SLOPE*$N36&lt;0,"",LOI_INTERCEPT+LOI_SLOPE*$N36)),"")))</f>
        <v>0.4</v>
      </c>
      <c r="S36" s="18" t="n">
        <f aca="false">IF($R36="","",$R36*10)</f>
        <v>4</v>
      </c>
      <c r="T36" s="28" t="n">
        <f aca="false">IF(OR($Q36="",$R36=""),"",$Q36*$R36/100)</f>
        <v>0.00688025496369008</v>
      </c>
      <c r="U36" s="29" t="n">
        <f aca="false">IF(OR($T36="",$F36=""),"",$T36*$F36)</f>
        <v>0.00688025496369008</v>
      </c>
      <c r="V36" s="15" t="n">
        <f aca="false">IF($U36="","",$U36*10)</f>
        <v>0.0688025496369008</v>
      </c>
      <c r="W36" s="15" t="n">
        <f aca="false">IF(OR($V36="",$I36="",$J36="",$J36&lt;=$I36),"",$V36*MAX(0,MIN($J36,15)-MAX($I36,0))/($J36-$I36))</f>
        <v>0.0688025496369008</v>
      </c>
      <c r="X36" s="15" t="n">
        <f aca="false">IF(OR($V36="",$I36="",$J36="",$J36&lt;=$I36),"",$V36*MAX(0,MIN($J36,30)-MAX($I36,15))/($J36-$I36))</f>
        <v>0</v>
      </c>
      <c r="Y36" s="15" t="n">
        <f aca="false">IF(OR($V36="",$I36="",$J36="",$J36&lt;=$I36),"",$V36*MAX(0,MIN($J36,50)-MAX($I36,30))/($J36-$I36))</f>
        <v>0</v>
      </c>
      <c r="Z36" s="15" t="n">
        <f aca="false">IF(OR($V36="",$I36="",$J36="",$J36&lt;=$I36),"",$V36*MAX(0,MIN($J36,100)-MAX($I36,50))/($J36-$I36))</f>
        <v>0</v>
      </c>
      <c r="AA36" s="16" t="str">
        <f aca="false">IF($A36="","",IF(OR($C36="",$D36="",$D36&lt;=$C36),"CHECK: depths missing, or bottom not below top",IF(COUNTIFS($A$6:$A$205,$A36,$C$6:$C$205,$C36)&gt;1,"DUPLICATE slice",IF(COUNTIFS($A$6:$A$205,$A36,$C$6:$C$205,"&lt;"&amp;$D36,$D$6:$D$205,"&gt;"&amp;$C36)&gt;1,"OVERLAP with another slice",IF(AND($C36&gt;0,COUNTIFS($A$6:$A$205,$A36,$D$6:$D$205,$C36)=0),"GAP above this slice",IF(OR($G36="",$H36=""),"CHECK: Core ID not in Core Log, or its compaction / diameter missing",IF(AND(IF(COUNTIFS('2. Plot &amp; Core Log'!$B$6:$B$35,$A36,'2. Plot &amp; Core Log'!$L$6:$L$35,"&gt;0")=0,"",SUMIFS('2. Plot &amp; Core Log'!$L$6:$L$35,'2. Plot &amp; Core Log'!$B$6:$B$35,$A36))&lt;&gt;"",$D36&gt;IF(COUNTIFS('2. Plot &amp; Core Log'!$B$6:$B$35,$A36,'2. Plot &amp; Core Log'!$L$6:$L$35,"&gt;0")=0,"",SUMIFS('2. Plot &amp; Core Log'!$L$6:$L$35,'2. Plot &amp; Core Log'!$B$6:$B$35,$A36))),"CHECK: slice deeper than the core length on Sheet 2",IF(OR($M36="",$N36="",$O36=""),"AWAITING LAB (dry weight, carbon value or type)",IF(AND(UPPER($O36)&lt;&gt;"OC",UPPER($O36)&lt;&gt;"LOI"),IF(UPPER($O36)="TC","TC is not organic carbon — ask the lab for OC or IC","CHECK: type must be OC, TC or LOI"),IF($R36="",IF(AND(LOI_INTERCEPT&lt;&gt;"",LOI_SLOPE&lt;&gt;""),"CHECK: LOI below the range of the conversion equation (OC would be &lt; 0)","CHECK: LOI conversion not set (Instructions tab)"),IF(OR($Q36&lt;=0,$Q36&gt;2.65,$R36&gt;50),"CHECK: bulk density outside 0–2.65 g/cm3 or OC &gt; 50%","OK")))))))))))</f>
        <v>OK</v>
      </c>
    </row>
    <row r="37" customFormat="false" ht="15.75" hidden="false" customHeight="true" outlineLevel="0" collapsed="false">
      <c r="A37" s="14" t="s">
        <v>107</v>
      </c>
      <c r="B37" s="14" t="n">
        <v>2</v>
      </c>
      <c r="C37" s="24" t="n">
        <v>1</v>
      </c>
      <c r="D37" s="24" t="n">
        <v>2</v>
      </c>
      <c r="E37" s="14" t="s">
        <v>139</v>
      </c>
      <c r="F37" s="16" t="n">
        <f aca="false">IF(OR($C37="",$D37=""),"",$D37-$C37)</f>
        <v>1</v>
      </c>
      <c r="G37" s="25" t="n">
        <f aca="false">IF($A37="","",IFERROR(INDEX('2. Plot &amp; Core Log'!$M$6:$M$35,MATCH($A37,'2. Plot &amp; Core Log'!$B$6:$B$35,0)),""))</f>
        <v>1</v>
      </c>
      <c r="H37" s="26" t="n">
        <f aca="false">IF($A37="","",IFERROR(INDEX('2. Plot &amp; Core Log'!$S$6:$S$35,MATCH($A37,'2. Plot &amp; Core Log'!$B$6:$B$35,0)),""))</f>
        <v>7.6</v>
      </c>
      <c r="I37" s="16" t="n">
        <f aca="false">IF(OR($C37="",$G37=""),"",$C37*$G37)</f>
        <v>1</v>
      </c>
      <c r="J37" s="16" t="n">
        <f aca="false">IF(OR($D37="",$G37=""),"",$D37*$G37)</f>
        <v>2</v>
      </c>
      <c r="K37" s="16" t="n">
        <f aca="false">IF(OR($F37="",$H37=""),"",PI()*(($H37/2)^2)*$F37)</f>
        <v>45.3645979178366</v>
      </c>
      <c r="L37" s="27"/>
      <c r="M37" s="27" t="n">
        <v>74.4</v>
      </c>
      <c r="N37" s="27" t="n">
        <v>2.3</v>
      </c>
      <c r="O37" s="27" t="s">
        <v>36</v>
      </c>
      <c r="P37" s="16" t="str">
        <f aca="false">IF(OR($L37="",$M37="",$L37=0),"",(($L37-$M37)/$L37)*100)</f>
        <v/>
      </c>
      <c r="Q37" s="15" t="n">
        <f aca="false">IF(OR($M37="",$K37="",$K37=0),"",$M37/$K37)</f>
        <v>1.64004539695804</v>
      </c>
      <c r="R37" s="15" t="n">
        <f aca="false">IF(OR($N37="",$O37=""),"",IF(UPPER($O37)="OC",$N37,IF(UPPER($O37)="LOI",IF(OR(LOI_INTERCEPT="",LOI_SLOPE=""),"",IF(LOI_INTERCEPT+LOI_SLOPE*$N37&lt;0,"",LOI_INTERCEPT+LOI_SLOPE*$N37)),"")))</f>
        <v>0.539</v>
      </c>
      <c r="S37" s="18" t="n">
        <f aca="false">IF($R37="","",$R37*10)</f>
        <v>5.39</v>
      </c>
      <c r="T37" s="28" t="n">
        <f aca="false">IF(OR($Q37="",$R37=""),"",$Q37*$R37/100)</f>
        <v>0.00883984468960381</v>
      </c>
      <c r="U37" s="29" t="n">
        <f aca="false">IF(OR($T37="",$F37=""),"",$T37*$F37)</f>
        <v>0.00883984468960381</v>
      </c>
      <c r="V37" s="15" t="n">
        <f aca="false">IF($U37="","",$U37*10)</f>
        <v>0.0883984468960381</v>
      </c>
      <c r="W37" s="15" t="n">
        <f aca="false">IF(OR($V37="",$I37="",$J37="",$J37&lt;=$I37),"",$V37*MAX(0,MIN($J37,15)-MAX($I37,0))/($J37-$I37))</f>
        <v>0.0883984468960381</v>
      </c>
      <c r="X37" s="15" t="n">
        <f aca="false">IF(OR($V37="",$I37="",$J37="",$J37&lt;=$I37),"",$V37*MAX(0,MIN($J37,30)-MAX($I37,15))/($J37-$I37))</f>
        <v>0</v>
      </c>
      <c r="Y37" s="15" t="n">
        <f aca="false">IF(OR($V37="",$I37="",$J37="",$J37&lt;=$I37),"",$V37*MAX(0,MIN($J37,50)-MAX($I37,30))/($J37-$I37))</f>
        <v>0</v>
      </c>
      <c r="Z37" s="15" t="n">
        <f aca="false">IF(OR($V37="",$I37="",$J37="",$J37&lt;=$I37),"",$V37*MAX(0,MIN($J37,100)-MAX($I37,50))/($J37-$I37))</f>
        <v>0</v>
      </c>
      <c r="AA37" s="16" t="str">
        <f aca="false">IF($A37="","",IF(OR($C37="",$D37="",$D37&lt;=$C37),"CHECK: depths missing, or bottom not below top",IF(COUNTIFS($A$6:$A$205,$A37,$C$6:$C$205,$C37)&gt;1,"DUPLICATE slice",IF(COUNTIFS($A$6:$A$205,$A37,$C$6:$C$205,"&lt;"&amp;$D37,$D$6:$D$205,"&gt;"&amp;$C37)&gt;1,"OVERLAP with another slice",IF(AND($C37&gt;0,COUNTIFS($A$6:$A$205,$A37,$D$6:$D$205,$C37)=0),"GAP above this slice",IF(OR($G37="",$H37=""),"CHECK: Core ID not in Core Log, or its compaction / diameter missing",IF(AND(IF(COUNTIFS('2. Plot &amp; Core Log'!$B$6:$B$35,$A37,'2. Plot &amp; Core Log'!$L$6:$L$35,"&gt;0")=0,"",SUMIFS('2. Plot &amp; Core Log'!$L$6:$L$35,'2. Plot &amp; Core Log'!$B$6:$B$35,$A37))&lt;&gt;"",$D37&gt;IF(COUNTIFS('2. Plot &amp; Core Log'!$B$6:$B$35,$A37,'2. Plot &amp; Core Log'!$L$6:$L$35,"&gt;0")=0,"",SUMIFS('2. Plot &amp; Core Log'!$L$6:$L$35,'2. Plot &amp; Core Log'!$B$6:$B$35,$A37))),"CHECK: slice deeper than the core length on Sheet 2",IF(OR($M37="",$N37="",$O37=""),"AWAITING LAB (dry weight, carbon value or type)",IF(AND(UPPER($O37)&lt;&gt;"OC",UPPER($O37)&lt;&gt;"LOI"),IF(UPPER($O37)="TC","TC is not organic carbon — ask the lab for OC or IC","CHECK: type must be OC, TC or LOI"),IF($R37="",IF(AND(LOI_INTERCEPT&lt;&gt;"",LOI_SLOPE&lt;&gt;""),"CHECK: LOI below the range of the conversion equation (OC would be &lt; 0)","CHECK: LOI conversion not set (Instructions tab)"),IF(OR($Q37&lt;=0,$Q37&gt;2.65,$R37&gt;50),"CHECK: bulk density outside 0–2.65 g/cm3 or OC &gt; 50%","OK")))))))))))</f>
        <v>OK</v>
      </c>
    </row>
    <row r="38" customFormat="false" ht="15.75" hidden="false" customHeight="true" outlineLevel="0" collapsed="false">
      <c r="A38" s="14" t="s">
        <v>107</v>
      </c>
      <c r="B38" s="14" t="n">
        <v>3</v>
      </c>
      <c r="C38" s="24" t="n">
        <v>2</v>
      </c>
      <c r="D38" s="24" t="n">
        <v>3</v>
      </c>
      <c r="E38" s="14" t="s">
        <v>139</v>
      </c>
      <c r="F38" s="16" t="n">
        <f aca="false">IF(OR($C38="",$D38=""),"",$D38-$C38)</f>
        <v>1</v>
      </c>
      <c r="G38" s="25" t="n">
        <f aca="false">IF($A38="","",IFERROR(INDEX('2. Plot &amp; Core Log'!$M$6:$M$35,MATCH($A38,'2. Plot &amp; Core Log'!$B$6:$B$35,0)),""))</f>
        <v>1</v>
      </c>
      <c r="H38" s="26" t="n">
        <f aca="false">IF($A38="","",IFERROR(INDEX('2. Plot &amp; Core Log'!$S$6:$S$35,MATCH($A38,'2. Plot &amp; Core Log'!$B$6:$B$35,0)),""))</f>
        <v>7.6</v>
      </c>
      <c r="I38" s="16" t="n">
        <f aca="false">IF(OR($C38="",$G38=""),"",$C38*$G38)</f>
        <v>2</v>
      </c>
      <c r="J38" s="16" t="n">
        <f aca="false">IF(OR($D38="",$G38=""),"",$D38*$G38)</f>
        <v>3</v>
      </c>
      <c r="K38" s="16" t="n">
        <f aca="false">IF(OR($F38="",$H38=""),"",PI()*(($H38/2)^2)*$F38)</f>
        <v>45.3645979178366</v>
      </c>
      <c r="L38" s="27"/>
      <c r="M38" s="27" t="n">
        <v>76.67</v>
      </c>
      <c r="N38" s="27" t="n">
        <v>2.8</v>
      </c>
      <c r="O38" s="27" t="s">
        <v>36</v>
      </c>
      <c r="P38" s="16" t="str">
        <f aca="false">IF(OR($L38="",$M38="",$L38=0),"",(($L38-$M38)/$L38)*100)</f>
        <v/>
      </c>
      <c r="Q38" s="15" t="n">
        <f aca="false">IF(OR($M38="",$K38="",$K38=0),"",$M38/$K38)</f>
        <v>1.690084416462</v>
      </c>
      <c r="R38" s="15" t="n">
        <f aca="false">IF(OR($N38="",$O38=""),"",IF(UPPER($O38)="OC",$N38,IF(UPPER($O38)="LOI",IF(OR(LOI_INTERCEPT="",LOI_SLOPE=""),"",IF(LOI_INTERCEPT+LOI_SLOPE*$N38&lt;0,"",LOI_INTERCEPT+LOI_SLOPE*$N38)),"")))</f>
        <v>0.699</v>
      </c>
      <c r="S38" s="18" t="n">
        <f aca="false">IF($R38="","",$R38*10)</f>
        <v>6.99</v>
      </c>
      <c r="T38" s="28" t="n">
        <f aca="false">IF(OR($Q38="",$R38=""),"",$Q38*$R38/100)</f>
        <v>0.0118136900710694</v>
      </c>
      <c r="U38" s="29" t="n">
        <f aca="false">IF(OR($T38="",$F38=""),"",$T38*$F38)</f>
        <v>0.0118136900710694</v>
      </c>
      <c r="V38" s="15" t="n">
        <f aca="false">IF($U38="","",$U38*10)</f>
        <v>0.118136900710694</v>
      </c>
      <c r="W38" s="15" t="n">
        <f aca="false">IF(OR($V38="",$I38="",$J38="",$J38&lt;=$I38),"",$V38*MAX(0,MIN($J38,15)-MAX($I38,0))/($J38-$I38))</f>
        <v>0.118136900710694</v>
      </c>
      <c r="X38" s="15" t="n">
        <f aca="false">IF(OR($V38="",$I38="",$J38="",$J38&lt;=$I38),"",$V38*MAX(0,MIN($J38,30)-MAX($I38,15))/($J38-$I38))</f>
        <v>0</v>
      </c>
      <c r="Y38" s="15" t="n">
        <f aca="false">IF(OR($V38="",$I38="",$J38="",$J38&lt;=$I38),"",$V38*MAX(0,MIN($J38,50)-MAX($I38,30))/($J38-$I38))</f>
        <v>0</v>
      </c>
      <c r="Z38" s="15" t="n">
        <f aca="false">IF(OR($V38="",$I38="",$J38="",$J38&lt;=$I38),"",$V38*MAX(0,MIN($J38,100)-MAX($I38,50))/($J38-$I38))</f>
        <v>0</v>
      </c>
      <c r="AA38" s="16" t="str">
        <f aca="false">IF($A38="","",IF(OR($C38="",$D38="",$D38&lt;=$C38),"CHECK: depths missing, or bottom not below top",IF(COUNTIFS($A$6:$A$205,$A38,$C$6:$C$205,$C38)&gt;1,"DUPLICATE slice",IF(COUNTIFS($A$6:$A$205,$A38,$C$6:$C$205,"&lt;"&amp;$D38,$D$6:$D$205,"&gt;"&amp;$C38)&gt;1,"OVERLAP with another slice",IF(AND($C38&gt;0,COUNTIFS($A$6:$A$205,$A38,$D$6:$D$205,$C38)=0),"GAP above this slice",IF(OR($G38="",$H38=""),"CHECK: Core ID not in Core Log, or its compaction / diameter missing",IF(AND(IF(COUNTIFS('2. Plot &amp; Core Log'!$B$6:$B$35,$A38,'2. Plot &amp; Core Log'!$L$6:$L$35,"&gt;0")=0,"",SUMIFS('2. Plot &amp; Core Log'!$L$6:$L$35,'2. Plot &amp; Core Log'!$B$6:$B$35,$A38))&lt;&gt;"",$D38&gt;IF(COUNTIFS('2. Plot &amp; Core Log'!$B$6:$B$35,$A38,'2. Plot &amp; Core Log'!$L$6:$L$35,"&gt;0")=0,"",SUMIFS('2. Plot &amp; Core Log'!$L$6:$L$35,'2. Plot &amp; Core Log'!$B$6:$B$35,$A38))),"CHECK: slice deeper than the core length on Sheet 2",IF(OR($M38="",$N38="",$O38=""),"AWAITING LAB (dry weight, carbon value or type)",IF(AND(UPPER($O38)&lt;&gt;"OC",UPPER($O38)&lt;&gt;"LOI"),IF(UPPER($O38)="TC","TC is not organic carbon — ask the lab for OC or IC","CHECK: type must be OC, TC or LOI"),IF($R38="",IF(AND(LOI_INTERCEPT&lt;&gt;"",LOI_SLOPE&lt;&gt;""),"CHECK: LOI below the range of the conversion equation (OC would be &lt; 0)","CHECK: LOI conversion not set (Instructions tab)"),IF(OR($Q38&lt;=0,$Q38&gt;2.65,$R38&gt;50),"CHECK: bulk density outside 0–2.65 g/cm3 or OC &gt; 50%","OK")))))))))))</f>
        <v>OK</v>
      </c>
    </row>
    <row r="39" customFormat="false" ht="15.75" hidden="false" customHeight="true" outlineLevel="0" collapsed="false">
      <c r="A39" s="14" t="s">
        <v>107</v>
      </c>
      <c r="B39" s="14" t="n">
        <v>4</v>
      </c>
      <c r="C39" s="24" t="n">
        <v>3</v>
      </c>
      <c r="D39" s="24" t="n">
        <v>4</v>
      </c>
      <c r="E39" s="14" t="s">
        <v>139</v>
      </c>
      <c r="F39" s="16" t="n">
        <f aca="false">IF(OR($C39="",$D39=""),"",$D39-$C39)</f>
        <v>1</v>
      </c>
      <c r="G39" s="25" t="n">
        <f aca="false">IF($A39="","",IFERROR(INDEX('2. Plot &amp; Core Log'!$M$6:$M$35,MATCH($A39,'2. Plot &amp; Core Log'!$B$6:$B$35,0)),""))</f>
        <v>1</v>
      </c>
      <c r="H39" s="26" t="n">
        <f aca="false">IF($A39="","",IFERROR(INDEX('2. Plot &amp; Core Log'!$S$6:$S$35,MATCH($A39,'2. Plot &amp; Core Log'!$B$6:$B$35,0)),""))</f>
        <v>7.6</v>
      </c>
      <c r="I39" s="16" t="n">
        <f aca="false">IF(OR($C39="",$G39=""),"",$C39*$G39)</f>
        <v>3</v>
      </c>
      <c r="J39" s="16" t="n">
        <f aca="false">IF(OR($D39="",$G39=""),"",$D39*$G39)</f>
        <v>4</v>
      </c>
      <c r="K39" s="16" t="n">
        <f aca="false">IF(OR($F39="",$H39=""),"",PI()*(($H39/2)^2)*$F39)</f>
        <v>45.3645979178366</v>
      </c>
      <c r="L39" s="27"/>
      <c r="M39" s="27" t="n">
        <v>80.75</v>
      </c>
      <c r="N39" s="27" t="n">
        <v>2.8</v>
      </c>
      <c r="O39" s="27" t="s">
        <v>36</v>
      </c>
      <c r="P39" s="16" t="str">
        <f aca="false">IF(OR($L39="",$M39="",$L39=0),"",(($L39-$M39)/$L39)*100)</f>
        <v/>
      </c>
      <c r="Q39" s="15" t="n">
        <f aca="false">IF(OR($M39="",$K39="",$K39=0),"",$M39/$K39)</f>
        <v>1.78002238984357</v>
      </c>
      <c r="R39" s="15" t="n">
        <f aca="false">IF(OR($N39="",$O39=""),"",IF(UPPER($O39)="OC",$N39,IF(UPPER($O39)="LOI",IF(OR(LOI_INTERCEPT="",LOI_SLOPE=""),"",IF(LOI_INTERCEPT+LOI_SLOPE*$N39&lt;0,"",LOI_INTERCEPT+LOI_SLOPE*$N39)),"")))</f>
        <v>0.699</v>
      </c>
      <c r="S39" s="18" t="n">
        <f aca="false">IF($R39="","",$R39*10)</f>
        <v>6.99</v>
      </c>
      <c r="T39" s="28" t="n">
        <f aca="false">IF(OR($Q39="",$R39=""),"",$Q39*$R39/100)</f>
        <v>0.0124423565050065</v>
      </c>
      <c r="U39" s="29" t="n">
        <f aca="false">IF(OR($T39="",$F39=""),"",$T39*$F39)</f>
        <v>0.0124423565050065</v>
      </c>
      <c r="V39" s="15" t="n">
        <f aca="false">IF($U39="","",$U39*10)</f>
        <v>0.124423565050065</v>
      </c>
      <c r="W39" s="15" t="n">
        <f aca="false">IF(OR($V39="",$I39="",$J39="",$J39&lt;=$I39),"",$V39*MAX(0,MIN($J39,15)-MAX($I39,0))/($J39-$I39))</f>
        <v>0.124423565050065</v>
      </c>
      <c r="X39" s="15" t="n">
        <f aca="false">IF(OR($V39="",$I39="",$J39="",$J39&lt;=$I39),"",$V39*MAX(0,MIN($J39,30)-MAX($I39,15))/($J39-$I39))</f>
        <v>0</v>
      </c>
      <c r="Y39" s="15" t="n">
        <f aca="false">IF(OR($V39="",$I39="",$J39="",$J39&lt;=$I39),"",$V39*MAX(0,MIN($J39,50)-MAX($I39,30))/($J39-$I39))</f>
        <v>0</v>
      </c>
      <c r="Z39" s="15" t="n">
        <f aca="false">IF(OR($V39="",$I39="",$J39="",$J39&lt;=$I39),"",$V39*MAX(0,MIN($J39,100)-MAX($I39,50))/($J39-$I39))</f>
        <v>0</v>
      </c>
      <c r="AA39" s="16" t="str">
        <f aca="false">IF($A39="","",IF(OR($C39="",$D39="",$D39&lt;=$C39),"CHECK: depths missing, or bottom not below top",IF(COUNTIFS($A$6:$A$205,$A39,$C$6:$C$205,$C39)&gt;1,"DUPLICATE slice",IF(COUNTIFS($A$6:$A$205,$A39,$C$6:$C$205,"&lt;"&amp;$D39,$D$6:$D$205,"&gt;"&amp;$C39)&gt;1,"OVERLAP with another slice",IF(AND($C39&gt;0,COUNTIFS($A$6:$A$205,$A39,$D$6:$D$205,$C39)=0),"GAP above this slice",IF(OR($G39="",$H39=""),"CHECK: Core ID not in Core Log, or its compaction / diameter missing",IF(AND(IF(COUNTIFS('2. Plot &amp; Core Log'!$B$6:$B$35,$A39,'2. Plot &amp; Core Log'!$L$6:$L$35,"&gt;0")=0,"",SUMIFS('2. Plot &amp; Core Log'!$L$6:$L$35,'2. Plot &amp; Core Log'!$B$6:$B$35,$A39))&lt;&gt;"",$D39&gt;IF(COUNTIFS('2. Plot &amp; Core Log'!$B$6:$B$35,$A39,'2. Plot &amp; Core Log'!$L$6:$L$35,"&gt;0")=0,"",SUMIFS('2. Plot &amp; Core Log'!$L$6:$L$35,'2. Plot &amp; Core Log'!$B$6:$B$35,$A39))),"CHECK: slice deeper than the core length on Sheet 2",IF(OR($M39="",$N39="",$O39=""),"AWAITING LAB (dry weight, carbon value or type)",IF(AND(UPPER($O39)&lt;&gt;"OC",UPPER($O39)&lt;&gt;"LOI"),IF(UPPER($O39)="TC","TC is not organic carbon — ask the lab for OC or IC","CHECK: type must be OC, TC or LOI"),IF($R39="",IF(AND(LOI_INTERCEPT&lt;&gt;"",LOI_SLOPE&lt;&gt;""),"CHECK: LOI below the range of the conversion equation (OC would be &lt; 0)","CHECK: LOI conversion not set (Instructions tab)"),IF(OR($Q39&lt;=0,$Q39&gt;2.65,$R39&gt;50),"CHECK: bulk density outside 0–2.65 g/cm3 or OC &gt; 50%","OK")))))))))))</f>
        <v>OK</v>
      </c>
    </row>
    <row r="40" customFormat="false" ht="15.75" hidden="false" customHeight="true" outlineLevel="0" collapsed="false">
      <c r="A40" s="14" t="s">
        <v>107</v>
      </c>
      <c r="B40" s="14" t="n">
        <v>5</v>
      </c>
      <c r="C40" s="24" t="n">
        <v>4</v>
      </c>
      <c r="D40" s="24" t="n">
        <v>5</v>
      </c>
      <c r="E40" s="14" t="s">
        <v>139</v>
      </c>
      <c r="F40" s="16" t="n">
        <f aca="false">IF(OR($C40="",$D40=""),"",$D40-$C40)</f>
        <v>1</v>
      </c>
      <c r="G40" s="25" t="n">
        <f aca="false">IF($A40="","",IFERROR(INDEX('2. Plot &amp; Core Log'!$M$6:$M$35,MATCH($A40,'2. Plot &amp; Core Log'!$B$6:$B$35,0)),""))</f>
        <v>1</v>
      </c>
      <c r="H40" s="26" t="n">
        <f aca="false">IF($A40="","",IFERROR(INDEX('2. Plot &amp; Core Log'!$S$6:$S$35,MATCH($A40,'2. Plot &amp; Core Log'!$B$6:$B$35,0)),""))</f>
        <v>7.6</v>
      </c>
      <c r="I40" s="16" t="n">
        <f aca="false">IF(OR($C40="",$G40=""),"",$C40*$G40)</f>
        <v>4</v>
      </c>
      <c r="J40" s="16" t="n">
        <f aca="false">IF(OR($D40="",$G40=""),"",$D40*$G40)</f>
        <v>5</v>
      </c>
      <c r="K40" s="16" t="n">
        <f aca="false">IF(OR($F40="",$H40=""),"",PI()*(($H40/2)^2)*$F40)</f>
        <v>45.3645979178366</v>
      </c>
      <c r="L40" s="27"/>
      <c r="M40" s="27" t="n">
        <v>78.48</v>
      </c>
      <c r="N40" s="27" t="n">
        <v>2.4</v>
      </c>
      <c r="O40" s="27" t="s">
        <v>36</v>
      </c>
      <c r="P40" s="16" t="str">
        <f aca="false">IF(OR($L40="",$M40="",$L40=0),"",(($L40-$M40)/$L40)*100)</f>
        <v/>
      </c>
      <c r="Q40" s="15" t="n">
        <f aca="false">IF(OR($M40="",$K40="",$K40=0),"",$M40/$K40)</f>
        <v>1.7299833703396</v>
      </c>
      <c r="R40" s="15" t="n">
        <f aca="false">IF(OR($N40="",$O40=""),"",IF(UPPER($O40)="OC",$N40,IF(UPPER($O40)="LOI",IF(OR(LOI_INTERCEPT="",LOI_SLOPE=""),"",IF(LOI_INTERCEPT+LOI_SLOPE*$N40&lt;0,"",LOI_INTERCEPT+LOI_SLOPE*$N40)),"")))</f>
        <v>0.571</v>
      </c>
      <c r="S40" s="18" t="n">
        <f aca="false">IF($R40="","",$R40*10)</f>
        <v>5.71</v>
      </c>
      <c r="T40" s="28" t="n">
        <f aca="false">IF(OR($Q40="",$R40=""),"",$Q40*$R40/100)</f>
        <v>0.00987820504463914</v>
      </c>
      <c r="U40" s="29" t="n">
        <f aca="false">IF(OR($T40="",$F40=""),"",$T40*$F40)</f>
        <v>0.00987820504463914</v>
      </c>
      <c r="V40" s="15" t="n">
        <f aca="false">IF($U40="","",$U40*10)</f>
        <v>0.0987820504463914</v>
      </c>
      <c r="W40" s="15" t="n">
        <f aca="false">IF(OR($V40="",$I40="",$J40="",$J40&lt;=$I40),"",$V40*MAX(0,MIN($J40,15)-MAX($I40,0))/($J40-$I40))</f>
        <v>0.0987820504463914</v>
      </c>
      <c r="X40" s="15" t="n">
        <f aca="false">IF(OR($V40="",$I40="",$J40="",$J40&lt;=$I40),"",$V40*MAX(0,MIN($J40,30)-MAX($I40,15))/($J40-$I40))</f>
        <v>0</v>
      </c>
      <c r="Y40" s="15" t="n">
        <f aca="false">IF(OR($V40="",$I40="",$J40="",$J40&lt;=$I40),"",$V40*MAX(0,MIN($J40,50)-MAX($I40,30))/($J40-$I40))</f>
        <v>0</v>
      </c>
      <c r="Z40" s="15" t="n">
        <f aca="false">IF(OR($V40="",$I40="",$J40="",$J40&lt;=$I40),"",$V40*MAX(0,MIN($J40,100)-MAX($I40,50))/($J40-$I40))</f>
        <v>0</v>
      </c>
      <c r="AA40" s="16" t="str">
        <f aca="false">IF($A40="","",IF(OR($C40="",$D40="",$D40&lt;=$C40),"CHECK: depths missing, or bottom not below top",IF(COUNTIFS($A$6:$A$205,$A40,$C$6:$C$205,$C40)&gt;1,"DUPLICATE slice",IF(COUNTIFS($A$6:$A$205,$A40,$C$6:$C$205,"&lt;"&amp;$D40,$D$6:$D$205,"&gt;"&amp;$C40)&gt;1,"OVERLAP with another slice",IF(AND($C40&gt;0,COUNTIFS($A$6:$A$205,$A40,$D$6:$D$205,$C40)=0),"GAP above this slice",IF(OR($G40="",$H40=""),"CHECK: Core ID not in Core Log, or its compaction / diameter missing",IF(AND(IF(COUNTIFS('2. Plot &amp; Core Log'!$B$6:$B$35,$A40,'2. Plot &amp; Core Log'!$L$6:$L$35,"&gt;0")=0,"",SUMIFS('2. Plot &amp; Core Log'!$L$6:$L$35,'2. Plot &amp; Core Log'!$B$6:$B$35,$A40))&lt;&gt;"",$D40&gt;IF(COUNTIFS('2. Plot &amp; Core Log'!$B$6:$B$35,$A40,'2. Plot &amp; Core Log'!$L$6:$L$35,"&gt;0")=0,"",SUMIFS('2. Plot &amp; Core Log'!$L$6:$L$35,'2. Plot &amp; Core Log'!$B$6:$B$35,$A40))),"CHECK: slice deeper than the core length on Sheet 2",IF(OR($M40="",$N40="",$O40=""),"AWAITING LAB (dry weight, carbon value or type)",IF(AND(UPPER($O40)&lt;&gt;"OC",UPPER($O40)&lt;&gt;"LOI"),IF(UPPER($O40)="TC","TC is not organic carbon — ask the lab for OC or IC","CHECK: type must be OC, TC or LOI"),IF($R40="",IF(AND(LOI_INTERCEPT&lt;&gt;"",LOI_SLOPE&lt;&gt;""),"CHECK: LOI below the range of the conversion equation (OC would be &lt; 0)","CHECK: LOI conversion not set (Instructions tab)"),IF(OR($Q40&lt;=0,$Q40&gt;2.65,$R40&gt;50),"CHECK: bulk density outside 0–2.65 g/cm3 or OC &gt; 50%","OK")))))))))))</f>
        <v>OK</v>
      </c>
    </row>
    <row r="41" customFormat="false" ht="15.75" hidden="false" customHeight="true" outlineLevel="0" collapsed="false">
      <c r="A41" s="14" t="s">
        <v>107</v>
      </c>
      <c r="B41" s="14" t="n">
        <v>6</v>
      </c>
      <c r="C41" s="24" t="n">
        <v>5</v>
      </c>
      <c r="D41" s="24" t="n">
        <v>6</v>
      </c>
      <c r="E41" s="14" t="s">
        <v>139</v>
      </c>
      <c r="F41" s="16" t="n">
        <f aca="false">IF(OR($C41="",$D41=""),"",$D41-$C41)</f>
        <v>1</v>
      </c>
      <c r="G41" s="25" t="n">
        <f aca="false">IF($A41="","",IFERROR(INDEX('2. Plot &amp; Core Log'!$M$6:$M$35,MATCH($A41,'2. Plot &amp; Core Log'!$B$6:$B$35,0)),""))</f>
        <v>1</v>
      </c>
      <c r="H41" s="26" t="n">
        <f aca="false">IF($A41="","",IFERROR(INDEX('2. Plot &amp; Core Log'!$S$6:$S$35,MATCH($A41,'2. Plot &amp; Core Log'!$B$6:$B$35,0)),""))</f>
        <v>7.6</v>
      </c>
      <c r="I41" s="16" t="n">
        <f aca="false">IF(OR($C41="",$G41=""),"",$C41*$G41)</f>
        <v>5</v>
      </c>
      <c r="J41" s="16" t="n">
        <f aca="false">IF(OR($D41="",$G41=""),"",$D41*$G41)</f>
        <v>6</v>
      </c>
      <c r="K41" s="16" t="n">
        <f aca="false">IF(OR($F41="",$H41=""),"",PI()*(($H41/2)^2)*$F41)</f>
        <v>45.3645979178366</v>
      </c>
      <c r="L41" s="27"/>
      <c r="M41" s="27" t="n">
        <v>86.19</v>
      </c>
      <c r="N41" s="27" t="n">
        <v>2.4</v>
      </c>
      <c r="O41" s="27" t="s">
        <v>36</v>
      </c>
      <c r="P41" s="16" t="str">
        <f aca="false">IF(OR($L41="",$M41="",$L41=0),"",(($L41-$M41)/$L41)*100)</f>
        <v/>
      </c>
      <c r="Q41" s="15" t="n">
        <f aca="false">IF(OR($M41="",$K41="",$K41=0),"",$M41/$K41)</f>
        <v>1.89993968768566</v>
      </c>
      <c r="R41" s="15" t="n">
        <f aca="false">IF(OR($N41="",$O41=""),"",IF(UPPER($O41)="OC",$N41,IF(UPPER($O41)="LOI",IF(OR(LOI_INTERCEPT="",LOI_SLOPE=""),"",IF(LOI_INTERCEPT+LOI_SLOPE*$N41&lt;0,"",LOI_INTERCEPT+LOI_SLOPE*$N41)),"")))</f>
        <v>0.571</v>
      </c>
      <c r="S41" s="18" t="n">
        <f aca="false">IF($R41="","",$R41*10)</f>
        <v>5.71</v>
      </c>
      <c r="T41" s="28" t="n">
        <f aca="false">IF(OR($Q41="",$R41=""),"",$Q41*$R41/100)</f>
        <v>0.0108486556166851</v>
      </c>
      <c r="U41" s="29" t="n">
        <f aca="false">IF(OR($T41="",$F41=""),"",$T41*$F41)</f>
        <v>0.0108486556166851</v>
      </c>
      <c r="V41" s="15" t="n">
        <f aca="false">IF($U41="","",$U41*10)</f>
        <v>0.108486556166851</v>
      </c>
      <c r="W41" s="15" t="n">
        <f aca="false">IF(OR($V41="",$I41="",$J41="",$J41&lt;=$I41),"",$V41*MAX(0,MIN($J41,15)-MAX($I41,0))/($J41-$I41))</f>
        <v>0.108486556166851</v>
      </c>
      <c r="X41" s="15" t="n">
        <f aca="false">IF(OR($V41="",$I41="",$J41="",$J41&lt;=$I41),"",$V41*MAX(0,MIN($J41,30)-MAX($I41,15))/($J41-$I41))</f>
        <v>0</v>
      </c>
      <c r="Y41" s="15" t="n">
        <f aca="false">IF(OR($V41="",$I41="",$J41="",$J41&lt;=$I41),"",$V41*MAX(0,MIN($J41,50)-MAX($I41,30))/($J41-$I41))</f>
        <v>0</v>
      </c>
      <c r="Z41" s="15" t="n">
        <f aca="false">IF(OR($V41="",$I41="",$J41="",$J41&lt;=$I41),"",$V41*MAX(0,MIN($J41,100)-MAX($I41,50))/($J41-$I41))</f>
        <v>0</v>
      </c>
      <c r="AA41" s="16" t="str">
        <f aca="false">IF($A41="","",IF(OR($C41="",$D41="",$D41&lt;=$C41),"CHECK: depths missing, or bottom not below top",IF(COUNTIFS($A$6:$A$205,$A41,$C$6:$C$205,$C41)&gt;1,"DUPLICATE slice",IF(COUNTIFS($A$6:$A$205,$A41,$C$6:$C$205,"&lt;"&amp;$D41,$D$6:$D$205,"&gt;"&amp;$C41)&gt;1,"OVERLAP with another slice",IF(AND($C41&gt;0,COUNTIFS($A$6:$A$205,$A41,$D$6:$D$205,$C41)=0),"GAP above this slice",IF(OR($G41="",$H41=""),"CHECK: Core ID not in Core Log, or its compaction / diameter missing",IF(AND(IF(COUNTIFS('2. Plot &amp; Core Log'!$B$6:$B$35,$A41,'2. Plot &amp; Core Log'!$L$6:$L$35,"&gt;0")=0,"",SUMIFS('2. Plot &amp; Core Log'!$L$6:$L$35,'2. Plot &amp; Core Log'!$B$6:$B$35,$A41))&lt;&gt;"",$D41&gt;IF(COUNTIFS('2. Plot &amp; Core Log'!$B$6:$B$35,$A41,'2. Plot &amp; Core Log'!$L$6:$L$35,"&gt;0")=0,"",SUMIFS('2. Plot &amp; Core Log'!$L$6:$L$35,'2. Plot &amp; Core Log'!$B$6:$B$35,$A41))),"CHECK: slice deeper than the core length on Sheet 2",IF(OR($M41="",$N41="",$O41=""),"AWAITING LAB (dry weight, carbon value or type)",IF(AND(UPPER($O41)&lt;&gt;"OC",UPPER($O41)&lt;&gt;"LOI"),IF(UPPER($O41)="TC","TC is not organic carbon — ask the lab for OC or IC","CHECK: type must be OC, TC or LOI"),IF($R41="",IF(AND(LOI_INTERCEPT&lt;&gt;"",LOI_SLOPE&lt;&gt;""),"CHECK: LOI below the range of the conversion equation (OC would be &lt; 0)","CHECK: LOI conversion not set (Instructions tab)"),IF(OR($Q41&lt;=0,$Q41&gt;2.65,$R41&gt;50),"CHECK: bulk density outside 0–2.65 g/cm3 or OC &gt; 50%","OK")))))))))))</f>
        <v>OK</v>
      </c>
    </row>
    <row r="42" customFormat="false" ht="15.75" hidden="false" customHeight="true" outlineLevel="0" collapsed="false">
      <c r="A42" s="14" t="s">
        <v>107</v>
      </c>
      <c r="B42" s="14" t="n">
        <v>7</v>
      </c>
      <c r="C42" s="24" t="n">
        <v>6</v>
      </c>
      <c r="D42" s="24" t="n">
        <v>7</v>
      </c>
      <c r="E42" s="14" t="s">
        <v>139</v>
      </c>
      <c r="F42" s="16" t="n">
        <f aca="false">IF(OR($C42="",$D42=""),"",$D42-$C42)</f>
        <v>1</v>
      </c>
      <c r="G42" s="25" t="n">
        <f aca="false">IF($A42="","",IFERROR(INDEX('2. Plot &amp; Core Log'!$M$6:$M$35,MATCH($A42,'2. Plot &amp; Core Log'!$B$6:$B$35,0)),""))</f>
        <v>1</v>
      </c>
      <c r="H42" s="26" t="n">
        <f aca="false">IF($A42="","",IFERROR(INDEX('2. Plot &amp; Core Log'!$S$6:$S$35,MATCH($A42,'2. Plot &amp; Core Log'!$B$6:$B$35,0)),""))</f>
        <v>7.6</v>
      </c>
      <c r="I42" s="16" t="n">
        <f aca="false">IF(OR($C42="",$G42=""),"",$C42*$G42)</f>
        <v>6</v>
      </c>
      <c r="J42" s="16" t="n">
        <f aca="false">IF(OR($D42="",$G42=""),"",$D42*$G42)</f>
        <v>7</v>
      </c>
      <c r="K42" s="16" t="n">
        <f aca="false">IF(OR($F42="",$H42=""),"",PI()*(($H42/2)^2)*$F42)</f>
        <v>45.3645979178366</v>
      </c>
      <c r="L42" s="27"/>
      <c r="M42" s="27" t="n">
        <v>73.49</v>
      </c>
      <c r="N42" s="27" t="n">
        <v>2.5</v>
      </c>
      <c r="O42" s="27" t="s">
        <v>36</v>
      </c>
      <c r="P42" s="16" t="str">
        <f aca="false">IF(OR($L42="",$M42="",$L42=0),"",(($L42-$M42)/$L42)*100)</f>
        <v/>
      </c>
      <c r="Q42" s="15" t="n">
        <f aca="false">IF(OR($M42="",$K42="",$K42=0),"",$M42/$K42)</f>
        <v>1.6199857019146</v>
      </c>
      <c r="R42" s="15" t="n">
        <f aca="false">IF(OR($N42="",$O42=""),"",IF(UPPER($O42)="OC",$N42,IF(UPPER($O42)="LOI",IF(OR(LOI_INTERCEPT="",LOI_SLOPE=""),"",IF(LOI_INTERCEPT+LOI_SLOPE*$N42&lt;0,"",LOI_INTERCEPT+LOI_SLOPE*$N42)),"")))</f>
        <v>0.603</v>
      </c>
      <c r="S42" s="18" t="n">
        <f aca="false">IF($R42="","",$R42*10)</f>
        <v>6.03</v>
      </c>
      <c r="T42" s="28" t="n">
        <f aca="false">IF(OR($Q42="",$R42=""),"",$Q42*$R42/100)</f>
        <v>0.00976851378254502</v>
      </c>
      <c r="U42" s="29" t="n">
        <f aca="false">IF(OR($T42="",$F42=""),"",$T42*$F42)</f>
        <v>0.00976851378254502</v>
      </c>
      <c r="V42" s="15" t="n">
        <f aca="false">IF($U42="","",$U42*10)</f>
        <v>0.0976851378254502</v>
      </c>
      <c r="W42" s="15" t="n">
        <f aca="false">IF(OR($V42="",$I42="",$J42="",$J42&lt;=$I42),"",$V42*MAX(0,MIN($J42,15)-MAX($I42,0))/($J42-$I42))</f>
        <v>0.0976851378254502</v>
      </c>
      <c r="X42" s="15" t="n">
        <f aca="false">IF(OR($V42="",$I42="",$J42="",$J42&lt;=$I42),"",$V42*MAX(0,MIN($J42,30)-MAX($I42,15))/($J42-$I42))</f>
        <v>0</v>
      </c>
      <c r="Y42" s="15" t="n">
        <f aca="false">IF(OR($V42="",$I42="",$J42="",$J42&lt;=$I42),"",$V42*MAX(0,MIN($J42,50)-MAX($I42,30))/($J42-$I42))</f>
        <v>0</v>
      </c>
      <c r="Z42" s="15" t="n">
        <f aca="false">IF(OR($V42="",$I42="",$J42="",$J42&lt;=$I42),"",$V42*MAX(0,MIN($J42,100)-MAX($I42,50))/($J42-$I42))</f>
        <v>0</v>
      </c>
      <c r="AA42" s="16" t="str">
        <f aca="false">IF($A42="","",IF(OR($C42="",$D42="",$D42&lt;=$C42),"CHECK: depths missing, or bottom not below top",IF(COUNTIFS($A$6:$A$205,$A42,$C$6:$C$205,$C42)&gt;1,"DUPLICATE slice",IF(COUNTIFS($A$6:$A$205,$A42,$C$6:$C$205,"&lt;"&amp;$D42,$D$6:$D$205,"&gt;"&amp;$C42)&gt;1,"OVERLAP with another slice",IF(AND($C42&gt;0,COUNTIFS($A$6:$A$205,$A42,$D$6:$D$205,$C42)=0),"GAP above this slice",IF(OR($G42="",$H42=""),"CHECK: Core ID not in Core Log, or its compaction / diameter missing",IF(AND(IF(COUNTIFS('2. Plot &amp; Core Log'!$B$6:$B$35,$A42,'2. Plot &amp; Core Log'!$L$6:$L$35,"&gt;0")=0,"",SUMIFS('2. Plot &amp; Core Log'!$L$6:$L$35,'2. Plot &amp; Core Log'!$B$6:$B$35,$A42))&lt;&gt;"",$D42&gt;IF(COUNTIFS('2. Plot &amp; Core Log'!$B$6:$B$35,$A42,'2. Plot &amp; Core Log'!$L$6:$L$35,"&gt;0")=0,"",SUMIFS('2. Plot &amp; Core Log'!$L$6:$L$35,'2. Plot &amp; Core Log'!$B$6:$B$35,$A42))),"CHECK: slice deeper than the core length on Sheet 2",IF(OR($M42="",$N42="",$O42=""),"AWAITING LAB (dry weight, carbon value or type)",IF(AND(UPPER($O42)&lt;&gt;"OC",UPPER($O42)&lt;&gt;"LOI"),IF(UPPER($O42)="TC","TC is not organic carbon — ask the lab for OC or IC","CHECK: type must be OC, TC or LOI"),IF($R42="",IF(AND(LOI_INTERCEPT&lt;&gt;"",LOI_SLOPE&lt;&gt;""),"CHECK: LOI below the range of the conversion equation (OC would be &lt; 0)","CHECK: LOI conversion not set (Instructions tab)"),IF(OR($Q42&lt;=0,$Q42&gt;2.65,$R42&gt;50),"CHECK: bulk density outside 0–2.65 g/cm3 or OC &gt; 50%","OK")))))))))))</f>
        <v>OK</v>
      </c>
    </row>
    <row r="43" customFormat="false" ht="15.75" hidden="false" customHeight="true" outlineLevel="0" collapsed="false">
      <c r="A43" s="14" t="s">
        <v>107</v>
      </c>
      <c r="B43" s="14" t="n">
        <v>8</v>
      </c>
      <c r="C43" s="24" t="n">
        <v>7</v>
      </c>
      <c r="D43" s="24" t="n">
        <v>8</v>
      </c>
      <c r="E43" s="14" t="s">
        <v>139</v>
      </c>
      <c r="F43" s="16" t="n">
        <f aca="false">IF(OR($C43="",$D43=""),"",$D43-$C43)</f>
        <v>1</v>
      </c>
      <c r="G43" s="25" t="n">
        <f aca="false">IF($A43="","",IFERROR(INDEX('2. Plot &amp; Core Log'!$M$6:$M$35,MATCH($A43,'2. Plot &amp; Core Log'!$B$6:$B$35,0)),""))</f>
        <v>1</v>
      </c>
      <c r="H43" s="26" t="n">
        <f aca="false">IF($A43="","",IFERROR(INDEX('2. Plot &amp; Core Log'!$S$6:$S$35,MATCH($A43,'2. Plot &amp; Core Log'!$B$6:$B$35,0)),""))</f>
        <v>7.6</v>
      </c>
      <c r="I43" s="16" t="n">
        <f aca="false">IF(OR($C43="",$G43=""),"",$C43*$G43)</f>
        <v>7</v>
      </c>
      <c r="J43" s="16" t="n">
        <f aca="false">IF(OR($D43="",$G43=""),"",$D43*$G43)</f>
        <v>8</v>
      </c>
      <c r="K43" s="16" t="n">
        <f aca="false">IF(OR($F43="",$H43=""),"",PI()*(($H43/2)^2)*$F43)</f>
        <v>45.3645979178366</v>
      </c>
      <c r="L43" s="27"/>
      <c r="M43" s="27" t="n">
        <v>78.48</v>
      </c>
      <c r="N43" s="27" t="n">
        <v>2.2</v>
      </c>
      <c r="O43" s="27" t="s">
        <v>36</v>
      </c>
      <c r="P43" s="16" t="str">
        <f aca="false">IF(OR($L43="",$M43="",$L43=0),"",(($L43-$M43)/$L43)*100)</f>
        <v/>
      </c>
      <c r="Q43" s="15" t="n">
        <f aca="false">IF(OR($M43="",$K43="",$K43=0),"",$M43/$K43)</f>
        <v>1.7299833703396</v>
      </c>
      <c r="R43" s="15" t="n">
        <f aca="false">IF(OR($N43="",$O43=""),"",IF(UPPER($O43)="OC",$N43,IF(UPPER($O43)="LOI",IF(OR(LOI_INTERCEPT="",LOI_SLOPE=""),"",IF(LOI_INTERCEPT+LOI_SLOPE*$N43&lt;0,"",LOI_INTERCEPT+LOI_SLOPE*$N43)),"")))</f>
        <v>0.507</v>
      </c>
      <c r="S43" s="18" t="n">
        <f aca="false">IF($R43="","",$R43*10)</f>
        <v>5.07</v>
      </c>
      <c r="T43" s="28" t="n">
        <f aca="false">IF(OR($Q43="",$R43=""),"",$Q43*$R43/100)</f>
        <v>0.0087710156876218</v>
      </c>
      <c r="U43" s="29" t="n">
        <f aca="false">IF(OR($T43="",$F43=""),"",$T43*$F43)</f>
        <v>0.0087710156876218</v>
      </c>
      <c r="V43" s="15" t="n">
        <f aca="false">IF($U43="","",$U43*10)</f>
        <v>0.087710156876218</v>
      </c>
      <c r="W43" s="15" t="n">
        <f aca="false">IF(OR($V43="",$I43="",$J43="",$J43&lt;=$I43),"",$V43*MAX(0,MIN($J43,15)-MAX($I43,0))/($J43-$I43))</f>
        <v>0.087710156876218</v>
      </c>
      <c r="X43" s="15" t="n">
        <f aca="false">IF(OR($V43="",$I43="",$J43="",$J43&lt;=$I43),"",$V43*MAX(0,MIN($J43,30)-MAX($I43,15))/($J43-$I43))</f>
        <v>0</v>
      </c>
      <c r="Y43" s="15" t="n">
        <f aca="false">IF(OR($V43="",$I43="",$J43="",$J43&lt;=$I43),"",$V43*MAX(0,MIN($J43,50)-MAX($I43,30))/($J43-$I43))</f>
        <v>0</v>
      </c>
      <c r="Z43" s="15" t="n">
        <f aca="false">IF(OR($V43="",$I43="",$J43="",$J43&lt;=$I43),"",$V43*MAX(0,MIN($J43,100)-MAX($I43,50))/($J43-$I43))</f>
        <v>0</v>
      </c>
      <c r="AA43" s="16" t="str">
        <f aca="false">IF($A43="","",IF(OR($C43="",$D43="",$D43&lt;=$C43),"CHECK: depths missing, or bottom not below top",IF(COUNTIFS($A$6:$A$205,$A43,$C$6:$C$205,$C43)&gt;1,"DUPLICATE slice",IF(COUNTIFS($A$6:$A$205,$A43,$C$6:$C$205,"&lt;"&amp;$D43,$D$6:$D$205,"&gt;"&amp;$C43)&gt;1,"OVERLAP with another slice",IF(AND($C43&gt;0,COUNTIFS($A$6:$A$205,$A43,$D$6:$D$205,$C43)=0),"GAP above this slice",IF(OR($G43="",$H43=""),"CHECK: Core ID not in Core Log, or its compaction / diameter missing",IF(AND(IF(COUNTIFS('2. Plot &amp; Core Log'!$B$6:$B$35,$A43,'2. Plot &amp; Core Log'!$L$6:$L$35,"&gt;0")=0,"",SUMIFS('2. Plot &amp; Core Log'!$L$6:$L$35,'2. Plot &amp; Core Log'!$B$6:$B$35,$A43))&lt;&gt;"",$D43&gt;IF(COUNTIFS('2. Plot &amp; Core Log'!$B$6:$B$35,$A43,'2. Plot &amp; Core Log'!$L$6:$L$35,"&gt;0")=0,"",SUMIFS('2. Plot &amp; Core Log'!$L$6:$L$35,'2. Plot &amp; Core Log'!$B$6:$B$35,$A43))),"CHECK: slice deeper than the core length on Sheet 2",IF(OR($M43="",$N43="",$O43=""),"AWAITING LAB (dry weight, carbon value or type)",IF(AND(UPPER($O43)&lt;&gt;"OC",UPPER($O43)&lt;&gt;"LOI"),IF(UPPER($O43)="TC","TC is not organic carbon — ask the lab for OC or IC","CHECK: type must be OC, TC or LOI"),IF($R43="",IF(AND(LOI_INTERCEPT&lt;&gt;"",LOI_SLOPE&lt;&gt;""),"CHECK: LOI below the range of the conversion equation (OC would be &lt; 0)","CHECK: LOI conversion not set (Instructions tab)"),IF(OR($Q43&lt;=0,$Q43&gt;2.65,$R43&gt;50),"CHECK: bulk density outside 0–2.65 g/cm3 or OC &gt; 50%","OK")))))))))))</f>
        <v>OK</v>
      </c>
    </row>
    <row r="44" customFormat="false" ht="15.75" hidden="false" customHeight="true" outlineLevel="0" collapsed="false">
      <c r="A44" s="14" t="s">
        <v>107</v>
      </c>
      <c r="B44" s="14" t="n">
        <v>9</v>
      </c>
      <c r="C44" s="24" t="n">
        <v>8</v>
      </c>
      <c r="D44" s="24" t="n">
        <v>9</v>
      </c>
      <c r="E44" s="14" t="s">
        <v>139</v>
      </c>
      <c r="F44" s="16" t="n">
        <f aca="false">IF(OR($C44="",$D44=""),"",$D44-$C44)</f>
        <v>1</v>
      </c>
      <c r="G44" s="25" t="n">
        <f aca="false">IF($A44="","",IFERROR(INDEX('2. Plot &amp; Core Log'!$M$6:$M$35,MATCH($A44,'2. Plot &amp; Core Log'!$B$6:$B$35,0)),""))</f>
        <v>1</v>
      </c>
      <c r="H44" s="26" t="n">
        <f aca="false">IF($A44="","",IFERROR(INDEX('2. Plot &amp; Core Log'!$S$6:$S$35,MATCH($A44,'2. Plot &amp; Core Log'!$B$6:$B$35,0)),""))</f>
        <v>7.6</v>
      </c>
      <c r="I44" s="16" t="n">
        <f aca="false">IF(OR($C44="",$G44=""),"",$C44*$G44)</f>
        <v>8</v>
      </c>
      <c r="J44" s="16" t="n">
        <f aca="false">IF(OR($D44="",$G44=""),"",$D44*$G44)</f>
        <v>9</v>
      </c>
      <c r="K44" s="16" t="n">
        <f aca="false">IF(OR($F44="",$H44=""),"",PI()*(($H44/2)^2)*$F44)</f>
        <v>45.3645979178366</v>
      </c>
      <c r="L44" s="27"/>
      <c r="M44" s="27" t="n">
        <v>88.91</v>
      </c>
      <c r="N44" s="27" t="n">
        <v>2</v>
      </c>
      <c r="O44" s="27" t="s">
        <v>36</v>
      </c>
      <c r="P44" s="16" t="str">
        <f aca="false">IF(OR($L44="",$M44="",$L44=0),"",(($L44-$M44)/$L44)*100)</f>
        <v/>
      </c>
      <c r="Q44" s="15" t="n">
        <f aca="false">IF(OR($M44="",$K44="",$K44=0),"",$M44/$K44)</f>
        <v>1.95989833660671</v>
      </c>
      <c r="R44" s="15" t="n">
        <f aca="false">IF(OR($N44="",$O44=""),"",IF(UPPER($O44)="OC",$N44,IF(UPPER($O44)="LOI",IF(OR(LOI_INTERCEPT="",LOI_SLOPE=""),"",IF(LOI_INTERCEPT+LOI_SLOPE*$N44&lt;0,"",LOI_INTERCEPT+LOI_SLOPE*$N44)),"")))</f>
        <v>0.443</v>
      </c>
      <c r="S44" s="18" t="n">
        <f aca="false">IF($R44="","",$R44*10)</f>
        <v>4.43</v>
      </c>
      <c r="T44" s="28" t="n">
        <f aca="false">IF(OR($Q44="",$R44=""),"",$Q44*$R44/100)</f>
        <v>0.00868234963116771</v>
      </c>
      <c r="U44" s="29" t="n">
        <f aca="false">IF(OR($T44="",$F44=""),"",$T44*$F44)</f>
        <v>0.00868234963116771</v>
      </c>
      <c r="V44" s="15" t="n">
        <f aca="false">IF($U44="","",$U44*10)</f>
        <v>0.0868234963116771</v>
      </c>
      <c r="W44" s="15" t="n">
        <f aca="false">IF(OR($V44="",$I44="",$J44="",$J44&lt;=$I44),"",$V44*MAX(0,MIN($J44,15)-MAX($I44,0))/($J44-$I44))</f>
        <v>0.0868234963116771</v>
      </c>
      <c r="X44" s="15" t="n">
        <f aca="false">IF(OR($V44="",$I44="",$J44="",$J44&lt;=$I44),"",$V44*MAX(0,MIN($J44,30)-MAX($I44,15))/($J44-$I44))</f>
        <v>0</v>
      </c>
      <c r="Y44" s="15" t="n">
        <f aca="false">IF(OR($V44="",$I44="",$J44="",$J44&lt;=$I44),"",$V44*MAX(0,MIN($J44,50)-MAX($I44,30))/($J44-$I44))</f>
        <v>0</v>
      </c>
      <c r="Z44" s="15" t="n">
        <f aca="false">IF(OR($V44="",$I44="",$J44="",$J44&lt;=$I44),"",$V44*MAX(0,MIN($J44,100)-MAX($I44,50))/($J44-$I44))</f>
        <v>0</v>
      </c>
      <c r="AA44" s="16" t="str">
        <f aca="false">IF($A44="","",IF(OR($C44="",$D44="",$D44&lt;=$C44),"CHECK: depths missing, or bottom not below top",IF(COUNTIFS($A$6:$A$205,$A44,$C$6:$C$205,$C44)&gt;1,"DUPLICATE slice",IF(COUNTIFS($A$6:$A$205,$A44,$C$6:$C$205,"&lt;"&amp;$D44,$D$6:$D$205,"&gt;"&amp;$C44)&gt;1,"OVERLAP with another slice",IF(AND($C44&gt;0,COUNTIFS($A$6:$A$205,$A44,$D$6:$D$205,$C44)=0),"GAP above this slice",IF(OR($G44="",$H44=""),"CHECK: Core ID not in Core Log, or its compaction / diameter missing",IF(AND(IF(COUNTIFS('2. Plot &amp; Core Log'!$B$6:$B$35,$A44,'2. Plot &amp; Core Log'!$L$6:$L$35,"&gt;0")=0,"",SUMIFS('2. Plot &amp; Core Log'!$L$6:$L$35,'2. Plot &amp; Core Log'!$B$6:$B$35,$A44))&lt;&gt;"",$D44&gt;IF(COUNTIFS('2. Plot &amp; Core Log'!$B$6:$B$35,$A44,'2. Plot &amp; Core Log'!$L$6:$L$35,"&gt;0")=0,"",SUMIFS('2. Plot &amp; Core Log'!$L$6:$L$35,'2. Plot &amp; Core Log'!$B$6:$B$35,$A44))),"CHECK: slice deeper than the core length on Sheet 2",IF(OR($M44="",$N44="",$O44=""),"AWAITING LAB (dry weight, carbon value or type)",IF(AND(UPPER($O44)&lt;&gt;"OC",UPPER($O44)&lt;&gt;"LOI"),IF(UPPER($O44)="TC","TC is not organic carbon — ask the lab for OC or IC","CHECK: type must be OC, TC or LOI"),IF($R44="",IF(AND(LOI_INTERCEPT&lt;&gt;"",LOI_SLOPE&lt;&gt;""),"CHECK: LOI below the range of the conversion equation (OC would be &lt; 0)","CHECK: LOI conversion not set (Instructions tab)"),IF(OR($Q44&lt;=0,$Q44&gt;2.65,$R44&gt;50),"CHECK: bulk density outside 0–2.65 g/cm3 or OC &gt; 50%","OK")))))))))))</f>
        <v>OK</v>
      </c>
    </row>
    <row r="45" customFormat="false" ht="15.75" hidden="false" customHeight="true" outlineLevel="0" collapsed="false">
      <c r="A45" s="14" t="s">
        <v>107</v>
      </c>
      <c r="B45" s="14" t="n">
        <v>10</v>
      </c>
      <c r="C45" s="24" t="n">
        <v>9</v>
      </c>
      <c r="D45" s="24" t="n">
        <v>10</v>
      </c>
      <c r="E45" s="14" t="s">
        <v>139</v>
      </c>
      <c r="F45" s="16" t="n">
        <f aca="false">IF(OR($C45="",$D45=""),"",$D45-$C45)</f>
        <v>1</v>
      </c>
      <c r="G45" s="25" t="n">
        <f aca="false">IF($A45="","",IFERROR(INDEX('2. Plot &amp; Core Log'!$M$6:$M$35,MATCH($A45,'2. Plot &amp; Core Log'!$B$6:$B$35,0)),""))</f>
        <v>1</v>
      </c>
      <c r="H45" s="26" t="n">
        <f aca="false">IF($A45="","",IFERROR(INDEX('2. Plot &amp; Core Log'!$S$6:$S$35,MATCH($A45,'2. Plot &amp; Core Log'!$B$6:$B$35,0)),""))</f>
        <v>7.6</v>
      </c>
      <c r="I45" s="16" t="n">
        <f aca="false">IF(OR($C45="",$G45=""),"",$C45*$G45)</f>
        <v>9</v>
      </c>
      <c r="J45" s="16" t="n">
        <f aca="false">IF(OR($D45="",$G45=""),"",$D45*$G45)</f>
        <v>10</v>
      </c>
      <c r="K45" s="16" t="n">
        <f aca="false">IF(OR($F45="",$H45=""),"",PI()*(($H45/2)^2)*$F45)</f>
        <v>45.3645979178366</v>
      </c>
      <c r="L45" s="27"/>
      <c r="M45" s="27" t="n">
        <v>79.84</v>
      </c>
      <c r="N45" s="27" t="n">
        <v>2.2</v>
      </c>
      <c r="O45" s="27" t="s">
        <v>36</v>
      </c>
      <c r="P45" s="16" t="str">
        <f aca="false">IF(OR($L45="",$M45="",$L45=0),"",(($L45-$M45)/$L45)*100)</f>
        <v/>
      </c>
      <c r="Q45" s="15" t="n">
        <f aca="false">IF(OR($M45="",$K45="",$K45=0),"",$M45/$K45)</f>
        <v>1.75996269480013</v>
      </c>
      <c r="R45" s="15" t="n">
        <f aca="false">IF(OR($N45="",$O45=""),"",IF(UPPER($O45)="OC",$N45,IF(UPPER($O45)="LOI",IF(OR(LOI_INTERCEPT="",LOI_SLOPE=""),"",IF(LOI_INTERCEPT+LOI_SLOPE*$N45&lt;0,"",LOI_INTERCEPT+LOI_SLOPE*$N45)),"")))</f>
        <v>0.507</v>
      </c>
      <c r="S45" s="18" t="n">
        <f aca="false">IF($R45="","",$R45*10)</f>
        <v>5.07</v>
      </c>
      <c r="T45" s="28" t="n">
        <f aca="false">IF(OR($Q45="",$R45=""),"",$Q45*$R45/100)</f>
        <v>0.00892301086263665</v>
      </c>
      <c r="U45" s="29" t="n">
        <f aca="false">IF(OR($T45="",$F45=""),"",$T45*$F45)</f>
        <v>0.00892301086263665</v>
      </c>
      <c r="V45" s="15" t="n">
        <f aca="false">IF($U45="","",$U45*10)</f>
        <v>0.0892301086263665</v>
      </c>
      <c r="W45" s="15" t="n">
        <f aca="false">IF(OR($V45="",$I45="",$J45="",$J45&lt;=$I45),"",$V45*MAX(0,MIN($J45,15)-MAX($I45,0))/($J45-$I45))</f>
        <v>0.0892301086263665</v>
      </c>
      <c r="X45" s="15" t="n">
        <f aca="false">IF(OR($V45="",$I45="",$J45="",$J45&lt;=$I45),"",$V45*MAX(0,MIN($J45,30)-MAX($I45,15))/($J45-$I45))</f>
        <v>0</v>
      </c>
      <c r="Y45" s="15" t="n">
        <f aca="false">IF(OR($V45="",$I45="",$J45="",$J45&lt;=$I45),"",$V45*MAX(0,MIN($J45,50)-MAX($I45,30))/($J45-$I45))</f>
        <v>0</v>
      </c>
      <c r="Z45" s="15" t="n">
        <f aca="false">IF(OR($V45="",$I45="",$J45="",$J45&lt;=$I45),"",$V45*MAX(0,MIN($J45,100)-MAX($I45,50))/($J45-$I45))</f>
        <v>0</v>
      </c>
      <c r="AA45" s="16" t="str">
        <f aca="false">IF($A45="","",IF(OR($C45="",$D45="",$D45&lt;=$C45),"CHECK: depths missing, or bottom not below top",IF(COUNTIFS($A$6:$A$205,$A45,$C$6:$C$205,$C45)&gt;1,"DUPLICATE slice",IF(COUNTIFS($A$6:$A$205,$A45,$C$6:$C$205,"&lt;"&amp;$D45,$D$6:$D$205,"&gt;"&amp;$C45)&gt;1,"OVERLAP with another slice",IF(AND($C45&gt;0,COUNTIFS($A$6:$A$205,$A45,$D$6:$D$205,$C45)=0),"GAP above this slice",IF(OR($G45="",$H45=""),"CHECK: Core ID not in Core Log, or its compaction / diameter missing",IF(AND(IF(COUNTIFS('2. Plot &amp; Core Log'!$B$6:$B$35,$A45,'2. Plot &amp; Core Log'!$L$6:$L$35,"&gt;0")=0,"",SUMIFS('2. Plot &amp; Core Log'!$L$6:$L$35,'2. Plot &amp; Core Log'!$B$6:$B$35,$A45))&lt;&gt;"",$D45&gt;IF(COUNTIFS('2. Plot &amp; Core Log'!$B$6:$B$35,$A45,'2. Plot &amp; Core Log'!$L$6:$L$35,"&gt;0")=0,"",SUMIFS('2. Plot &amp; Core Log'!$L$6:$L$35,'2. Plot &amp; Core Log'!$B$6:$B$35,$A45))),"CHECK: slice deeper than the core length on Sheet 2",IF(OR($M45="",$N45="",$O45=""),"AWAITING LAB (dry weight, carbon value or type)",IF(AND(UPPER($O45)&lt;&gt;"OC",UPPER($O45)&lt;&gt;"LOI"),IF(UPPER($O45)="TC","TC is not organic carbon — ask the lab for OC or IC","CHECK: type must be OC, TC or LOI"),IF($R45="",IF(AND(LOI_INTERCEPT&lt;&gt;"",LOI_SLOPE&lt;&gt;""),"CHECK: LOI below the range of the conversion equation (OC would be &lt; 0)","CHECK: LOI conversion not set (Instructions tab)"),IF(OR($Q45&lt;=0,$Q45&gt;2.65,$R45&gt;50),"CHECK: bulk density outside 0–2.65 g/cm3 or OC &gt; 50%","OK")))))))))))</f>
        <v>OK</v>
      </c>
    </row>
    <row r="46" customFormat="false" ht="15.75" hidden="false" customHeight="true" outlineLevel="0" collapsed="false">
      <c r="A46" s="14" t="s">
        <v>107</v>
      </c>
      <c r="B46" s="14" t="n">
        <v>11</v>
      </c>
      <c r="C46" s="24" t="n">
        <v>10</v>
      </c>
      <c r="D46" s="24" t="n">
        <v>12</v>
      </c>
      <c r="E46" s="14" t="s">
        <v>139</v>
      </c>
      <c r="F46" s="16" t="n">
        <f aca="false">IF(OR($C46="",$D46=""),"",$D46-$C46)</f>
        <v>2</v>
      </c>
      <c r="G46" s="25" t="n">
        <f aca="false">IF($A46="","",IFERROR(INDEX('2. Plot &amp; Core Log'!$M$6:$M$35,MATCH($A46,'2. Plot &amp; Core Log'!$B$6:$B$35,0)),""))</f>
        <v>1</v>
      </c>
      <c r="H46" s="26" t="n">
        <f aca="false">IF($A46="","",IFERROR(INDEX('2. Plot &amp; Core Log'!$S$6:$S$35,MATCH($A46,'2. Plot &amp; Core Log'!$B$6:$B$35,0)),""))</f>
        <v>7.6</v>
      </c>
      <c r="I46" s="16" t="n">
        <f aca="false">IF(OR($C46="",$G46=""),"",$C46*$G46)</f>
        <v>10</v>
      </c>
      <c r="J46" s="16" t="n">
        <f aca="false">IF(OR($D46="",$G46=""),"",$D46*$G46)</f>
        <v>12</v>
      </c>
      <c r="K46" s="16" t="n">
        <f aca="false">IF(OR($F46="",$H46=""),"",PI()*(($H46/2)^2)*$F46)</f>
        <v>90.7291958356732</v>
      </c>
      <c r="L46" s="27"/>
      <c r="M46" s="27" t="n">
        <v>146.98</v>
      </c>
      <c r="N46" s="27" t="n">
        <v>2.3</v>
      </c>
      <c r="O46" s="27" t="s">
        <v>36</v>
      </c>
      <c r="P46" s="16" t="str">
        <f aca="false">IF(OR($L46="",$M46="",$L46=0),"",(($L46-$M46)/$L46)*100)</f>
        <v/>
      </c>
      <c r="Q46" s="15" t="n">
        <f aca="false">IF(OR($M46="",$K46="",$K46=0),"",$M46/$K46)</f>
        <v>1.6199857019146</v>
      </c>
      <c r="R46" s="15" t="n">
        <f aca="false">IF(OR($N46="",$O46=""),"",IF(UPPER($O46)="OC",$N46,IF(UPPER($O46)="LOI",IF(OR(LOI_INTERCEPT="",LOI_SLOPE=""),"",IF(LOI_INTERCEPT+LOI_SLOPE*$N46&lt;0,"",LOI_INTERCEPT+LOI_SLOPE*$N46)),"")))</f>
        <v>0.539</v>
      </c>
      <c r="S46" s="18" t="n">
        <f aca="false">IF($R46="","",$R46*10)</f>
        <v>5.39</v>
      </c>
      <c r="T46" s="28" t="n">
        <f aca="false">IF(OR($Q46="",$R46=""),"",$Q46*$R46/100)</f>
        <v>0.00873172293331967</v>
      </c>
      <c r="U46" s="29" t="n">
        <f aca="false">IF(OR($T46="",$F46=""),"",$T46*$F46)</f>
        <v>0.0174634458666393</v>
      </c>
      <c r="V46" s="15" t="n">
        <f aca="false">IF($U46="","",$U46*10)</f>
        <v>0.174634458666394</v>
      </c>
      <c r="W46" s="15" t="n">
        <f aca="false">IF(OR($V46="",$I46="",$J46="",$J46&lt;=$I46),"",$V46*MAX(0,MIN($J46,15)-MAX($I46,0))/($J46-$I46))</f>
        <v>0.174634458666394</v>
      </c>
      <c r="X46" s="15" t="n">
        <f aca="false">IF(OR($V46="",$I46="",$J46="",$J46&lt;=$I46),"",$V46*MAX(0,MIN($J46,30)-MAX($I46,15))/($J46-$I46))</f>
        <v>0</v>
      </c>
      <c r="Y46" s="15" t="n">
        <f aca="false">IF(OR($V46="",$I46="",$J46="",$J46&lt;=$I46),"",$V46*MAX(0,MIN($J46,50)-MAX($I46,30))/($J46-$I46))</f>
        <v>0</v>
      </c>
      <c r="Z46" s="15" t="n">
        <f aca="false">IF(OR($V46="",$I46="",$J46="",$J46&lt;=$I46),"",$V46*MAX(0,MIN($J46,100)-MAX($I46,50))/($J46-$I46))</f>
        <v>0</v>
      </c>
      <c r="AA46" s="16" t="str">
        <f aca="false">IF($A46="","",IF(OR($C46="",$D46="",$D46&lt;=$C46),"CHECK: depths missing, or bottom not below top",IF(COUNTIFS($A$6:$A$205,$A46,$C$6:$C$205,$C46)&gt;1,"DUPLICATE slice",IF(COUNTIFS($A$6:$A$205,$A46,$C$6:$C$205,"&lt;"&amp;$D46,$D$6:$D$205,"&gt;"&amp;$C46)&gt;1,"OVERLAP with another slice",IF(AND($C46&gt;0,COUNTIFS($A$6:$A$205,$A46,$D$6:$D$205,$C46)=0),"GAP above this slice",IF(OR($G46="",$H46=""),"CHECK: Core ID not in Core Log, or its compaction / diameter missing",IF(AND(IF(COUNTIFS('2. Plot &amp; Core Log'!$B$6:$B$35,$A46,'2. Plot &amp; Core Log'!$L$6:$L$35,"&gt;0")=0,"",SUMIFS('2. Plot &amp; Core Log'!$L$6:$L$35,'2. Plot &amp; Core Log'!$B$6:$B$35,$A46))&lt;&gt;"",$D46&gt;IF(COUNTIFS('2. Plot &amp; Core Log'!$B$6:$B$35,$A46,'2. Plot &amp; Core Log'!$L$6:$L$35,"&gt;0")=0,"",SUMIFS('2. Plot &amp; Core Log'!$L$6:$L$35,'2. Plot &amp; Core Log'!$B$6:$B$35,$A46))),"CHECK: slice deeper than the core length on Sheet 2",IF(OR($M46="",$N46="",$O46=""),"AWAITING LAB (dry weight, carbon value or type)",IF(AND(UPPER($O46)&lt;&gt;"OC",UPPER($O46)&lt;&gt;"LOI"),IF(UPPER($O46)="TC","TC is not organic carbon — ask the lab for OC or IC","CHECK: type must be OC, TC or LOI"),IF($R46="",IF(AND(LOI_INTERCEPT&lt;&gt;"",LOI_SLOPE&lt;&gt;""),"CHECK: LOI below the range of the conversion equation (OC would be &lt; 0)","CHECK: LOI conversion not set (Instructions tab)"),IF(OR($Q46&lt;=0,$Q46&gt;2.65,$R46&gt;50),"CHECK: bulk density outside 0–2.65 g/cm3 or OC &gt; 50%","OK")))))))))))</f>
        <v>OK</v>
      </c>
    </row>
    <row r="47" customFormat="false" ht="15.75" hidden="false" customHeight="true" outlineLevel="0" collapsed="false">
      <c r="A47" s="14" t="s">
        <v>107</v>
      </c>
      <c r="B47" s="14" t="n">
        <v>12</v>
      </c>
      <c r="C47" s="24" t="n">
        <v>12</v>
      </c>
      <c r="D47" s="24" t="n">
        <v>14</v>
      </c>
      <c r="E47" s="14" t="s">
        <v>139</v>
      </c>
      <c r="F47" s="16" t="n">
        <f aca="false">IF(OR($C47="",$D47=""),"",$D47-$C47)</f>
        <v>2</v>
      </c>
      <c r="G47" s="25" t="n">
        <f aca="false">IF($A47="","",IFERROR(INDEX('2. Plot &amp; Core Log'!$M$6:$M$35,MATCH($A47,'2. Plot &amp; Core Log'!$B$6:$B$35,0)),""))</f>
        <v>1</v>
      </c>
      <c r="H47" s="26" t="n">
        <f aca="false">IF($A47="","",IFERROR(INDEX('2. Plot &amp; Core Log'!$S$6:$S$35,MATCH($A47,'2. Plot &amp; Core Log'!$B$6:$B$35,0)),""))</f>
        <v>7.6</v>
      </c>
      <c r="I47" s="16" t="n">
        <f aca="false">IF(OR($C47="",$G47=""),"",$C47*$G47)</f>
        <v>12</v>
      </c>
      <c r="J47" s="16" t="n">
        <f aca="false">IF(OR($D47="",$G47=""),"",$D47*$G47)</f>
        <v>14</v>
      </c>
      <c r="K47" s="16" t="n">
        <f aca="false">IF(OR($F47="",$H47=""),"",PI()*(($H47/2)^2)*$F47)</f>
        <v>90.7291958356732</v>
      </c>
      <c r="L47" s="27"/>
      <c r="M47" s="27" t="n">
        <v>169.66</v>
      </c>
      <c r="N47" s="27" t="n">
        <v>2.5</v>
      </c>
      <c r="O47" s="27" t="s">
        <v>36</v>
      </c>
      <c r="P47" s="16" t="str">
        <f aca="false">IF(OR($L47="",$M47="",$L47=0),"",(($L47-$M47)/$L47)*100)</f>
        <v/>
      </c>
      <c r="Q47" s="15" t="n">
        <f aca="false">IF(OR($M47="",$K47="",$K47=0),"",$M47/$K47)</f>
        <v>1.86996036322514</v>
      </c>
      <c r="R47" s="15" t="n">
        <f aca="false">IF(OR($N47="",$O47=""),"",IF(UPPER($O47)="OC",$N47,IF(UPPER($O47)="LOI",IF(OR(LOI_INTERCEPT="",LOI_SLOPE=""),"",IF(LOI_INTERCEPT+LOI_SLOPE*$N47&lt;0,"",LOI_INTERCEPT+LOI_SLOPE*$N47)),"")))</f>
        <v>0.603</v>
      </c>
      <c r="S47" s="18" t="n">
        <f aca="false">IF($R47="","",$R47*10)</f>
        <v>6.03</v>
      </c>
      <c r="T47" s="28" t="n">
        <f aca="false">IF(OR($Q47="",$R47=""),"",$Q47*$R47/100)</f>
        <v>0.0112758609902476</v>
      </c>
      <c r="U47" s="29" t="n">
        <f aca="false">IF(OR($T47="",$F47=""),"",$T47*$F47)</f>
        <v>0.0225517219804951</v>
      </c>
      <c r="V47" s="15" t="n">
        <f aca="false">IF($U47="","",$U47*10)</f>
        <v>0.225517219804951</v>
      </c>
      <c r="W47" s="15" t="n">
        <f aca="false">IF(OR($V47="",$I47="",$J47="",$J47&lt;=$I47),"",$V47*MAX(0,MIN($J47,15)-MAX($I47,0))/($J47-$I47))</f>
        <v>0.225517219804951</v>
      </c>
      <c r="X47" s="15" t="n">
        <f aca="false">IF(OR($V47="",$I47="",$J47="",$J47&lt;=$I47),"",$V47*MAX(0,MIN($J47,30)-MAX($I47,15))/($J47-$I47))</f>
        <v>0</v>
      </c>
      <c r="Y47" s="15" t="n">
        <f aca="false">IF(OR($V47="",$I47="",$J47="",$J47&lt;=$I47),"",$V47*MAX(0,MIN($J47,50)-MAX($I47,30))/($J47-$I47))</f>
        <v>0</v>
      </c>
      <c r="Z47" s="15" t="n">
        <f aca="false">IF(OR($V47="",$I47="",$J47="",$J47&lt;=$I47),"",$V47*MAX(0,MIN($J47,100)-MAX($I47,50))/($J47-$I47))</f>
        <v>0</v>
      </c>
      <c r="AA47" s="16" t="str">
        <f aca="false">IF($A47="","",IF(OR($C47="",$D47="",$D47&lt;=$C47),"CHECK: depths missing, or bottom not below top",IF(COUNTIFS($A$6:$A$205,$A47,$C$6:$C$205,$C47)&gt;1,"DUPLICATE slice",IF(COUNTIFS($A$6:$A$205,$A47,$C$6:$C$205,"&lt;"&amp;$D47,$D$6:$D$205,"&gt;"&amp;$C47)&gt;1,"OVERLAP with another slice",IF(AND($C47&gt;0,COUNTIFS($A$6:$A$205,$A47,$D$6:$D$205,$C47)=0),"GAP above this slice",IF(OR($G47="",$H47=""),"CHECK: Core ID not in Core Log, or its compaction / diameter missing",IF(AND(IF(COUNTIFS('2. Plot &amp; Core Log'!$B$6:$B$35,$A47,'2. Plot &amp; Core Log'!$L$6:$L$35,"&gt;0")=0,"",SUMIFS('2. Plot &amp; Core Log'!$L$6:$L$35,'2. Plot &amp; Core Log'!$B$6:$B$35,$A47))&lt;&gt;"",$D47&gt;IF(COUNTIFS('2. Plot &amp; Core Log'!$B$6:$B$35,$A47,'2. Plot &amp; Core Log'!$L$6:$L$35,"&gt;0")=0,"",SUMIFS('2. Plot &amp; Core Log'!$L$6:$L$35,'2. Plot &amp; Core Log'!$B$6:$B$35,$A47))),"CHECK: slice deeper than the core length on Sheet 2",IF(OR($M47="",$N47="",$O47=""),"AWAITING LAB (dry weight, carbon value or type)",IF(AND(UPPER($O47)&lt;&gt;"OC",UPPER($O47)&lt;&gt;"LOI"),IF(UPPER($O47)="TC","TC is not organic carbon — ask the lab for OC or IC","CHECK: type must be OC, TC or LOI"),IF($R47="",IF(AND(LOI_INTERCEPT&lt;&gt;"",LOI_SLOPE&lt;&gt;""),"CHECK: LOI below the range of the conversion equation (OC would be &lt; 0)","CHECK: LOI conversion not set (Instructions tab)"),IF(OR($Q47&lt;=0,$Q47&gt;2.65,$R47&gt;50),"CHECK: bulk density outside 0–2.65 g/cm3 or OC &gt; 50%","OK")))))))))))</f>
        <v>OK</v>
      </c>
    </row>
    <row r="48" customFormat="false" ht="15.75" hidden="false" customHeight="true" outlineLevel="0" collapsed="false">
      <c r="A48" s="14" t="s">
        <v>107</v>
      </c>
      <c r="B48" s="14" t="n">
        <v>13</v>
      </c>
      <c r="C48" s="24" t="n">
        <v>14</v>
      </c>
      <c r="D48" s="24" t="n">
        <v>16</v>
      </c>
      <c r="E48" s="14" t="s">
        <v>139</v>
      </c>
      <c r="F48" s="16" t="n">
        <f aca="false">IF(OR($C48="",$D48=""),"",$D48-$C48)</f>
        <v>2</v>
      </c>
      <c r="G48" s="25" t="n">
        <f aca="false">IF($A48="","",IFERROR(INDEX('2. Plot &amp; Core Log'!$M$6:$M$35,MATCH($A48,'2. Plot &amp; Core Log'!$B$6:$B$35,0)),""))</f>
        <v>1</v>
      </c>
      <c r="H48" s="26" t="n">
        <f aca="false">IF($A48="","",IFERROR(INDEX('2. Plot &amp; Core Log'!$S$6:$S$35,MATCH($A48,'2. Plot &amp; Core Log'!$B$6:$B$35,0)),""))</f>
        <v>7.6</v>
      </c>
      <c r="I48" s="16" t="n">
        <f aca="false">IF(OR($C48="",$G48=""),"",$C48*$G48)</f>
        <v>14</v>
      </c>
      <c r="J48" s="16" t="n">
        <f aca="false">IF(OR($D48="",$G48=""),"",$D48*$G48)</f>
        <v>16</v>
      </c>
      <c r="K48" s="16" t="n">
        <f aca="false">IF(OR($F48="",$H48=""),"",PI()*(($H48/2)^2)*$F48)</f>
        <v>90.7291958356732</v>
      </c>
      <c r="L48" s="27"/>
      <c r="M48" s="27" t="n">
        <v>160.59</v>
      </c>
      <c r="N48" s="27" t="n">
        <v>2</v>
      </c>
      <c r="O48" s="27" t="s">
        <v>36</v>
      </c>
      <c r="P48" s="16" t="str">
        <f aca="false">IF(OR($L48="",$M48="",$L48=0),"",(($L48-$M48)/$L48)*100)</f>
        <v/>
      </c>
      <c r="Q48" s="15" t="n">
        <f aca="false">IF(OR($M48="",$K48="",$K48=0),"",$M48/$K48)</f>
        <v>1.76999254232185</v>
      </c>
      <c r="R48" s="15" t="n">
        <f aca="false">IF(OR($N48="",$O48=""),"",IF(UPPER($O48)="OC",$N48,IF(UPPER($O48)="LOI",IF(OR(LOI_INTERCEPT="",LOI_SLOPE=""),"",IF(LOI_INTERCEPT+LOI_SLOPE*$N48&lt;0,"",LOI_INTERCEPT+LOI_SLOPE*$N48)),"")))</f>
        <v>0.443</v>
      </c>
      <c r="S48" s="18" t="n">
        <f aca="false">IF($R48="","",$R48*10)</f>
        <v>4.43</v>
      </c>
      <c r="T48" s="28" t="n">
        <f aca="false">IF(OR($Q48="",$R48=""),"",$Q48*$R48/100)</f>
        <v>0.00784106696248578</v>
      </c>
      <c r="U48" s="29" t="n">
        <f aca="false">IF(OR($T48="",$F48=""),"",$T48*$F48)</f>
        <v>0.0156821339249716</v>
      </c>
      <c r="V48" s="15" t="n">
        <f aca="false">IF($U48="","",$U48*10)</f>
        <v>0.156821339249716</v>
      </c>
      <c r="W48" s="15" t="n">
        <f aca="false">IF(OR($V48="",$I48="",$J48="",$J48&lt;=$I48),"",$V48*MAX(0,MIN($J48,15)-MAX($I48,0))/($J48-$I48))</f>
        <v>0.0784106696248578</v>
      </c>
      <c r="X48" s="15" t="n">
        <f aca="false">IF(OR($V48="",$I48="",$J48="",$J48&lt;=$I48),"",$V48*MAX(0,MIN($J48,30)-MAX($I48,15))/($J48-$I48))</f>
        <v>0.0784106696248578</v>
      </c>
      <c r="Y48" s="15" t="n">
        <f aca="false">IF(OR($V48="",$I48="",$J48="",$J48&lt;=$I48),"",$V48*MAX(0,MIN($J48,50)-MAX($I48,30))/($J48-$I48))</f>
        <v>0</v>
      </c>
      <c r="Z48" s="15" t="n">
        <f aca="false">IF(OR($V48="",$I48="",$J48="",$J48&lt;=$I48),"",$V48*MAX(0,MIN($J48,100)-MAX($I48,50))/($J48-$I48))</f>
        <v>0</v>
      </c>
      <c r="AA48" s="16" t="str">
        <f aca="false">IF($A48="","",IF(OR($C48="",$D48="",$D48&lt;=$C48),"CHECK: depths missing, or bottom not below top",IF(COUNTIFS($A$6:$A$205,$A48,$C$6:$C$205,$C48)&gt;1,"DUPLICATE slice",IF(COUNTIFS($A$6:$A$205,$A48,$C$6:$C$205,"&lt;"&amp;$D48,$D$6:$D$205,"&gt;"&amp;$C48)&gt;1,"OVERLAP with another slice",IF(AND($C48&gt;0,COUNTIFS($A$6:$A$205,$A48,$D$6:$D$205,$C48)=0),"GAP above this slice",IF(OR($G48="",$H48=""),"CHECK: Core ID not in Core Log, or its compaction / diameter missing",IF(AND(IF(COUNTIFS('2. Plot &amp; Core Log'!$B$6:$B$35,$A48,'2. Plot &amp; Core Log'!$L$6:$L$35,"&gt;0")=0,"",SUMIFS('2. Plot &amp; Core Log'!$L$6:$L$35,'2. Plot &amp; Core Log'!$B$6:$B$35,$A48))&lt;&gt;"",$D48&gt;IF(COUNTIFS('2. Plot &amp; Core Log'!$B$6:$B$35,$A48,'2. Plot &amp; Core Log'!$L$6:$L$35,"&gt;0")=0,"",SUMIFS('2. Plot &amp; Core Log'!$L$6:$L$35,'2. Plot &amp; Core Log'!$B$6:$B$35,$A48))),"CHECK: slice deeper than the core length on Sheet 2",IF(OR($M48="",$N48="",$O48=""),"AWAITING LAB (dry weight, carbon value or type)",IF(AND(UPPER($O48)&lt;&gt;"OC",UPPER($O48)&lt;&gt;"LOI"),IF(UPPER($O48)="TC","TC is not organic carbon — ask the lab for OC or IC","CHECK: type must be OC, TC or LOI"),IF($R48="",IF(AND(LOI_INTERCEPT&lt;&gt;"",LOI_SLOPE&lt;&gt;""),"CHECK: LOI below the range of the conversion equation (OC would be &lt; 0)","CHECK: LOI conversion not set (Instructions tab)"),IF(OR($Q48&lt;=0,$Q48&gt;2.65,$R48&gt;50),"CHECK: bulk density outside 0–2.65 g/cm3 or OC &gt; 50%","OK")))))))))))</f>
        <v>OK</v>
      </c>
    </row>
    <row r="49" customFormat="false" ht="15.75" hidden="false" customHeight="true" outlineLevel="0" collapsed="false">
      <c r="A49" s="14" t="s">
        <v>107</v>
      </c>
      <c r="B49" s="14" t="n">
        <v>14</v>
      </c>
      <c r="C49" s="24" t="n">
        <v>16</v>
      </c>
      <c r="D49" s="24" t="n">
        <v>18</v>
      </c>
      <c r="E49" s="14" t="s">
        <v>139</v>
      </c>
      <c r="F49" s="16" t="n">
        <f aca="false">IF(OR($C49="",$D49=""),"",$D49-$C49)</f>
        <v>2</v>
      </c>
      <c r="G49" s="25" t="n">
        <f aca="false">IF($A49="","",IFERROR(INDEX('2. Plot &amp; Core Log'!$M$6:$M$35,MATCH($A49,'2. Plot &amp; Core Log'!$B$6:$B$35,0)),""))</f>
        <v>1</v>
      </c>
      <c r="H49" s="26" t="n">
        <f aca="false">IF($A49="","",IFERROR(INDEX('2. Plot &amp; Core Log'!$S$6:$S$35,MATCH($A49,'2. Plot &amp; Core Log'!$B$6:$B$35,0)),""))</f>
        <v>7.6</v>
      </c>
      <c r="I49" s="16" t="n">
        <f aca="false">IF(OR($C49="",$G49=""),"",$C49*$G49)</f>
        <v>16</v>
      </c>
      <c r="J49" s="16" t="n">
        <f aca="false">IF(OR($D49="",$G49=""),"",$D49*$G49)</f>
        <v>18</v>
      </c>
      <c r="K49" s="16" t="n">
        <f aca="false">IF(OR($F49="",$H49=""),"",PI()*(($H49/2)^2)*$F49)</f>
        <v>90.7291958356732</v>
      </c>
      <c r="L49" s="27"/>
      <c r="M49" s="27" t="n">
        <v>157.87</v>
      </c>
      <c r="N49" s="27" t="n">
        <v>2.3</v>
      </c>
      <c r="O49" s="27" t="s">
        <v>36</v>
      </c>
      <c r="P49" s="16" t="str">
        <f aca="false">IF(OR($L49="",$M49="",$L49=0),"",(($L49-$M49)/$L49)*100)</f>
        <v/>
      </c>
      <c r="Q49" s="15" t="n">
        <f aca="false">IF(OR($M49="",$K49="",$K49=0),"",$M49/$K49)</f>
        <v>1.74001321786132</v>
      </c>
      <c r="R49" s="15" t="n">
        <f aca="false">IF(OR($N49="",$O49=""),"",IF(UPPER($O49)="OC",$N49,IF(UPPER($O49)="LOI",IF(OR(LOI_INTERCEPT="",LOI_SLOPE=""),"",IF(LOI_INTERCEPT+LOI_SLOPE*$N49&lt;0,"",LOI_INTERCEPT+LOI_SLOPE*$N49)),"")))</f>
        <v>0.539</v>
      </c>
      <c r="S49" s="18" t="n">
        <f aca="false">IF($R49="","",$R49*10)</f>
        <v>5.39</v>
      </c>
      <c r="T49" s="28" t="n">
        <f aca="false">IF(OR($Q49="",$R49=""),"",$Q49*$R49/100)</f>
        <v>0.00937867124427254</v>
      </c>
      <c r="U49" s="29" t="n">
        <f aca="false">IF(OR($T49="",$F49=""),"",$T49*$F49)</f>
        <v>0.0187573424885451</v>
      </c>
      <c r="V49" s="15" t="n">
        <f aca="false">IF($U49="","",$U49*10)</f>
        <v>0.187573424885451</v>
      </c>
      <c r="W49" s="15" t="n">
        <f aca="false">IF(OR($V49="",$I49="",$J49="",$J49&lt;=$I49),"",$V49*MAX(0,MIN($J49,15)-MAX($I49,0))/($J49-$I49))</f>
        <v>0</v>
      </c>
      <c r="X49" s="15" t="n">
        <f aca="false">IF(OR($V49="",$I49="",$J49="",$J49&lt;=$I49),"",$V49*MAX(0,MIN($J49,30)-MAX($I49,15))/($J49-$I49))</f>
        <v>0.187573424885451</v>
      </c>
      <c r="Y49" s="15" t="n">
        <f aca="false">IF(OR($V49="",$I49="",$J49="",$J49&lt;=$I49),"",$V49*MAX(0,MIN($J49,50)-MAX($I49,30))/($J49-$I49))</f>
        <v>0</v>
      </c>
      <c r="Z49" s="15" t="n">
        <f aca="false">IF(OR($V49="",$I49="",$J49="",$J49&lt;=$I49),"",$V49*MAX(0,MIN($J49,100)-MAX($I49,50))/($J49-$I49))</f>
        <v>0</v>
      </c>
      <c r="AA49" s="16" t="str">
        <f aca="false">IF($A49="","",IF(OR($C49="",$D49="",$D49&lt;=$C49),"CHECK: depths missing, or bottom not below top",IF(COUNTIFS($A$6:$A$205,$A49,$C$6:$C$205,$C49)&gt;1,"DUPLICATE slice",IF(COUNTIFS($A$6:$A$205,$A49,$C$6:$C$205,"&lt;"&amp;$D49,$D$6:$D$205,"&gt;"&amp;$C49)&gt;1,"OVERLAP with another slice",IF(AND($C49&gt;0,COUNTIFS($A$6:$A$205,$A49,$D$6:$D$205,$C49)=0),"GAP above this slice",IF(OR($G49="",$H49=""),"CHECK: Core ID not in Core Log, or its compaction / diameter missing",IF(AND(IF(COUNTIFS('2. Plot &amp; Core Log'!$B$6:$B$35,$A49,'2. Plot &amp; Core Log'!$L$6:$L$35,"&gt;0")=0,"",SUMIFS('2. Plot &amp; Core Log'!$L$6:$L$35,'2. Plot &amp; Core Log'!$B$6:$B$35,$A49))&lt;&gt;"",$D49&gt;IF(COUNTIFS('2. Plot &amp; Core Log'!$B$6:$B$35,$A49,'2. Plot &amp; Core Log'!$L$6:$L$35,"&gt;0")=0,"",SUMIFS('2. Plot &amp; Core Log'!$L$6:$L$35,'2. Plot &amp; Core Log'!$B$6:$B$35,$A49))),"CHECK: slice deeper than the core length on Sheet 2",IF(OR($M49="",$N49="",$O49=""),"AWAITING LAB (dry weight, carbon value or type)",IF(AND(UPPER($O49)&lt;&gt;"OC",UPPER($O49)&lt;&gt;"LOI"),IF(UPPER($O49)="TC","TC is not organic carbon — ask the lab for OC or IC","CHECK: type must be OC, TC or LOI"),IF($R49="",IF(AND(LOI_INTERCEPT&lt;&gt;"",LOI_SLOPE&lt;&gt;""),"CHECK: LOI below the range of the conversion equation (OC would be &lt; 0)","CHECK: LOI conversion not set (Instructions tab)"),IF(OR($Q49&lt;=0,$Q49&gt;2.65,$R49&gt;50),"CHECK: bulk density outside 0–2.65 g/cm3 or OC &gt; 50%","OK")))))))))))</f>
        <v>OK</v>
      </c>
    </row>
    <row r="50" customFormat="false" ht="15.75" hidden="false" customHeight="true" outlineLevel="0" collapsed="false">
      <c r="A50" s="14" t="s">
        <v>107</v>
      </c>
      <c r="B50" s="14" t="n">
        <v>15</v>
      </c>
      <c r="C50" s="24" t="n">
        <v>18</v>
      </c>
      <c r="D50" s="24" t="n">
        <v>20</v>
      </c>
      <c r="E50" s="14" t="s">
        <v>139</v>
      </c>
      <c r="F50" s="16" t="n">
        <f aca="false">IF(OR($C50="",$D50=""),"",$D50-$C50)</f>
        <v>2</v>
      </c>
      <c r="G50" s="25" t="n">
        <f aca="false">IF($A50="","",IFERROR(INDEX('2. Plot &amp; Core Log'!$M$6:$M$35,MATCH($A50,'2. Plot &amp; Core Log'!$B$6:$B$35,0)),""))</f>
        <v>1</v>
      </c>
      <c r="H50" s="26" t="n">
        <f aca="false">IF($A50="","",IFERROR(INDEX('2. Plot &amp; Core Log'!$S$6:$S$35,MATCH($A50,'2. Plot &amp; Core Log'!$B$6:$B$35,0)),""))</f>
        <v>7.6</v>
      </c>
      <c r="I50" s="16" t="n">
        <f aca="false">IF(OR($C50="",$G50=""),"",$C50*$G50)</f>
        <v>18</v>
      </c>
      <c r="J50" s="16" t="n">
        <f aca="false">IF(OR($D50="",$G50=""),"",$D50*$G50)</f>
        <v>20</v>
      </c>
      <c r="K50" s="16" t="n">
        <f aca="false">IF(OR($F50="",$H50=""),"",PI()*(($H50/2)^2)*$F50)</f>
        <v>90.7291958356732</v>
      </c>
      <c r="L50" s="27"/>
      <c r="M50" s="27" t="n">
        <v>168.76</v>
      </c>
      <c r="N50" s="27" t="n">
        <v>2</v>
      </c>
      <c r="O50" s="27" t="s">
        <v>36</v>
      </c>
      <c r="P50" s="16" t="str">
        <f aca="false">IF(OR($L50="",$M50="",$L50=0),"",(($L50-$M50)/$L50)*100)</f>
        <v/>
      </c>
      <c r="Q50" s="15" t="n">
        <f aca="false">IF(OR($M50="",$K50="",$K50=0),"",$M50/$K50)</f>
        <v>1.86004073380805</v>
      </c>
      <c r="R50" s="15" t="n">
        <f aca="false">IF(OR($N50="",$O50=""),"",IF(UPPER($O50)="OC",$N50,IF(UPPER($O50)="LOI",IF(OR(LOI_INTERCEPT="",LOI_SLOPE=""),"",IF(LOI_INTERCEPT+LOI_SLOPE*$N50&lt;0,"",LOI_INTERCEPT+LOI_SLOPE*$N50)),"")))</f>
        <v>0.443</v>
      </c>
      <c r="S50" s="18" t="n">
        <f aca="false">IF($R50="","",$R50*10)</f>
        <v>4.43</v>
      </c>
      <c r="T50" s="28" t="n">
        <f aca="false">IF(OR($Q50="",$R50=""),"",$Q50*$R50/100)</f>
        <v>0.00823998045076967</v>
      </c>
      <c r="U50" s="29" t="n">
        <f aca="false">IF(OR($T50="",$F50=""),"",$T50*$F50)</f>
        <v>0.0164799609015393</v>
      </c>
      <c r="V50" s="15" t="n">
        <f aca="false">IF($U50="","",$U50*10)</f>
        <v>0.164799609015393</v>
      </c>
      <c r="W50" s="15" t="n">
        <f aca="false">IF(OR($V50="",$I50="",$J50="",$J50&lt;=$I50),"",$V50*MAX(0,MIN($J50,15)-MAX($I50,0))/($J50-$I50))</f>
        <v>0</v>
      </c>
      <c r="X50" s="15" t="n">
        <f aca="false">IF(OR($V50="",$I50="",$J50="",$J50&lt;=$I50),"",$V50*MAX(0,MIN($J50,30)-MAX($I50,15))/($J50-$I50))</f>
        <v>0.164799609015393</v>
      </c>
      <c r="Y50" s="15" t="n">
        <f aca="false">IF(OR($V50="",$I50="",$J50="",$J50&lt;=$I50),"",$V50*MAX(0,MIN($J50,50)-MAX($I50,30))/($J50-$I50))</f>
        <v>0</v>
      </c>
      <c r="Z50" s="15" t="n">
        <f aca="false">IF(OR($V50="",$I50="",$J50="",$J50&lt;=$I50),"",$V50*MAX(0,MIN($J50,100)-MAX($I50,50))/($J50-$I50))</f>
        <v>0</v>
      </c>
      <c r="AA50" s="16" t="str">
        <f aca="false">IF($A50="","",IF(OR($C50="",$D50="",$D50&lt;=$C50),"CHECK: depths missing, or bottom not below top",IF(COUNTIFS($A$6:$A$205,$A50,$C$6:$C$205,$C50)&gt;1,"DUPLICATE slice",IF(COUNTIFS($A$6:$A$205,$A50,$C$6:$C$205,"&lt;"&amp;$D50,$D$6:$D$205,"&gt;"&amp;$C50)&gt;1,"OVERLAP with another slice",IF(AND($C50&gt;0,COUNTIFS($A$6:$A$205,$A50,$D$6:$D$205,$C50)=0),"GAP above this slice",IF(OR($G50="",$H50=""),"CHECK: Core ID not in Core Log, or its compaction / diameter missing",IF(AND(IF(COUNTIFS('2. Plot &amp; Core Log'!$B$6:$B$35,$A50,'2. Plot &amp; Core Log'!$L$6:$L$35,"&gt;0")=0,"",SUMIFS('2. Plot &amp; Core Log'!$L$6:$L$35,'2. Plot &amp; Core Log'!$B$6:$B$35,$A50))&lt;&gt;"",$D50&gt;IF(COUNTIFS('2. Plot &amp; Core Log'!$B$6:$B$35,$A50,'2. Plot &amp; Core Log'!$L$6:$L$35,"&gt;0")=0,"",SUMIFS('2. Plot &amp; Core Log'!$L$6:$L$35,'2. Plot &amp; Core Log'!$B$6:$B$35,$A50))),"CHECK: slice deeper than the core length on Sheet 2",IF(OR($M50="",$N50="",$O50=""),"AWAITING LAB (dry weight, carbon value or type)",IF(AND(UPPER($O50)&lt;&gt;"OC",UPPER($O50)&lt;&gt;"LOI"),IF(UPPER($O50)="TC","TC is not organic carbon — ask the lab for OC or IC","CHECK: type must be OC, TC or LOI"),IF($R50="",IF(AND(LOI_INTERCEPT&lt;&gt;"",LOI_SLOPE&lt;&gt;""),"CHECK: LOI below the range of the conversion equation (OC would be &lt; 0)","CHECK: LOI conversion not set (Instructions tab)"),IF(OR($Q50&lt;=0,$Q50&gt;2.65,$R50&gt;50),"CHECK: bulk density outside 0–2.65 g/cm3 or OC &gt; 50%","OK")))))))))))</f>
        <v>OK</v>
      </c>
    </row>
    <row r="51" customFormat="false" ht="15.75" hidden="false" customHeight="true" outlineLevel="0" collapsed="false">
      <c r="A51" s="14"/>
      <c r="B51" s="14"/>
      <c r="C51" s="24"/>
      <c r="D51" s="24"/>
      <c r="E51" s="14"/>
      <c r="F51" s="16" t="str">
        <f aca="false">IF(OR($C51="",$D51=""),"",$D51-$C51)</f>
        <v/>
      </c>
      <c r="G51" s="25" t="str">
        <f aca="false">IF($A51="","",IFERROR(INDEX('2. Plot &amp; Core Log'!$M$6:$M$35,MATCH($A51,'2. Plot &amp; Core Log'!$B$6:$B$35,0)),""))</f>
        <v/>
      </c>
      <c r="H51" s="26" t="str">
        <f aca="false">IF($A51="","",IFERROR(INDEX('2. Plot &amp; Core Log'!$S$6:$S$35,MATCH($A51,'2. Plot &amp; Core Log'!$B$6:$B$35,0)),""))</f>
        <v/>
      </c>
      <c r="I51" s="16" t="str">
        <f aca="false">IF(OR($C51="",$G51=""),"",$C51*$G51)</f>
        <v/>
      </c>
      <c r="J51" s="16" t="str">
        <f aca="false">IF(OR($D51="",$G51=""),"",$D51*$G51)</f>
        <v/>
      </c>
      <c r="K51" s="16" t="str">
        <f aca="false">IF(OR($F51="",$H51=""),"",PI()*(($H51/2)^2)*$F51)</f>
        <v/>
      </c>
      <c r="L51" s="27"/>
      <c r="M51" s="27"/>
      <c r="N51" s="27"/>
      <c r="O51" s="27"/>
      <c r="P51" s="16" t="str">
        <f aca="false">IF(OR($L51="",$M51="",$L51=0),"",(($L51-$M51)/$L51)*100)</f>
        <v/>
      </c>
      <c r="Q51" s="15" t="str">
        <f aca="false">IF(OR($M51="",$K51="",$K51=0),"",$M51/$K51)</f>
        <v/>
      </c>
      <c r="R51" s="15" t="str">
        <f aca="false">IF(OR($N51="",$O51=""),"",IF(UPPER($O51)="OC",$N51,IF(UPPER($O51)="LOI",IF(OR(LOI_INTERCEPT="",LOI_SLOPE=""),"",IF(LOI_INTERCEPT+LOI_SLOPE*$N51&lt;0,"",LOI_INTERCEPT+LOI_SLOPE*$N51)),"")))</f>
        <v/>
      </c>
      <c r="S51" s="18" t="str">
        <f aca="false">IF($R51="","",$R51*10)</f>
        <v/>
      </c>
      <c r="T51" s="28" t="str">
        <f aca="false">IF(OR($Q51="",$R51=""),"",$Q51*$R51/100)</f>
        <v/>
      </c>
      <c r="U51" s="29" t="str">
        <f aca="false">IF(OR($T51="",$F51=""),"",$T51*$F51)</f>
        <v/>
      </c>
      <c r="V51" s="15" t="str">
        <f aca="false">IF($U51="","",$U51*10)</f>
        <v/>
      </c>
      <c r="W51" s="15" t="str">
        <f aca="false">IF(OR($V51="",$I51="",$J51="",$J51&lt;=$I51),"",$V51*MAX(0,MIN($J51,15)-MAX($I51,0))/($J51-$I51))</f>
        <v/>
      </c>
      <c r="X51" s="15" t="str">
        <f aca="false">IF(OR($V51="",$I51="",$J51="",$J51&lt;=$I51),"",$V51*MAX(0,MIN($J51,30)-MAX($I51,15))/($J51-$I51))</f>
        <v/>
      </c>
      <c r="Y51" s="15" t="str">
        <f aca="false">IF(OR($V51="",$I51="",$J51="",$J51&lt;=$I51),"",$V51*MAX(0,MIN($J51,50)-MAX($I51,30))/($J51-$I51))</f>
        <v/>
      </c>
      <c r="Z51" s="15" t="str">
        <f aca="false">IF(OR($V51="",$I51="",$J51="",$J51&lt;=$I51),"",$V51*MAX(0,MIN($J51,100)-MAX($I51,50))/($J51-$I51))</f>
        <v/>
      </c>
      <c r="AA51" s="16" t="str">
        <f aca="false">IF($A51="","",IF(OR($C51="",$D51="",$D51&lt;=$C51),"CHECK: depths missing, or bottom not below top",IF(COUNTIFS($A$6:$A$205,$A51,$C$6:$C$205,$C51)&gt;1,"DUPLICATE slice",IF(COUNTIFS($A$6:$A$205,$A51,$C$6:$C$205,"&lt;"&amp;$D51,$D$6:$D$205,"&gt;"&amp;$C51)&gt;1,"OVERLAP with another slice",IF(AND($C51&gt;0,COUNTIFS($A$6:$A$205,$A51,$D$6:$D$205,$C51)=0),"GAP above this slice",IF(OR($G51="",$H51=""),"CHECK: Core ID not in Core Log, or its compaction / diameter missing",IF(AND(IF(COUNTIFS('2. Plot &amp; Core Log'!$B$6:$B$35,$A51,'2. Plot &amp; Core Log'!$L$6:$L$35,"&gt;0")=0,"",SUMIFS('2. Plot &amp; Core Log'!$L$6:$L$35,'2. Plot &amp; Core Log'!$B$6:$B$35,$A51))&lt;&gt;"",$D51&gt;IF(COUNTIFS('2. Plot &amp; Core Log'!$B$6:$B$35,$A51,'2. Plot &amp; Core Log'!$L$6:$L$35,"&gt;0")=0,"",SUMIFS('2. Plot &amp; Core Log'!$L$6:$L$35,'2. Plot &amp; Core Log'!$B$6:$B$35,$A51))),"CHECK: slice deeper than the core length on Sheet 2",IF(OR($M51="",$N51="",$O51=""),"AWAITING LAB (dry weight, carbon value or type)",IF(AND(UPPER($O51)&lt;&gt;"OC",UPPER($O51)&lt;&gt;"LOI"),IF(UPPER($O51)="TC","TC is not organic carbon — ask the lab for OC or IC","CHECK: type must be OC, TC or LOI"),IF($R51="",IF(AND(LOI_INTERCEPT&lt;&gt;"",LOI_SLOPE&lt;&gt;""),"CHECK: LOI below the range of the conversion equation (OC would be &lt; 0)","CHECK: LOI conversion not set (Instructions tab)"),IF(OR($Q51&lt;=0,$Q51&gt;2.65,$R51&gt;50),"CHECK: bulk density outside 0–2.65 g/cm3 or OC &gt; 50%","OK")))))))))))</f>
        <v/>
      </c>
    </row>
    <row r="52" customFormat="false" ht="15.75" hidden="false" customHeight="true" outlineLevel="0" collapsed="false">
      <c r="A52" s="14"/>
      <c r="B52" s="14"/>
      <c r="C52" s="24"/>
      <c r="D52" s="24"/>
      <c r="E52" s="14"/>
      <c r="F52" s="16" t="str">
        <f aca="false">IF(OR($C52="",$D52=""),"",$D52-$C52)</f>
        <v/>
      </c>
      <c r="G52" s="25" t="str">
        <f aca="false">IF($A52="","",IFERROR(INDEX('2. Plot &amp; Core Log'!$M$6:$M$35,MATCH($A52,'2. Plot &amp; Core Log'!$B$6:$B$35,0)),""))</f>
        <v/>
      </c>
      <c r="H52" s="26" t="str">
        <f aca="false">IF($A52="","",IFERROR(INDEX('2. Plot &amp; Core Log'!$S$6:$S$35,MATCH($A52,'2. Plot &amp; Core Log'!$B$6:$B$35,0)),""))</f>
        <v/>
      </c>
      <c r="I52" s="16" t="str">
        <f aca="false">IF(OR($C52="",$G52=""),"",$C52*$G52)</f>
        <v/>
      </c>
      <c r="J52" s="16" t="str">
        <f aca="false">IF(OR($D52="",$G52=""),"",$D52*$G52)</f>
        <v/>
      </c>
      <c r="K52" s="16" t="str">
        <f aca="false">IF(OR($F52="",$H52=""),"",PI()*(($H52/2)^2)*$F52)</f>
        <v/>
      </c>
      <c r="L52" s="27"/>
      <c r="M52" s="27"/>
      <c r="N52" s="27"/>
      <c r="O52" s="27"/>
      <c r="P52" s="16" t="str">
        <f aca="false">IF(OR($L52="",$M52="",$L52=0),"",(($L52-$M52)/$L52)*100)</f>
        <v/>
      </c>
      <c r="Q52" s="15" t="str">
        <f aca="false">IF(OR($M52="",$K52="",$K52=0),"",$M52/$K52)</f>
        <v/>
      </c>
      <c r="R52" s="15" t="str">
        <f aca="false">IF(OR($N52="",$O52=""),"",IF(UPPER($O52)="OC",$N52,IF(UPPER($O52)="LOI",IF(OR(LOI_INTERCEPT="",LOI_SLOPE=""),"",IF(LOI_INTERCEPT+LOI_SLOPE*$N52&lt;0,"",LOI_INTERCEPT+LOI_SLOPE*$N52)),"")))</f>
        <v/>
      </c>
      <c r="S52" s="18" t="str">
        <f aca="false">IF($R52="","",$R52*10)</f>
        <v/>
      </c>
      <c r="T52" s="28" t="str">
        <f aca="false">IF(OR($Q52="",$R52=""),"",$Q52*$R52/100)</f>
        <v/>
      </c>
      <c r="U52" s="29" t="str">
        <f aca="false">IF(OR($T52="",$F52=""),"",$T52*$F52)</f>
        <v/>
      </c>
      <c r="V52" s="15" t="str">
        <f aca="false">IF($U52="","",$U52*10)</f>
        <v/>
      </c>
      <c r="W52" s="15" t="str">
        <f aca="false">IF(OR($V52="",$I52="",$J52="",$J52&lt;=$I52),"",$V52*MAX(0,MIN($J52,15)-MAX($I52,0))/($J52-$I52))</f>
        <v/>
      </c>
      <c r="X52" s="15" t="str">
        <f aca="false">IF(OR($V52="",$I52="",$J52="",$J52&lt;=$I52),"",$V52*MAX(0,MIN($J52,30)-MAX($I52,15))/($J52-$I52))</f>
        <v/>
      </c>
      <c r="Y52" s="15" t="str">
        <f aca="false">IF(OR($V52="",$I52="",$J52="",$J52&lt;=$I52),"",$V52*MAX(0,MIN($J52,50)-MAX($I52,30))/($J52-$I52))</f>
        <v/>
      </c>
      <c r="Z52" s="15" t="str">
        <f aca="false">IF(OR($V52="",$I52="",$J52="",$J52&lt;=$I52),"",$V52*MAX(0,MIN($J52,100)-MAX($I52,50))/($J52-$I52))</f>
        <v/>
      </c>
      <c r="AA52" s="16" t="str">
        <f aca="false">IF($A52="","",IF(OR($C52="",$D52="",$D52&lt;=$C52),"CHECK: depths missing, or bottom not below top",IF(COUNTIFS($A$6:$A$205,$A52,$C$6:$C$205,$C52)&gt;1,"DUPLICATE slice",IF(COUNTIFS($A$6:$A$205,$A52,$C$6:$C$205,"&lt;"&amp;$D52,$D$6:$D$205,"&gt;"&amp;$C52)&gt;1,"OVERLAP with another slice",IF(AND($C52&gt;0,COUNTIFS($A$6:$A$205,$A52,$D$6:$D$205,$C52)=0),"GAP above this slice",IF(OR($G52="",$H52=""),"CHECK: Core ID not in Core Log, or its compaction / diameter missing",IF(AND(IF(COUNTIFS('2. Plot &amp; Core Log'!$B$6:$B$35,$A52,'2. Plot &amp; Core Log'!$L$6:$L$35,"&gt;0")=0,"",SUMIFS('2. Plot &amp; Core Log'!$L$6:$L$35,'2. Plot &amp; Core Log'!$B$6:$B$35,$A52))&lt;&gt;"",$D52&gt;IF(COUNTIFS('2. Plot &amp; Core Log'!$B$6:$B$35,$A52,'2. Plot &amp; Core Log'!$L$6:$L$35,"&gt;0")=0,"",SUMIFS('2. Plot &amp; Core Log'!$L$6:$L$35,'2. Plot &amp; Core Log'!$B$6:$B$35,$A52))),"CHECK: slice deeper than the core length on Sheet 2",IF(OR($M52="",$N52="",$O52=""),"AWAITING LAB (dry weight, carbon value or type)",IF(AND(UPPER($O52)&lt;&gt;"OC",UPPER($O52)&lt;&gt;"LOI"),IF(UPPER($O52)="TC","TC is not organic carbon — ask the lab for OC or IC","CHECK: type must be OC, TC or LOI"),IF($R52="",IF(AND(LOI_INTERCEPT&lt;&gt;"",LOI_SLOPE&lt;&gt;""),"CHECK: LOI below the range of the conversion equation (OC would be &lt; 0)","CHECK: LOI conversion not set (Instructions tab)"),IF(OR($Q52&lt;=0,$Q52&gt;2.65,$R52&gt;50),"CHECK: bulk density outside 0–2.65 g/cm3 or OC &gt; 50%","OK")))))))))))</f>
        <v/>
      </c>
    </row>
    <row r="53" customFormat="false" ht="15.75" hidden="false" customHeight="true" outlineLevel="0" collapsed="false">
      <c r="A53" s="14"/>
      <c r="B53" s="14"/>
      <c r="C53" s="24"/>
      <c r="D53" s="24"/>
      <c r="E53" s="14"/>
      <c r="F53" s="16" t="str">
        <f aca="false">IF(OR($C53="",$D53=""),"",$D53-$C53)</f>
        <v/>
      </c>
      <c r="G53" s="25" t="str">
        <f aca="false">IF($A53="","",IFERROR(INDEX('2. Plot &amp; Core Log'!$M$6:$M$35,MATCH($A53,'2. Plot &amp; Core Log'!$B$6:$B$35,0)),""))</f>
        <v/>
      </c>
      <c r="H53" s="26" t="str">
        <f aca="false">IF($A53="","",IFERROR(INDEX('2. Plot &amp; Core Log'!$S$6:$S$35,MATCH($A53,'2. Plot &amp; Core Log'!$B$6:$B$35,0)),""))</f>
        <v/>
      </c>
      <c r="I53" s="16" t="str">
        <f aca="false">IF(OR($C53="",$G53=""),"",$C53*$G53)</f>
        <v/>
      </c>
      <c r="J53" s="16" t="str">
        <f aca="false">IF(OR($D53="",$G53=""),"",$D53*$G53)</f>
        <v/>
      </c>
      <c r="K53" s="16" t="str">
        <f aca="false">IF(OR($F53="",$H53=""),"",PI()*(($H53/2)^2)*$F53)</f>
        <v/>
      </c>
      <c r="L53" s="27"/>
      <c r="M53" s="27"/>
      <c r="N53" s="27"/>
      <c r="O53" s="27"/>
      <c r="P53" s="16" t="str">
        <f aca="false">IF(OR($L53="",$M53="",$L53=0),"",(($L53-$M53)/$L53)*100)</f>
        <v/>
      </c>
      <c r="Q53" s="15" t="str">
        <f aca="false">IF(OR($M53="",$K53="",$K53=0),"",$M53/$K53)</f>
        <v/>
      </c>
      <c r="R53" s="15" t="str">
        <f aca="false">IF(OR($N53="",$O53=""),"",IF(UPPER($O53)="OC",$N53,IF(UPPER($O53)="LOI",IF(OR(LOI_INTERCEPT="",LOI_SLOPE=""),"",IF(LOI_INTERCEPT+LOI_SLOPE*$N53&lt;0,"",LOI_INTERCEPT+LOI_SLOPE*$N53)),"")))</f>
        <v/>
      </c>
      <c r="S53" s="18" t="str">
        <f aca="false">IF($R53="","",$R53*10)</f>
        <v/>
      </c>
      <c r="T53" s="28" t="str">
        <f aca="false">IF(OR($Q53="",$R53=""),"",$Q53*$R53/100)</f>
        <v/>
      </c>
      <c r="U53" s="29" t="str">
        <f aca="false">IF(OR($T53="",$F53=""),"",$T53*$F53)</f>
        <v/>
      </c>
      <c r="V53" s="15" t="str">
        <f aca="false">IF($U53="","",$U53*10)</f>
        <v/>
      </c>
      <c r="W53" s="15" t="str">
        <f aca="false">IF(OR($V53="",$I53="",$J53="",$J53&lt;=$I53),"",$V53*MAX(0,MIN($J53,15)-MAX($I53,0))/($J53-$I53))</f>
        <v/>
      </c>
      <c r="X53" s="15" t="str">
        <f aca="false">IF(OR($V53="",$I53="",$J53="",$J53&lt;=$I53),"",$V53*MAX(0,MIN($J53,30)-MAX($I53,15))/($J53-$I53))</f>
        <v/>
      </c>
      <c r="Y53" s="15" t="str">
        <f aca="false">IF(OR($V53="",$I53="",$J53="",$J53&lt;=$I53),"",$V53*MAX(0,MIN($J53,50)-MAX($I53,30))/($J53-$I53))</f>
        <v/>
      </c>
      <c r="Z53" s="15" t="str">
        <f aca="false">IF(OR($V53="",$I53="",$J53="",$J53&lt;=$I53),"",$V53*MAX(0,MIN($J53,100)-MAX($I53,50))/($J53-$I53))</f>
        <v/>
      </c>
      <c r="AA53" s="16" t="str">
        <f aca="false">IF($A53="","",IF(OR($C53="",$D53="",$D53&lt;=$C53),"CHECK: depths missing, or bottom not below top",IF(COUNTIFS($A$6:$A$205,$A53,$C$6:$C$205,$C53)&gt;1,"DUPLICATE slice",IF(COUNTIFS($A$6:$A$205,$A53,$C$6:$C$205,"&lt;"&amp;$D53,$D$6:$D$205,"&gt;"&amp;$C53)&gt;1,"OVERLAP with another slice",IF(AND($C53&gt;0,COUNTIFS($A$6:$A$205,$A53,$D$6:$D$205,$C53)=0),"GAP above this slice",IF(OR($G53="",$H53=""),"CHECK: Core ID not in Core Log, or its compaction / diameter missing",IF(AND(IF(COUNTIFS('2. Plot &amp; Core Log'!$B$6:$B$35,$A53,'2. Plot &amp; Core Log'!$L$6:$L$35,"&gt;0")=0,"",SUMIFS('2. Plot &amp; Core Log'!$L$6:$L$35,'2. Plot &amp; Core Log'!$B$6:$B$35,$A53))&lt;&gt;"",$D53&gt;IF(COUNTIFS('2. Plot &amp; Core Log'!$B$6:$B$35,$A53,'2. Plot &amp; Core Log'!$L$6:$L$35,"&gt;0")=0,"",SUMIFS('2. Plot &amp; Core Log'!$L$6:$L$35,'2. Plot &amp; Core Log'!$B$6:$B$35,$A53))),"CHECK: slice deeper than the core length on Sheet 2",IF(OR($M53="",$N53="",$O53=""),"AWAITING LAB (dry weight, carbon value or type)",IF(AND(UPPER($O53)&lt;&gt;"OC",UPPER($O53)&lt;&gt;"LOI"),IF(UPPER($O53)="TC","TC is not organic carbon — ask the lab for OC or IC","CHECK: type must be OC, TC or LOI"),IF($R53="",IF(AND(LOI_INTERCEPT&lt;&gt;"",LOI_SLOPE&lt;&gt;""),"CHECK: LOI below the range of the conversion equation (OC would be &lt; 0)","CHECK: LOI conversion not set (Instructions tab)"),IF(OR($Q53&lt;=0,$Q53&gt;2.65,$R53&gt;50),"CHECK: bulk density outside 0–2.65 g/cm3 or OC &gt; 50%","OK")))))))))))</f>
        <v/>
      </c>
    </row>
    <row r="54" customFormat="false" ht="15.75" hidden="false" customHeight="true" outlineLevel="0" collapsed="false">
      <c r="A54" s="14"/>
      <c r="B54" s="14"/>
      <c r="C54" s="24"/>
      <c r="D54" s="24"/>
      <c r="E54" s="14"/>
      <c r="F54" s="16" t="str">
        <f aca="false">IF(OR($C54="",$D54=""),"",$D54-$C54)</f>
        <v/>
      </c>
      <c r="G54" s="25" t="str">
        <f aca="false">IF($A54="","",IFERROR(INDEX('2. Plot &amp; Core Log'!$M$6:$M$35,MATCH($A54,'2. Plot &amp; Core Log'!$B$6:$B$35,0)),""))</f>
        <v/>
      </c>
      <c r="H54" s="26" t="str">
        <f aca="false">IF($A54="","",IFERROR(INDEX('2. Plot &amp; Core Log'!$S$6:$S$35,MATCH($A54,'2. Plot &amp; Core Log'!$B$6:$B$35,0)),""))</f>
        <v/>
      </c>
      <c r="I54" s="16" t="str">
        <f aca="false">IF(OR($C54="",$G54=""),"",$C54*$G54)</f>
        <v/>
      </c>
      <c r="J54" s="16" t="str">
        <f aca="false">IF(OR($D54="",$G54=""),"",$D54*$G54)</f>
        <v/>
      </c>
      <c r="K54" s="16" t="str">
        <f aca="false">IF(OR($F54="",$H54=""),"",PI()*(($H54/2)^2)*$F54)</f>
        <v/>
      </c>
      <c r="L54" s="27"/>
      <c r="M54" s="27"/>
      <c r="N54" s="27"/>
      <c r="O54" s="27"/>
      <c r="P54" s="16" t="str">
        <f aca="false">IF(OR($L54="",$M54="",$L54=0),"",(($L54-$M54)/$L54)*100)</f>
        <v/>
      </c>
      <c r="Q54" s="15" t="str">
        <f aca="false">IF(OR($M54="",$K54="",$K54=0),"",$M54/$K54)</f>
        <v/>
      </c>
      <c r="R54" s="15" t="str">
        <f aca="false">IF(OR($N54="",$O54=""),"",IF(UPPER($O54)="OC",$N54,IF(UPPER($O54)="LOI",IF(OR(LOI_INTERCEPT="",LOI_SLOPE=""),"",IF(LOI_INTERCEPT+LOI_SLOPE*$N54&lt;0,"",LOI_INTERCEPT+LOI_SLOPE*$N54)),"")))</f>
        <v/>
      </c>
      <c r="S54" s="18" t="str">
        <f aca="false">IF($R54="","",$R54*10)</f>
        <v/>
      </c>
      <c r="T54" s="28" t="str">
        <f aca="false">IF(OR($Q54="",$R54=""),"",$Q54*$R54/100)</f>
        <v/>
      </c>
      <c r="U54" s="29" t="str">
        <f aca="false">IF(OR($T54="",$F54=""),"",$T54*$F54)</f>
        <v/>
      </c>
      <c r="V54" s="15" t="str">
        <f aca="false">IF($U54="","",$U54*10)</f>
        <v/>
      </c>
      <c r="W54" s="15" t="str">
        <f aca="false">IF(OR($V54="",$I54="",$J54="",$J54&lt;=$I54),"",$V54*MAX(0,MIN($J54,15)-MAX($I54,0))/($J54-$I54))</f>
        <v/>
      </c>
      <c r="X54" s="15" t="str">
        <f aca="false">IF(OR($V54="",$I54="",$J54="",$J54&lt;=$I54),"",$V54*MAX(0,MIN($J54,30)-MAX($I54,15))/($J54-$I54))</f>
        <v/>
      </c>
      <c r="Y54" s="15" t="str">
        <f aca="false">IF(OR($V54="",$I54="",$J54="",$J54&lt;=$I54),"",$V54*MAX(0,MIN($J54,50)-MAX($I54,30))/($J54-$I54))</f>
        <v/>
      </c>
      <c r="Z54" s="15" t="str">
        <f aca="false">IF(OR($V54="",$I54="",$J54="",$J54&lt;=$I54),"",$V54*MAX(0,MIN($J54,100)-MAX($I54,50))/($J54-$I54))</f>
        <v/>
      </c>
      <c r="AA54" s="16" t="str">
        <f aca="false">IF($A54="","",IF(OR($C54="",$D54="",$D54&lt;=$C54),"CHECK: depths missing, or bottom not below top",IF(COUNTIFS($A$6:$A$205,$A54,$C$6:$C$205,$C54)&gt;1,"DUPLICATE slice",IF(COUNTIFS($A$6:$A$205,$A54,$C$6:$C$205,"&lt;"&amp;$D54,$D$6:$D$205,"&gt;"&amp;$C54)&gt;1,"OVERLAP with another slice",IF(AND($C54&gt;0,COUNTIFS($A$6:$A$205,$A54,$D$6:$D$205,$C54)=0),"GAP above this slice",IF(OR($G54="",$H54=""),"CHECK: Core ID not in Core Log, or its compaction / diameter missing",IF(AND(IF(COUNTIFS('2. Plot &amp; Core Log'!$B$6:$B$35,$A54,'2. Plot &amp; Core Log'!$L$6:$L$35,"&gt;0")=0,"",SUMIFS('2. Plot &amp; Core Log'!$L$6:$L$35,'2. Plot &amp; Core Log'!$B$6:$B$35,$A54))&lt;&gt;"",$D54&gt;IF(COUNTIFS('2. Plot &amp; Core Log'!$B$6:$B$35,$A54,'2. Plot &amp; Core Log'!$L$6:$L$35,"&gt;0")=0,"",SUMIFS('2. Plot &amp; Core Log'!$L$6:$L$35,'2. Plot &amp; Core Log'!$B$6:$B$35,$A54))),"CHECK: slice deeper than the core length on Sheet 2",IF(OR($M54="",$N54="",$O54=""),"AWAITING LAB (dry weight, carbon value or type)",IF(AND(UPPER($O54)&lt;&gt;"OC",UPPER($O54)&lt;&gt;"LOI"),IF(UPPER($O54)="TC","TC is not organic carbon — ask the lab for OC or IC","CHECK: type must be OC, TC or LOI"),IF($R54="",IF(AND(LOI_INTERCEPT&lt;&gt;"",LOI_SLOPE&lt;&gt;""),"CHECK: LOI below the range of the conversion equation (OC would be &lt; 0)","CHECK: LOI conversion not set (Instructions tab)"),IF(OR($Q54&lt;=0,$Q54&gt;2.65,$R54&gt;50),"CHECK: bulk density outside 0–2.65 g/cm3 or OC &gt; 50%","OK")))))))))))</f>
        <v/>
      </c>
    </row>
    <row r="55" customFormat="false" ht="15.75" hidden="false" customHeight="true" outlineLevel="0" collapsed="false">
      <c r="A55" s="14"/>
      <c r="B55" s="14"/>
      <c r="C55" s="24"/>
      <c r="D55" s="24"/>
      <c r="E55" s="14"/>
      <c r="F55" s="16" t="str">
        <f aca="false">IF(OR($C55="",$D55=""),"",$D55-$C55)</f>
        <v/>
      </c>
      <c r="G55" s="25" t="str">
        <f aca="false">IF($A55="","",IFERROR(INDEX('2. Plot &amp; Core Log'!$M$6:$M$35,MATCH($A55,'2. Plot &amp; Core Log'!$B$6:$B$35,0)),""))</f>
        <v/>
      </c>
      <c r="H55" s="26" t="str">
        <f aca="false">IF($A55="","",IFERROR(INDEX('2. Plot &amp; Core Log'!$S$6:$S$35,MATCH($A55,'2. Plot &amp; Core Log'!$B$6:$B$35,0)),""))</f>
        <v/>
      </c>
      <c r="I55" s="16" t="str">
        <f aca="false">IF(OR($C55="",$G55=""),"",$C55*$G55)</f>
        <v/>
      </c>
      <c r="J55" s="16" t="str">
        <f aca="false">IF(OR($D55="",$G55=""),"",$D55*$G55)</f>
        <v/>
      </c>
      <c r="K55" s="16" t="str">
        <f aca="false">IF(OR($F55="",$H55=""),"",PI()*(($H55/2)^2)*$F55)</f>
        <v/>
      </c>
      <c r="L55" s="27"/>
      <c r="M55" s="27"/>
      <c r="N55" s="27"/>
      <c r="O55" s="27"/>
      <c r="P55" s="16" t="str">
        <f aca="false">IF(OR($L55="",$M55="",$L55=0),"",(($L55-$M55)/$L55)*100)</f>
        <v/>
      </c>
      <c r="Q55" s="15" t="str">
        <f aca="false">IF(OR($M55="",$K55="",$K55=0),"",$M55/$K55)</f>
        <v/>
      </c>
      <c r="R55" s="15" t="str">
        <f aca="false">IF(OR($N55="",$O55=""),"",IF(UPPER($O55)="OC",$N55,IF(UPPER($O55)="LOI",IF(OR(LOI_INTERCEPT="",LOI_SLOPE=""),"",IF(LOI_INTERCEPT+LOI_SLOPE*$N55&lt;0,"",LOI_INTERCEPT+LOI_SLOPE*$N55)),"")))</f>
        <v/>
      </c>
      <c r="S55" s="18" t="str">
        <f aca="false">IF($R55="","",$R55*10)</f>
        <v/>
      </c>
      <c r="T55" s="28" t="str">
        <f aca="false">IF(OR($Q55="",$R55=""),"",$Q55*$R55/100)</f>
        <v/>
      </c>
      <c r="U55" s="29" t="str">
        <f aca="false">IF(OR($T55="",$F55=""),"",$T55*$F55)</f>
        <v/>
      </c>
      <c r="V55" s="15" t="str">
        <f aca="false">IF($U55="","",$U55*10)</f>
        <v/>
      </c>
      <c r="W55" s="15" t="str">
        <f aca="false">IF(OR($V55="",$I55="",$J55="",$J55&lt;=$I55),"",$V55*MAX(0,MIN($J55,15)-MAX($I55,0))/($J55-$I55))</f>
        <v/>
      </c>
      <c r="X55" s="15" t="str">
        <f aca="false">IF(OR($V55="",$I55="",$J55="",$J55&lt;=$I55),"",$V55*MAX(0,MIN($J55,30)-MAX($I55,15))/($J55-$I55))</f>
        <v/>
      </c>
      <c r="Y55" s="15" t="str">
        <f aca="false">IF(OR($V55="",$I55="",$J55="",$J55&lt;=$I55),"",$V55*MAX(0,MIN($J55,50)-MAX($I55,30))/($J55-$I55))</f>
        <v/>
      </c>
      <c r="Z55" s="15" t="str">
        <f aca="false">IF(OR($V55="",$I55="",$J55="",$J55&lt;=$I55),"",$V55*MAX(0,MIN($J55,100)-MAX($I55,50))/($J55-$I55))</f>
        <v/>
      </c>
      <c r="AA55" s="16" t="str">
        <f aca="false">IF($A55="","",IF(OR($C55="",$D55="",$D55&lt;=$C55),"CHECK: depths missing, or bottom not below top",IF(COUNTIFS($A$6:$A$205,$A55,$C$6:$C$205,$C55)&gt;1,"DUPLICATE slice",IF(COUNTIFS($A$6:$A$205,$A55,$C$6:$C$205,"&lt;"&amp;$D55,$D$6:$D$205,"&gt;"&amp;$C55)&gt;1,"OVERLAP with another slice",IF(AND($C55&gt;0,COUNTIFS($A$6:$A$205,$A55,$D$6:$D$205,$C55)=0),"GAP above this slice",IF(OR($G55="",$H55=""),"CHECK: Core ID not in Core Log, or its compaction / diameter missing",IF(AND(IF(COUNTIFS('2. Plot &amp; Core Log'!$B$6:$B$35,$A55,'2. Plot &amp; Core Log'!$L$6:$L$35,"&gt;0")=0,"",SUMIFS('2. Plot &amp; Core Log'!$L$6:$L$35,'2. Plot &amp; Core Log'!$B$6:$B$35,$A55))&lt;&gt;"",$D55&gt;IF(COUNTIFS('2. Plot &amp; Core Log'!$B$6:$B$35,$A55,'2. Plot &amp; Core Log'!$L$6:$L$35,"&gt;0")=0,"",SUMIFS('2. Plot &amp; Core Log'!$L$6:$L$35,'2. Plot &amp; Core Log'!$B$6:$B$35,$A55))),"CHECK: slice deeper than the core length on Sheet 2",IF(OR($M55="",$N55="",$O55=""),"AWAITING LAB (dry weight, carbon value or type)",IF(AND(UPPER($O55)&lt;&gt;"OC",UPPER($O55)&lt;&gt;"LOI"),IF(UPPER($O55)="TC","TC is not organic carbon — ask the lab for OC or IC","CHECK: type must be OC, TC or LOI"),IF($R55="",IF(AND(LOI_INTERCEPT&lt;&gt;"",LOI_SLOPE&lt;&gt;""),"CHECK: LOI below the range of the conversion equation (OC would be &lt; 0)","CHECK: LOI conversion not set (Instructions tab)"),IF(OR($Q55&lt;=0,$Q55&gt;2.65,$R55&gt;50),"CHECK: bulk density outside 0–2.65 g/cm3 or OC &gt; 50%","OK")))))))))))</f>
        <v/>
      </c>
    </row>
    <row r="56" customFormat="false" ht="15.75" hidden="false" customHeight="true" outlineLevel="0" collapsed="false">
      <c r="A56" s="14"/>
      <c r="B56" s="14"/>
      <c r="C56" s="24"/>
      <c r="D56" s="24"/>
      <c r="E56" s="14"/>
      <c r="F56" s="16" t="str">
        <f aca="false">IF(OR($C56="",$D56=""),"",$D56-$C56)</f>
        <v/>
      </c>
      <c r="G56" s="25" t="str">
        <f aca="false">IF($A56="","",IFERROR(INDEX('2. Plot &amp; Core Log'!$M$6:$M$35,MATCH($A56,'2. Plot &amp; Core Log'!$B$6:$B$35,0)),""))</f>
        <v/>
      </c>
      <c r="H56" s="26" t="str">
        <f aca="false">IF($A56="","",IFERROR(INDEX('2. Plot &amp; Core Log'!$S$6:$S$35,MATCH($A56,'2. Plot &amp; Core Log'!$B$6:$B$35,0)),""))</f>
        <v/>
      </c>
      <c r="I56" s="16" t="str">
        <f aca="false">IF(OR($C56="",$G56=""),"",$C56*$G56)</f>
        <v/>
      </c>
      <c r="J56" s="16" t="str">
        <f aca="false">IF(OR($D56="",$G56=""),"",$D56*$G56)</f>
        <v/>
      </c>
      <c r="K56" s="16" t="str">
        <f aca="false">IF(OR($F56="",$H56=""),"",PI()*(($H56/2)^2)*$F56)</f>
        <v/>
      </c>
      <c r="L56" s="27"/>
      <c r="M56" s="27"/>
      <c r="N56" s="27"/>
      <c r="O56" s="27"/>
      <c r="P56" s="16" t="str">
        <f aca="false">IF(OR($L56="",$M56="",$L56=0),"",(($L56-$M56)/$L56)*100)</f>
        <v/>
      </c>
      <c r="Q56" s="15" t="str">
        <f aca="false">IF(OR($M56="",$K56="",$K56=0),"",$M56/$K56)</f>
        <v/>
      </c>
      <c r="R56" s="15" t="str">
        <f aca="false">IF(OR($N56="",$O56=""),"",IF(UPPER($O56)="OC",$N56,IF(UPPER($O56)="LOI",IF(OR(LOI_INTERCEPT="",LOI_SLOPE=""),"",IF(LOI_INTERCEPT+LOI_SLOPE*$N56&lt;0,"",LOI_INTERCEPT+LOI_SLOPE*$N56)),"")))</f>
        <v/>
      </c>
      <c r="S56" s="18" t="str">
        <f aca="false">IF($R56="","",$R56*10)</f>
        <v/>
      </c>
      <c r="T56" s="28" t="str">
        <f aca="false">IF(OR($Q56="",$R56=""),"",$Q56*$R56/100)</f>
        <v/>
      </c>
      <c r="U56" s="29" t="str">
        <f aca="false">IF(OR($T56="",$F56=""),"",$T56*$F56)</f>
        <v/>
      </c>
      <c r="V56" s="15" t="str">
        <f aca="false">IF($U56="","",$U56*10)</f>
        <v/>
      </c>
      <c r="W56" s="15" t="str">
        <f aca="false">IF(OR($V56="",$I56="",$J56="",$J56&lt;=$I56),"",$V56*MAX(0,MIN($J56,15)-MAX($I56,0))/($J56-$I56))</f>
        <v/>
      </c>
      <c r="X56" s="15" t="str">
        <f aca="false">IF(OR($V56="",$I56="",$J56="",$J56&lt;=$I56),"",$V56*MAX(0,MIN($J56,30)-MAX($I56,15))/($J56-$I56))</f>
        <v/>
      </c>
      <c r="Y56" s="15" t="str">
        <f aca="false">IF(OR($V56="",$I56="",$J56="",$J56&lt;=$I56),"",$V56*MAX(0,MIN($J56,50)-MAX($I56,30))/($J56-$I56))</f>
        <v/>
      </c>
      <c r="Z56" s="15" t="str">
        <f aca="false">IF(OR($V56="",$I56="",$J56="",$J56&lt;=$I56),"",$V56*MAX(0,MIN($J56,100)-MAX($I56,50))/($J56-$I56))</f>
        <v/>
      </c>
      <c r="AA56" s="16" t="str">
        <f aca="false">IF($A56="","",IF(OR($C56="",$D56="",$D56&lt;=$C56),"CHECK: depths missing, or bottom not below top",IF(COUNTIFS($A$6:$A$205,$A56,$C$6:$C$205,$C56)&gt;1,"DUPLICATE slice",IF(COUNTIFS($A$6:$A$205,$A56,$C$6:$C$205,"&lt;"&amp;$D56,$D$6:$D$205,"&gt;"&amp;$C56)&gt;1,"OVERLAP with another slice",IF(AND($C56&gt;0,COUNTIFS($A$6:$A$205,$A56,$D$6:$D$205,$C56)=0),"GAP above this slice",IF(OR($G56="",$H56=""),"CHECK: Core ID not in Core Log, or its compaction / diameter missing",IF(AND(IF(COUNTIFS('2. Plot &amp; Core Log'!$B$6:$B$35,$A56,'2. Plot &amp; Core Log'!$L$6:$L$35,"&gt;0")=0,"",SUMIFS('2. Plot &amp; Core Log'!$L$6:$L$35,'2. Plot &amp; Core Log'!$B$6:$B$35,$A56))&lt;&gt;"",$D56&gt;IF(COUNTIFS('2. Plot &amp; Core Log'!$B$6:$B$35,$A56,'2. Plot &amp; Core Log'!$L$6:$L$35,"&gt;0")=0,"",SUMIFS('2. Plot &amp; Core Log'!$L$6:$L$35,'2. Plot &amp; Core Log'!$B$6:$B$35,$A56))),"CHECK: slice deeper than the core length on Sheet 2",IF(OR($M56="",$N56="",$O56=""),"AWAITING LAB (dry weight, carbon value or type)",IF(AND(UPPER($O56)&lt;&gt;"OC",UPPER($O56)&lt;&gt;"LOI"),IF(UPPER($O56)="TC","TC is not organic carbon — ask the lab for OC or IC","CHECK: type must be OC, TC or LOI"),IF($R56="",IF(AND(LOI_INTERCEPT&lt;&gt;"",LOI_SLOPE&lt;&gt;""),"CHECK: LOI below the range of the conversion equation (OC would be &lt; 0)","CHECK: LOI conversion not set (Instructions tab)"),IF(OR($Q56&lt;=0,$Q56&gt;2.65,$R56&gt;50),"CHECK: bulk density outside 0–2.65 g/cm3 or OC &gt; 50%","OK")))))))))))</f>
        <v/>
      </c>
    </row>
    <row r="57" customFormat="false" ht="15.75" hidden="false" customHeight="true" outlineLevel="0" collapsed="false">
      <c r="A57" s="14"/>
      <c r="B57" s="14"/>
      <c r="C57" s="24"/>
      <c r="D57" s="24"/>
      <c r="E57" s="14"/>
      <c r="F57" s="16" t="str">
        <f aca="false">IF(OR($C57="",$D57=""),"",$D57-$C57)</f>
        <v/>
      </c>
      <c r="G57" s="25" t="str">
        <f aca="false">IF($A57="","",IFERROR(INDEX('2. Plot &amp; Core Log'!$M$6:$M$35,MATCH($A57,'2. Plot &amp; Core Log'!$B$6:$B$35,0)),""))</f>
        <v/>
      </c>
      <c r="H57" s="26" t="str">
        <f aca="false">IF($A57="","",IFERROR(INDEX('2. Plot &amp; Core Log'!$S$6:$S$35,MATCH($A57,'2. Plot &amp; Core Log'!$B$6:$B$35,0)),""))</f>
        <v/>
      </c>
      <c r="I57" s="16" t="str">
        <f aca="false">IF(OR($C57="",$G57=""),"",$C57*$G57)</f>
        <v/>
      </c>
      <c r="J57" s="16" t="str">
        <f aca="false">IF(OR($D57="",$G57=""),"",$D57*$G57)</f>
        <v/>
      </c>
      <c r="K57" s="16" t="str">
        <f aca="false">IF(OR($F57="",$H57=""),"",PI()*(($H57/2)^2)*$F57)</f>
        <v/>
      </c>
      <c r="L57" s="27"/>
      <c r="M57" s="27"/>
      <c r="N57" s="27"/>
      <c r="O57" s="27"/>
      <c r="P57" s="16" t="str">
        <f aca="false">IF(OR($L57="",$M57="",$L57=0),"",(($L57-$M57)/$L57)*100)</f>
        <v/>
      </c>
      <c r="Q57" s="15" t="str">
        <f aca="false">IF(OR($M57="",$K57="",$K57=0),"",$M57/$K57)</f>
        <v/>
      </c>
      <c r="R57" s="15" t="str">
        <f aca="false">IF(OR($N57="",$O57=""),"",IF(UPPER($O57)="OC",$N57,IF(UPPER($O57)="LOI",IF(OR(LOI_INTERCEPT="",LOI_SLOPE=""),"",IF(LOI_INTERCEPT+LOI_SLOPE*$N57&lt;0,"",LOI_INTERCEPT+LOI_SLOPE*$N57)),"")))</f>
        <v/>
      </c>
      <c r="S57" s="18" t="str">
        <f aca="false">IF($R57="","",$R57*10)</f>
        <v/>
      </c>
      <c r="T57" s="28" t="str">
        <f aca="false">IF(OR($Q57="",$R57=""),"",$Q57*$R57/100)</f>
        <v/>
      </c>
      <c r="U57" s="29" t="str">
        <f aca="false">IF(OR($T57="",$F57=""),"",$T57*$F57)</f>
        <v/>
      </c>
      <c r="V57" s="15" t="str">
        <f aca="false">IF($U57="","",$U57*10)</f>
        <v/>
      </c>
      <c r="W57" s="15" t="str">
        <f aca="false">IF(OR($V57="",$I57="",$J57="",$J57&lt;=$I57),"",$V57*MAX(0,MIN($J57,15)-MAX($I57,0))/($J57-$I57))</f>
        <v/>
      </c>
      <c r="X57" s="15" t="str">
        <f aca="false">IF(OR($V57="",$I57="",$J57="",$J57&lt;=$I57),"",$V57*MAX(0,MIN($J57,30)-MAX($I57,15))/($J57-$I57))</f>
        <v/>
      </c>
      <c r="Y57" s="15" t="str">
        <f aca="false">IF(OR($V57="",$I57="",$J57="",$J57&lt;=$I57),"",$V57*MAX(0,MIN($J57,50)-MAX($I57,30))/($J57-$I57))</f>
        <v/>
      </c>
      <c r="Z57" s="15" t="str">
        <f aca="false">IF(OR($V57="",$I57="",$J57="",$J57&lt;=$I57),"",$V57*MAX(0,MIN($J57,100)-MAX($I57,50))/($J57-$I57))</f>
        <v/>
      </c>
      <c r="AA57" s="16" t="str">
        <f aca="false">IF($A57="","",IF(OR($C57="",$D57="",$D57&lt;=$C57),"CHECK: depths missing, or bottom not below top",IF(COUNTIFS($A$6:$A$205,$A57,$C$6:$C$205,$C57)&gt;1,"DUPLICATE slice",IF(COUNTIFS($A$6:$A$205,$A57,$C$6:$C$205,"&lt;"&amp;$D57,$D$6:$D$205,"&gt;"&amp;$C57)&gt;1,"OVERLAP with another slice",IF(AND($C57&gt;0,COUNTIFS($A$6:$A$205,$A57,$D$6:$D$205,$C57)=0),"GAP above this slice",IF(OR($G57="",$H57=""),"CHECK: Core ID not in Core Log, or its compaction / diameter missing",IF(AND(IF(COUNTIFS('2. Plot &amp; Core Log'!$B$6:$B$35,$A57,'2. Plot &amp; Core Log'!$L$6:$L$35,"&gt;0")=0,"",SUMIFS('2. Plot &amp; Core Log'!$L$6:$L$35,'2. Plot &amp; Core Log'!$B$6:$B$35,$A57))&lt;&gt;"",$D57&gt;IF(COUNTIFS('2. Plot &amp; Core Log'!$B$6:$B$35,$A57,'2. Plot &amp; Core Log'!$L$6:$L$35,"&gt;0")=0,"",SUMIFS('2. Plot &amp; Core Log'!$L$6:$L$35,'2. Plot &amp; Core Log'!$B$6:$B$35,$A57))),"CHECK: slice deeper than the core length on Sheet 2",IF(OR($M57="",$N57="",$O57=""),"AWAITING LAB (dry weight, carbon value or type)",IF(AND(UPPER($O57)&lt;&gt;"OC",UPPER($O57)&lt;&gt;"LOI"),IF(UPPER($O57)="TC","TC is not organic carbon — ask the lab for OC or IC","CHECK: type must be OC, TC or LOI"),IF($R57="",IF(AND(LOI_INTERCEPT&lt;&gt;"",LOI_SLOPE&lt;&gt;""),"CHECK: LOI below the range of the conversion equation (OC would be &lt; 0)","CHECK: LOI conversion not set (Instructions tab)"),IF(OR($Q57&lt;=0,$Q57&gt;2.65,$R57&gt;50),"CHECK: bulk density outside 0–2.65 g/cm3 or OC &gt; 50%","OK")))))))))))</f>
        <v/>
      </c>
    </row>
    <row r="58" customFormat="false" ht="15.75" hidden="false" customHeight="true" outlineLevel="0" collapsed="false">
      <c r="A58" s="14"/>
      <c r="B58" s="14"/>
      <c r="C58" s="24"/>
      <c r="D58" s="24"/>
      <c r="E58" s="14"/>
      <c r="F58" s="16" t="str">
        <f aca="false">IF(OR($C58="",$D58=""),"",$D58-$C58)</f>
        <v/>
      </c>
      <c r="G58" s="25" t="str">
        <f aca="false">IF($A58="","",IFERROR(INDEX('2. Plot &amp; Core Log'!$M$6:$M$35,MATCH($A58,'2. Plot &amp; Core Log'!$B$6:$B$35,0)),""))</f>
        <v/>
      </c>
      <c r="H58" s="26" t="str">
        <f aca="false">IF($A58="","",IFERROR(INDEX('2. Plot &amp; Core Log'!$S$6:$S$35,MATCH($A58,'2. Plot &amp; Core Log'!$B$6:$B$35,0)),""))</f>
        <v/>
      </c>
      <c r="I58" s="16" t="str">
        <f aca="false">IF(OR($C58="",$G58=""),"",$C58*$G58)</f>
        <v/>
      </c>
      <c r="J58" s="16" t="str">
        <f aca="false">IF(OR($D58="",$G58=""),"",$D58*$G58)</f>
        <v/>
      </c>
      <c r="K58" s="16" t="str">
        <f aca="false">IF(OR($F58="",$H58=""),"",PI()*(($H58/2)^2)*$F58)</f>
        <v/>
      </c>
      <c r="L58" s="27"/>
      <c r="M58" s="27"/>
      <c r="N58" s="27"/>
      <c r="O58" s="27"/>
      <c r="P58" s="16" t="str">
        <f aca="false">IF(OR($L58="",$M58="",$L58=0),"",(($L58-$M58)/$L58)*100)</f>
        <v/>
      </c>
      <c r="Q58" s="15" t="str">
        <f aca="false">IF(OR($M58="",$K58="",$K58=0),"",$M58/$K58)</f>
        <v/>
      </c>
      <c r="R58" s="15" t="str">
        <f aca="false">IF(OR($N58="",$O58=""),"",IF(UPPER($O58)="OC",$N58,IF(UPPER($O58)="LOI",IF(OR(LOI_INTERCEPT="",LOI_SLOPE=""),"",IF(LOI_INTERCEPT+LOI_SLOPE*$N58&lt;0,"",LOI_INTERCEPT+LOI_SLOPE*$N58)),"")))</f>
        <v/>
      </c>
      <c r="S58" s="18" t="str">
        <f aca="false">IF($R58="","",$R58*10)</f>
        <v/>
      </c>
      <c r="T58" s="28" t="str">
        <f aca="false">IF(OR($Q58="",$R58=""),"",$Q58*$R58/100)</f>
        <v/>
      </c>
      <c r="U58" s="29" t="str">
        <f aca="false">IF(OR($T58="",$F58=""),"",$T58*$F58)</f>
        <v/>
      </c>
      <c r="V58" s="15" t="str">
        <f aca="false">IF($U58="","",$U58*10)</f>
        <v/>
      </c>
      <c r="W58" s="15" t="str">
        <f aca="false">IF(OR($V58="",$I58="",$J58="",$J58&lt;=$I58),"",$V58*MAX(0,MIN($J58,15)-MAX($I58,0))/($J58-$I58))</f>
        <v/>
      </c>
      <c r="X58" s="15" t="str">
        <f aca="false">IF(OR($V58="",$I58="",$J58="",$J58&lt;=$I58),"",$V58*MAX(0,MIN($J58,30)-MAX($I58,15))/($J58-$I58))</f>
        <v/>
      </c>
      <c r="Y58" s="15" t="str">
        <f aca="false">IF(OR($V58="",$I58="",$J58="",$J58&lt;=$I58),"",$V58*MAX(0,MIN($J58,50)-MAX($I58,30))/($J58-$I58))</f>
        <v/>
      </c>
      <c r="Z58" s="15" t="str">
        <f aca="false">IF(OR($V58="",$I58="",$J58="",$J58&lt;=$I58),"",$V58*MAX(0,MIN($J58,100)-MAX($I58,50))/($J58-$I58))</f>
        <v/>
      </c>
      <c r="AA58" s="16" t="str">
        <f aca="false">IF($A58="","",IF(OR($C58="",$D58="",$D58&lt;=$C58),"CHECK: depths missing, or bottom not below top",IF(COUNTIFS($A$6:$A$205,$A58,$C$6:$C$205,$C58)&gt;1,"DUPLICATE slice",IF(COUNTIFS($A$6:$A$205,$A58,$C$6:$C$205,"&lt;"&amp;$D58,$D$6:$D$205,"&gt;"&amp;$C58)&gt;1,"OVERLAP with another slice",IF(AND($C58&gt;0,COUNTIFS($A$6:$A$205,$A58,$D$6:$D$205,$C58)=0),"GAP above this slice",IF(OR($G58="",$H58=""),"CHECK: Core ID not in Core Log, or its compaction / diameter missing",IF(AND(IF(COUNTIFS('2. Plot &amp; Core Log'!$B$6:$B$35,$A58,'2. Plot &amp; Core Log'!$L$6:$L$35,"&gt;0")=0,"",SUMIFS('2. Plot &amp; Core Log'!$L$6:$L$35,'2. Plot &amp; Core Log'!$B$6:$B$35,$A58))&lt;&gt;"",$D58&gt;IF(COUNTIFS('2. Plot &amp; Core Log'!$B$6:$B$35,$A58,'2. Plot &amp; Core Log'!$L$6:$L$35,"&gt;0")=0,"",SUMIFS('2. Plot &amp; Core Log'!$L$6:$L$35,'2. Plot &amp; Core Log'!$B$6:$B$35,$A58))),"CHECK: slice deeper than the core length on Sheet 2",IF(OR($M58="",$N58="",$O58=""),"AWAITING LAB (dry weight, carbon value or type)",IF(AND(UPPER($O58)&lt;&gt;"OC",UPPER($O58)&lt;&gt;"LOI"),IF(UPPER($O58)="TC","TC is not organic carbon — ask the lab for OC or IC","CHECK: type must be OC, TC or LOI"),IF($R58="",IF(AND(LOI_INTERCEPT&lt;&gt;"",LOI_SLOPE&lt;&gt;""),"CHECK: LOI below the range of the conversion equation (OC would be &lt; 0)","CHECK: LOI conversion not set (Instructions tab)"),IF(OR($Q58&lt;=0,$Q58&gt;2.65,$R58&gt;50),"CHECK: bulk density outside 0–2.65 g/cm3 or OC &gt; 50%","OK")))))))))))</f>
        <v/>
      </c>
    </row>
    <row r="59" customFormat="false" ht="15.75" hidden="false" customHeight="true" outlineLevel="0" collapsed="false">
      <c r="A59" s="14"/>
      <c r="B59" s="14"/>
      <c r="C59" s="24"/>
      <c r="D59" s="24"/>
      <c r="E59" s="14"/>
      <c r="F59" s="16" t="str">
        <f aca="false">IF(OR($C59="",$D59=""),"",$D59-$C59)</f>
        <v/>
      </c>
      <c r="G59" s="25" t="str">
        <f aca="false">IF($A59="","",IFERROR(INDEX('2. Plot &amp; Core Log'!$M$6:$M$35,MATCH($A59,'2. Plot &amp; Core Log'!$B$6:$B$35,0)),""))</f>
        <v/>
      </c>
      <c r="H59" s="26" t="str">
        <f aca="false">IF($A59="","",IFERROR(INDEX('2. Plot &amp; Core Log'!$S$6:$S$35,MATCH($A59,'2. Plot &amp; Core Log'!$B$6:$B$35,0)),""))</f>
        <v/>
      </c>
      <c r="I59" s="16" t="str">
        <f aca="false">IF(OR($C59="",$G59=""),"",$C59*$G59)</f>
        <v/>
      </c>
      <c r="J59" s="16" t="str">
        <f aca="false">IF(OR($D59="",$G59=""),"",$D59*$G59)</f>
        <v/>
      </c>
      <c r="K59" s="16" t="str">
        <f aca="false">IF(OR($F59="",$H59=""),"",PI()*(($H59/2)^2)*$F59)</f>
        <v/>
      </c>
      <c r="L59" s="27"/>
      <c r="M59" s="27"/>
      <c r="N59" s="27"/>
      <c r="O59" s="27"/>
      <c r="P59" s="16" t="str">
        <f aca="false">IF(OR($L59="",$M59="",$L59=0),"",(($L59-$M59)/$L59)*100)</f>
        <v/>
      </c>
      <c r="Q59" s="15" t="str">
        <f aca="false">IF(OR($M59="",$K59="",$K59=0),"",$M59/$K59)</f>
        <v/>
      </c>
      <c r="R59" s="15" t="str">
        <f aca="false">IF(OR($N59="",$O59=""),"",IF(UPPER($O59)="OC",$N59,IF(UPPER($O59)="LOI",IF(OR(LOI_INTERCEPT="",LOI_SLOPE=""),"",IF(LOI_INTERCEPT+LOI_SLOPE*$N59&lt;0,"",LOI_INTERCEPT+LOI_SLOPE*$N59)),"")))</f>
        <v/>
      </c>
      <c r="S59" s="18" t="str">
        <f aca="false">IF($R59="","",$R59*10)</f>
        <v/>
      </c>
      <c r="T59" s="28" t="str">
        <f aca="false">IF(OR($Q59="",$R59=""),"",$Q59*$R59/100)</f>
        <v/>
      </c>
      <c r="U59" s="29" t="str">
        <f aca="false">IF(OR($T59="",$F59=""),"",$T59*$F59)</f>
        <v/>
      </c>
      <c r="V59" s="15" t="str">
        <f aca="false">IF($U59="","",$U59*10)</f>
        <v/>
      </c>
      <c r="W59" s="15" t="str">
        <f aca="false">IF(OR($V59="",$I59="",$J59="",$J59&lt;=$I59),"",$V59*MAX(0,MIN($J59,15)-MAX($I59,0))/($J59-$I59))</f>
        <v/>
      </c>
      <c r="X59" s="15" t="str">
        <f aca="false">IF(OR($V59="",$I59="",$J59="",$J59&lt;=$I59),"",$V59*MAX(0,MIN($J59,30)-MAX($I59,15))/($J59-$I59))</f>
        <v/>
      </c>
      <c r="Y59" s="15" t="str">
        <f aca="false">IF(OR($V59="",$I59="",$J59="",$J59&lt;=$I59),"",$V59*MAX(0,MIN($J59,50)-MAX($I59,30))/($J59-$I59))</f>
        <v/>
      </c>
      <c r="Z59" s="15" t="str">
        <f aca="false">IF(OR($V59="",$I59="",$J59="",$J59&lt;=$I59),"",$V59*MAX(0,MIN($J59,100)-MAX($I59,50))/($J59-$I59))</f>
        <v/>
      </c>
      <c r="AA59" s="16" t="str">
        <f aca="false">IF($A59="","",IF(OR($C59="",$D59="",$D59&lt;=$C59),"CHECK: depths missing, or bottom not below top",IF(COUNTIFS($A$6:$A$205,$A59,$C$6:$C$205,$C59)&gt;1,"DUPLICATE slice",IF(COUNTIFS($A$6:$A$205,$A59,$C$6:$C$205,"&lt;"&amp;$D59,$D$6:$D$205,"&gt;"&amp;$C59)&gt;1,"OVERLAP with another slice",IF(AND($C59&gt;0,COUNTIFS($A$6:$A$205,$A59,$D$6:$D$205,$C59)=0),"GAP above this slice",IF(OR($G59="",$H59=""),"CHECK: Core ID not in Core Log, or its compaction / diameter missing",IF(AND(IF(COUNTIFS('2. Plot &amp; Core Log'!$B$6:$B$35,$A59,'2. Plot &amp; Core Log'!$L$6:$L$35,"&gt;0")=0,"",SUMIFS('2. Plot &amp; Core Log'!$L$6:$L$35,'2. Plot &amp; Core Log'!$B$6:$B$35,$A59))&lt;&gt;"",$D59&gt;IF(COUNTIFS('2. Plot &amp; Core Log'!$B$6:$B$35,$A59,'2. Plot &amp; Core Log'!$L$6:$L$35,"&gt;0")=0,"",SUMIFS('2. Plot &amp; Core Log'!$L$6:$L$35,'2. Plot &amp; Core Log'!$B$6:$B$35,$A59))),"CHECK: slice deeper than the core length on Sheet 2",IF(OR($M59="",$N59="",$O59=""),"AWAITING LAB (dry weight, carbon value or type)",IF(AND(UPPER($O59)&lt;&gt;"OC",UPPER($O59)&lt;&gt;"LOI"),IF(UPPER($O59)="TC","TC is not organic carbon — ask the lab for OC or IC","CHECK: type must be OC, TC or LOI"),IF($R59="",IF(AND(LOI_INTERCEPT&lt;&gt;"",LOI_SLOPE&lt;&gt;""),"CHECK: LOI below the range of the conversion equation (OC would be &lt; 0)","CHECK: LOI conversion not set (Instructions tab)"),IF(OR($Q59&lt;=0,$Q59&gt;2.65,$R59&gt;50),"CHECK: bulk density outside 0–2.65 g/cm3 or OC &gt; 50%","OK")))))))))))</f>
        <v/>
      </c>
    </row>
    <row r="60" customFormat="false" ht="15.75" hidden="false" customHeight="true" outlineLevel="0" collapsed="false">
      <c r="A60" s="14"/>
      <c r="B60" s="14"/>
      <c r="C60" s="24"/>
      <c r="D60" s="24"/>
      <c r="E60" s="14"/>
      <c r="F60" s="16" t="str">
        <f aca="false">IF(OR($C60="",$D60=""),"",$D60-$C60)</f>
        <v/>
      </c>
      <c r="G60" s="25" t="str">
        <f aca="false">IF($A60="","",IFERROR(INDEX('2. Plot &amp; Core Log'!$M$6:$M$35,MATCH($A60,'2. Plot &amp; Core Log'!$B$6:$B$35,0)),""))</f>
        <v/>
      </c>
      <c r="H60" s="26" t="str">
        <f aca="false">IF($A60="","",IFERROR(INDEX('2. Plot &amp; Core Log'!$S$6:$S$35,MATCH($A60,'2. Plot &amp; Core Log'!$B$6:$B$35,0)),""))</f>
        <v/>
      </c>
      <c r="I60" s="16" t="str">
        <f aca="false">IF(OR($C60="",$G60=""),"",$C60*$G60)</f>
        <v/>
      </c>
      <c r="J60" s="16" t="str">
        <f aca="false">IF(OR($D60="",$G60=""),"",$D60*$G60)</f>
        <v/>
      </c>
      <c r="K60" s="16" t="str">
        <f aca="false">IF(OR($F60="",$H60=""),"",PI()*(($H60/2)^2)*$F60)</f>
        <v/>
      </c>
      <c r="L60" s="27"/>
      <c r="M60" s="27"/>
      <c r="N60" s="27"/>
      <c r="O60" s="27"/>
      <c r="P60" s="16" t="str">
        <f aca="false">IF(OR($L60="",$M60="",$L60=0),"",(($L60-$M60)/$L60)*100)</f>
        <v/>
      </c>
      <c r="Q60" s="15" t="str">
        <f aca="false">IF(OR($M60="",$K60="",$K60=0),"",$M60/$K60)</f>
        <v/>
      </c>
      <c r="R60" s="15" t="str">
        <f aca="false">IF(OR($N60="",$O60=""),"",IF(UPPER($O60)="OC",$N60,IF(UPPER($O60)="LOI",IF(OR(LOI_INTERCEPT="",LOI_SLOPE=""),"",IF(LOI_INTERCEPT+LOI_SLOPE*$N60&lt;0,"",LOI_INTERCEPT+LOI_SLOPE*$N60)),"")))</f>
        <v/>
      </c>
      <c r="S60" s="18" t="str">
        <f aca="false">IF($R60="","",$R60*10)</f>
        <v/>
      </c>
      <c r="T60" s="28" t="str">
        <f aca="false">IF(OR($Q60="",$R60=""),"",$Q60*$R60/100)</f>
        <v/>
      </c>
      <c r="U60" s="29" t="str">
        <f aca="false">IF(OR($T60="",$F60=""),"",$T60*$F60)</f>
        <v/>
      </c>
      <c r="V60" s="15" t="str">
        <f aca="false">IF($U60="","",$U60*10)</f>
        <v/>
      </c>
      <c r="W60" s="15" t="str">
        <f aca="false">IF(OR($V60="",$I60="",$J60="",$J60&lt;=$I60),"",$V60*MAX(0,MIN($J60,15)-MAX($I60,0))/($J60-$I60))</f>
        <v/>
      </c>
      <c r="X60" s="15" t="str">
        <f aca="false">IF(OR($V60="",$I60="",$J60="",$J60&lt;=$I60),"",$V60*MAX(0,MIN($J60,30)-MAX($I60,15))/($J60-$I60))</f>
        <v/>
      </c>
      <c r="Y60" s="15" t="str">
        <f aca="false">IF(OR($V60="",$I60="",$J60="",$J60&lt;=$I60),"",$V60*MAX(0,MIN($J60,50)-MAX($I60,30))/($J60-$I60))</f>
        <v/>
      </c>
      <c r="Z60" s="15" t="str">
        <f aca="false">IF(OR($V60="",$I60="",$J60="",$J60&lt;=$I60),"",$V60*MAX(0,MIN($J60,100)-MAX($I60,50))/($J60-$I60))</f>
        <v/>
      </c>
      <c r="AA60" s="16" t="str">
        <f aca="false">IF($A60="","",IF(OR($C60="",$D60="",$D60&lt;=$C60),"CHECK: depths missing, or bottom not below top",IF(COUNTIFS($A$6:$A$205,$A60,$C$6:$C$205,$C60)&gt;1,"DUPLICATE slice",IF(COUNTIFS($A$6:$A$205,$A60,$C$6:$C$205,"&lt;"&amp;$D60,$D$6:$D$205,"&gt;"&amp;$C60)&gt;1,"OVERLAP with another slice",IF(AND($C60&gt;0,COUNTIFS($A$6:$A$205,$A60,$D$6:$D$205,$C60)=0),"GAP above this slice",IF(OR($G60="",$H60=""),"CHECK: Core ID not in Core Log, or its compaction / diameter missing",IF(AND(IF(COUNTIFS('2. Plot &amp; Core Log'!$B$6:$B$35,$A60,'2. Plot &amp; Core Log'!$L$6:$L$35,"&gt;0")=0,"",SUMIFS('2. Plot &amp; Core Log'!$L$6:$L$35,'2. Plot &amp; Core Log'!$B$6:$B$35,$A60))&lt;&gt;"",$D60&gt;IF(COUNTIFS('2. Plot &amp; Core Log'!$B$6:$B$35,$A60,'2. Plot &amp; Core Log'!$L$6:$L$35,"&gt;0")=0,"",SUMIFS('2. Plot &amp; Core Log'!$L$6:$L$35,'2. Plot &amp; Core Log'!$B$6:$B$35,$A60))),"CHECK: slice deeper than the core length on Sheet 2",IF(OR($M60="",$N60="",$O60=""),"AWAITING LAB (dry weight, carbon value or type)",IF(AND(UPPER($O60)&lt;&gt;"OC",UPPER($O60)&lt;&gt;"LOI"),IF(UPPER($O60)="TC","TC is not organic carbon — ask the lab for OC or IC","CHECK: type must be OC, TC or LOI"),IF($R60="",IF(AND(LOI_INTERCEPT&lt;&gt;"",LOI_SLOPE&lt;&gt;""),"CHECK: LOI below the range of the conversion equation (OC would be &lt; 0)","CHECK: LOI conversion not set (Instructions tab)"),IF(OR($Q60&lt;=0,$Q60&gt;2.65,$R60&gt;50),"CHECK: bulk density outside 0–2.65 g/cm3 or OC &gt; 50%","OK")))))))))))</f>
        <v/>
      </c>
    </row>
    <row r="61" customFormat="false" ht="15.75" hidden="false" customHeight="true" outlineLevel="0" collapsed="false">
      <c r="A61" s="14"/>
      <c r="B61" s="14"/>
      <c r="C61" s="24"/>
      <c r="D61" s="24"/>
      <c r="E61" s="14"/>
      <c r="F61" s="16" t="str">
        <f aca="false">IF(OR($C61="",$D61=""),"",$D61-$C61)</f>
        <v/>
      </c>
      <c r="G61" s="25" t="str">
        <f aca="false">IF($A61="","",IFERROR(INDEX('2. Plot &amp; Core Log'!$M$6:$M$35,MATCH($A61,'2. Plot &amp; Core Log'!$B$6:$B$35,0)),""))</f>
        <v/>
      </c>
      <c r="H61" s="26" t="str">
        <f aca="false">IF($A61="","",IFERROR(INDEX('2. Plot &amp; Core Log'!$S$6:$S$35,MATCH($A61,'2. Plot &amp; Core Log'!$B$6:$B$35,0)),""))</f>
        <v/>
      </c>
      <c r="I61" s="16" t="str">
        <f aca="false">IF(OR($C61="",$G61=""),"",$C61*$G61)</f>
        <v/>
      </c>
      <c r="J61" s="16" t="str">
        <f aca="false">IF(OR($D61="",$G61=""),"",$D61*$G61)</f>
        <v/>
      </c>
      <c r="K61" s="16" t="str">
        <f aca="false">IF(OR($F61="",$H61=""),"",PI()*(($H61/2)^2)*$F61)</f>
        <v/>
      </c>
      <c r="L61" s="27"/>
      <c r="M61" s="27"/>
      <c r="N61" s="27"/>
      <c r="O61" s="27"/>
      <c r="P61" s="16" t="str">
        <f aca="false">IF(OR($L61="",$M61="",$L61=0),"",(($L61-$M61)/$L61)*100)</f>
        <v/>
      </c>
      <c r="Q61" s="15" t="str">
        <f aca="false">IF(OR($M61="",$K61="",$K61=0),"",$M61/$K61)</f>
        <v/>
      </c>
      <c r="R61" s="15" t="str">
        <f aca="false">IF(OR($N61="",$O61=""),"",IF(UPPER($O61)="OC",$N61,IF(UPPER($O61)="LOI",IF(OR(LOI_INTERCEPT="",LOI_SLOPE=""),"",IF(LOI_INTERCEPT+LOI_SLOPE*$N61&lt;0,"",LOI_INTERCEPT+LOI_SLOPE*$N61)),"")))</f>
        <v/>
      </c>
      <c r="S61" s="18" t="str">
        <f aca="false">IF($R61="","",$R61*10)</f>
        <v/>
      </c>
      <c r="T61" s="28" t="str">
        <f aca="false">IF(OR($Q61="",$R61=""),"",$Q61*$R61/100)</f>
        <v/>
      </c>
      <c r="U61" s="29" t="str">
        <f aca="false">IF(OR($T61="",$F61=""),"",$T61*$F61)</f>
        <v/>
      </c>
      <c r="V61" s="15" t="str">
        <f aca="false">IF($U61="","",$U61*10)</f>
        <v/>
      </c>
      <c r="W61" s="15" t="str">
        <f aca="false">IF(OR($V61="",$I61="",$J61="",$J61&lt;=$I61),"",$V61*MAX(0,MIN($J61,15)-MAX($I61,0))/($J61-$I61))</f>
        <v/>
      </c>
      <c r="X61" s="15" t="str">
        <f aca="false">IF(OR($V61="",$I61="",$J61="",$J61&lt;=$I61),"",$V61*MAX(0,MIN($J61,30)-MAX($I61,15))/($J61-$I61))</f>
        <v/>
      </c>
      <c r="Y61" s="15" t="str">
        <f aca="false">IF(OR($V61="",$I61="",$J61="",$J61&lt;=$I61),"",$V61*MAX(0,MIN($J61,50)-MAX($I61,30))/($J61-$I61))</f>
        <v/>
      </c>
      <c r="Z61" s="15" t="str">
        <f aca="false">IF(OR($V61="",$I61="",$J61="",$J61&lt;=$I61),"",$V61*MAX(0,MIN($J61,100)-MAX($I61,50))/($J61-$I61))</f>
        <v/>
      </c>
      <c r="AA61" s="16" t="str">
        <f aca="false">IF($A61="","",IF(OR($C61="",$D61="",$D61&lt;=$C61),"CHECK: depths missing, or bottom not below top",IF(COUNTIFS($A$6:$A$205,$A61,$C$6:$C$205,$C61)&gt;1,"DUPLICATE slice",IF(COUNTIFS($A$6:$A$205,$A61,$C$6:$C$205,"&lt;"&amp;$D61,$D$6:$D$205,"&gt;"&amp;$C61)&gt;1,"OVERLAP with another slice",IF(AND($C61&gt;0,COUNTIFS($A$6:$A$205,$A61,$D$6:$D$205,$C61)=0),"GAP above this slice",IF(OR($G61="",$H61=""),"CHECK: Core ID not in Core Log, or its compaction / diameter missing",IF(AND(IF(COUNTIFS('2. Plot &amp; Core Log'!$B$6:$B$35,$A61,'2. Plot &amp; Core Log'!$L$6:$L$35,"&gt;0")=0,"",SUMIFS('2. Plot &amp; Core Log'!$L$6:$L$35,'2. Plot &amp; Core Log'!$B$6:$B$35,$A61))&lt;&gt;"",$D61&gt;IF(COUNTIFS('2. Plot &amp; Core Log'!$B$6:$B$35,$A61,'2. Plot &amp; Core Log'!$L$6:$L$35,"&gt;0")=0,"",SUMIFS('2. Plot &amp; Core Log'!$L$6:$L$35,'2. Plot &amp; Core Log'!$B$6:$B$35,$A61))),"CHECK: slice deeper than the core length on Sheet 2",IF(OR($M61="",$N61="",$O61=""),"AWAITING LAB (dry weight, carbon value or type)",IF(AND(UPPER($O61)&lt;&gt;"OC",UPPER($O61)&lt;&gt;"LOI"),IF(UPPER($O61)="TC","TC is not organic carbon — ask the lab for OC or IC","CHECK: type must be OC, TC or LOI"),IF($R61="",IF(AND(LOI_INTERCEPT&lt;&gt;"",LOI_SLOPE&lt;&gt;""),"CHECK: LOI below the range of the conversion equation (OC would be &lt; 0)","CHECK: LOI conversion not set (Instructions tab)"),IF(OR($Q61&lt;=0,$Q61&gt;2.65,$R61&gt;50),"CHECK: bulk density outside 0–2.65 g/cm3 or OC &gt; 50%","OK")))))))))))</f>
        <v/>
      </c>
    </row>
    <row r="62" customFormat="false" ht="15.75" hidden="false" customHeight="true" outlineLevel="0" collapsed="false">
      <c r="A62" s="14"/>
      <c r="B62" s="14"/>
      <c r="C62" s="24"/>
      <c r="D62" s="24"/>
      <c r="E62" s="14"/>
      <c r="F62" s="16" t="str">
        <f aca="false">IF(OR($C62="",$D62=""),"",$D62-$C62)</f>
        <v/>
      </c>
      <c r="G62" s="25" t="str">
        <f aca="false">IF($A62="","",IFERROR(INDEX('2. Plot &amp; Core Log'!$M$6:$M$35,MATCH($A62,'2. Plot &amp; Core Log'!$B$6:$B$35,0)),""))</f>
        <v/>
      </c>
      <c r="H62" s="26" t="str">
        <f aca="false">IF($A62="","",IFERROR(INDEX('2. Plot &amp; Core Log'!$S$6:$S$35,MATCH($A62,'2. Plot &amp; Core Log'!$B$6:$B$35,0)),""))</f>
        <v/>
      </c>
      <c r="I62" s="16" t="str">
        <f aca="false">IF(OR($C62="",$G62=""),"",$C62*$G62)</f>
        <v/>
      </c>
      <c r="J62" s="16" t="str">
        <f aca="false">IF(OR($D62="",$G62=""),"",$D62*$G62)</f>
        <v/>
      </c>
      <c r="K62" s="16" t="str">
        <f aca="false">IF(OR($F62="",$H62=""),"",PI()*(($H62/2)^2)*$F62)</f>
        <v/>
      </c>
      <c r="L62" s="27"/>
      <c r="M62" s="27"/>
      <c r="N62" s="27"/>
      <c r="O62" s="27"/>
      <c r="P62" s="16" t="str">
        <f aca="false">IF(OR($L62="",$M62="",$L62=0),"",(($L62-$M62)/$L62)*100)</f>
        <v/>
      </c>
      <c r="Q62" s="15" t="str">
        <f aca="false">IF(OR($M62="",$K62="",$K62=0),"",$M62/$K62)</f>
        <v/>
      </c>
      <c r="R62" s="15" t="str">
        <f aca="false">IF(OR($N62="",$O62=""),"",IF(UPPER($O62)="OC",$N62,IF(UPPER($O62)="LOI",IF(OR(LOI_INTERCEPT="",LOI_SLOPE=""),"",IF(LOI_INTERCEPT+LOI_SLOPE*$N62&lt;0,"",LOI_INTERCEPT+LOI_SLOPE*$N62)),"")))</f>
        <v/>
      </c>
      <c r="S62" s="18" t="str">
        <f aca="false">IF($R62="","",$R62*10)</f>
        <v/>
      </c>
      <c r="T62" s="28" t="str">
        <f aca="false">IF(OR($Q62="",$R62=""),"",$Q62*$R62/100)</f>
        <v/>
      </c>
      <c r="U62" s="29" t="str">
        <f aca="false">IF(OR($T62="",$F62=""),"",$T62*$F62)</f>
        <v/>
      </c>
      <c r="V62" s="15" t="str">
        <f aca="false">IF($U62="","",$U62*10)</f>
        <v/>
      </c>
      <c r="W62" s="15" t="str">
        <f aca="false">IF(OR($V62="",$I62="",$J62="",$J62&lt;=$I62),"",$V62*MAX(0,MIN($J62,15)-MAX($I62,0))/($J62-$I62))</f>
        <v/>
      </c>
      <c r="X62" s="15" t="str">
        <f aca="false">IF(OR($V62="",$I62="",$J62="",$J62&lt;=$I62),"",$V62*MAX(0,MIN($J62,30)-MAX($I62,15))/($J62-$I62))</f>
        <v/>
      </c>
      <c r="Y62" s="15" t="str">
        <f aca="false">IF(OR($V62="",$I62="",$J62="",$J62&lt;=$I62),"",$V62*MAX(0,MIN($J62,50)-MAX($I62,30))/($J62-$I62))</f>
        <v/>
      </c>
      <c r="Z62" s="15" t="str">
        <f aca="false">IF(OR($V62="",$I62="",$J62="",$J62&lt;=$I62),"",$V62*MAX(0,MIN($J62,100)-MAX($I62,50))/($J62-$I62))</f>
        <v/>
      </c>
      <c r="AA62" s="16" t="str">
        <f aca="false">IF($A62="","",IF(OR($C62="",$D62="",$D62&lt;=$C62),"CHECK: depths missing, or bottom not below top",IF(COUNTIFS($A$6:$A$205,$A62,$C$6:$C$205,$C62)&gt;1,"DUPLICATE slice",IF(COUNTIFS($A$6:$A$205,$A62,$C$6:$C$205,"&lt;"&amp;$D62,$D$6:$D$205,"&gt;"&amp;$C62)&gt;1,"OVERLAP with another slice",IF(AND($C62&gt;0,COUNTIFS($A$6:$A$205,$A62,$D$6:$D$205,$C62)=0),"GAP above this slice",IF(OR($G62="",$H62=""),"CHECK: Core ID not in Core Log, or its compaction / diameter missing",IF(AND(IF(COUNTIFS('2. Plot &amp; Core Log'!$B$6:$B$35,$A62,'2. Plot &amp; Core Log'!$L$6:$L$35,"&gt;0")=0,"",SUMIFS('2. Plot &amp; Core Log'!$L$6:$L$35,'2. Plot &amp; Core Log'!$B$6:$B$35,$A62))&lt;&gt;"",$D62&gt;IF(COUNTIFS('2. Plot &amp; Core Log'!$B$6:$B$35,$A62,'2. Plot &amp; Core Log'!$L$6:$L$35,"&gt;0")=0,"",SUMIFS('2. Plot &amp; Core Log'!$L$6:$L$35,'2. Plot &amp; Core Log'!$B$6:$B$35,$A62))),"CHECK: slice deeper than the core length on Sheet 2",IF(OR($M62="",$N62="",$O62=""),"AWAITING LAB (dry weight, carbon value or type)",IF(AND(UPPER($O62)&lt;&gt;"OC",UPPER($O62)&lt;&gt;"LOI"),IF(UPPER($O62)="TC","TC is not organic carbon — ask the lab for OC or IC","CHECK: type must be OC, TC or LOI"),IF($R62="",IF(AND(LOI_INTERCEPT&lt;&gt;"",LOI_SLOPE&lt;&gt;""),"CHECK: LOI below the range of the conversion equation (OC would be &lt; 0)","CHECK: LOI conversion not set (Instructions tab)"),IF(OR($Q62&lt;=0,$Q62&gt;2.65,$R62&gt;50),"CHECK: bulk density outside 0–2.65 g/cm3 or OC &gt; 50%","OK")))))))))))</f>
        <v/>
      </c>
    </row>
    <row r="63" customFormat="false" ht="15.75" hidden="false" customHeight="true" outlineLevel="0" collapsed="false">
      <c r="A63" s="14"/>
      <c r="B63" s="14"/>
      <c r="C63" s="24"/>
      <c r="D63" s="24"/>
      <c r="E63" s="14"/>
      <c r="F63" s="16" t="str">
        <f aca="false">IF(OR($C63="",$D63=""),"",$D63-$C63)</f>
        <v/>
      </c>
      <c r="G63" s="25" t="str">
        <f aca="false">IF($A63="","",IFERROR(INDEX('2. Plot &amp; Core Log'!$M$6:$M$35,MATCH($A63,'2. Plot &amp; Core Log'!$B$6:$B$35,0)),""))</f>
        <v/>
      </c>
      <c r="H63" s="26" t="str">
        <f aca="false">IF($A63="","",IFERROR(INDEX('2. Plot &amp; Core Log'!$S$6:$S$35,MATCH($A63,'2. Plot &amp; Core Log'!$B$6:$B$35,0)),""))</f>
        <v/>
      </c>
      <c r="I63" s="16" t="str">
        <f aca="false">IF(OR($C63="",$G63=""),"",$C63*$G63)</f>
        <v/>
      </c>
      <c r="J63" s="16" t="str">
        <f aca="false">IF(OR($D63="",$G63=""),"",$D63*$G63)</f>
        <v/>
      </c>
      <c r="K63" s="16" t="str">
        <f aca="false">IF(OR($F63="",$H63=""),"",PI()*(($H63/2)^2)*$F63)</f>
        <v/>
      </c>
      <c r="L63" s="27"/>
      <c r="M63" s="27"/>
      <c r="N63" s="27"/>
      <c r="O63" s="27"/>
      <c r="P63" s="16" t="str">
        <f aca="false">IF(OR($L63="",$M63="",$L63=0),"",(($L63-$M63)/$L63)*100)</f>
        <v/>
      </c>
      <c r="Q63" s="15" t="str">
        <f aca="false">IF(OR($M63="",$K63="",$K63=0),"",$M63/$K63)</f>
        <v/>
      </c>
      <c r="R63" s="15" t="str">
        <f aca="false">IF(OR($N63="",$O63=""),"",IF(UPPER($O63)="OC",$N63,IF(UPPER($O63)="LOI",IF(OR(LOI_INTERCEPT="",LOI_SLOPE=""),"",IF(LOI_INTERCEPT+LOI_SLOPE*$N63&lt;0,"",LOI_INTERCEPT+LOI_SLOPE*$N63)),"")))</f>
        <v/>
      </c>
      <c r="S63" s="18" t="str">
        <f aca="false">IF($R63="","",$R63*10)</f>
        <v/>
      </c>
      <c r="T63" s="28" t="str">
        <f aca="false">IF(OR($Q63="",$R63=""),"",$Q63*$R63/100)</f>
        <v/>
      </c>
      <c r="U63" s="29" t="str">
        <f aca="false">IF(OR($T63="",$F63=""),"",$T63*$F63)</f>
        <v/>
      </c>
      <c r="V63" s="15" t="str">
        <f aca="false">IF($U63="","",$U63*10)</f>
        <v/>
      </c>
      <c r="W63" s="15" t="str">
        <f aca="false">IF(OR($V63="",$I63="",$J63="",$J63&lt;=$I63),"",$V63*MAX(0,MIN($J63,15)-MAX($I63,0))/($J63-$I63))</f>
        <v/>
      </c>
      <c r="X63" s="15" t="str">
        <f aca="false">IF(OR($V63="",$I63="",$J63="",$J63&lt;=$I63),"",$V63*MAX(0,MIN($J63,30)-MAX($I63,15))/($J63-$I63))</f>
        <v/>
      </c>
      <c r="Y63" s="15" t="str">
        <f aca="false">IF(OR($V63="",$I63="",$J63="",$J63&lt;=$I63),"",$V63*MAX(0,MIN($J63,50)-MAX($I63,30))/($J63-$I63))</f>
        <v/>
      </c>
      <c r="Z63" s="15" t="str">
        <f aca="false">IF(OR($V63="",$I63="",$J63="",$J63&lt;=$I63),"",$V63*MAX(0,MIN($J63,100)-MAX($I63,50))/($J63-$I63))</f>
        <v/>
      </c>
      <c r="AA63" s="16" t="str">
        <f aca="false">IF($A63="","",IF(OR($C63="",$D63="",$D63&lt;=$C63),"CHECK: depths missing, or bottom not below top",IF(COUNTIFS($A$6:$A$205,$A63,$C$6:$C$205,$C63)&gt;1,"DUPLICATE slice",IF(COUNTIFS($A$6:$A$205,$A63,$C$6:$C$205,"&lt;"&amp;$D63,$D$6:$D$205,"&gt;"&amp;$C63)&gt;1,"OVERLAP with another slice",IF(AND($C63&gt;0,COUNTIFS($A$6:$A$205,$A63,$D$6:$D$205,$C63)=0),"GAP above this slice",IF(OR($G63="",$H63=""),"CHECK: Core ID not in Core Log, or its compaction / diameter missing",IF(AND(IF(COUNTIFS('2. Plot &amp; Core Log'!$B$6:$B$35,$A63,'2. Plot &amp; Core Log'!$L$6:$L$35,"&gt;0")=0,"",SUMIFS('2. Plot &amp; Core Log'!$L$6:$L$35,'2. Plot &amp; Core Log'!$B$6:$B$35,$A63))&lt;&gt;"",$D63&gt;IF(COUNTIFS('2. Plot &amp; Core Log'!$B$6:$B$35,$A63,'2. Plot &amp; Core Log'!$L$6:$L$35,"&gt;0")=0,"",SUMIFS('2. Plot &amp; Core Log'!$L$6:$L$35,'2. Plot &amp; Core Log'!$B$6:$B$35,$A63))),"CHECK: slice deeper than the core length on Sheet 2",IF(OR($M63="",$N63="",$O63=""),"AWAITING LAB (dry weight, carbon value or type)",IF(AND(UPPER($O63)&lt;&gt;"OC",UPPER($O63)&lt;&gt;"LOI"),IF(UPPER($O63)="TC","TC is not organic carbon — ask the lab for OC or IC","CHECK: type must be OC, TC or LOI"),IF($R63="",IF(AND(LOI_INTERCEPT&lt;&gt;"",LOI_SLOPE&lt;&gt;""),"CHECK: LOI below the range of the conversion equation (OC would be &lt; 0)","CHECK: LOI conversion not set (Instructions tab)"),IF(OR($Q63&lt;=0,$Q63&gt;2.65,$R63&gt;50),"CHECK: bulk density outside 0–2.65 g/cm3 or OC &gt; 50%","OK")))))))))))</f>
        <v/>
      </c>
    </row>
    <row r="64" customFormat="false" ht="15.75" hidden="false" customHeight="true" outlineLevel="0" collapsed="false">
      <c r="A64" s="14"/>
      <c r="B64" s="14"/>
      <c r="C64" s="24"/>
      <c r="D64" s="24"/>
      <c r="E64" s="14"/>
      <c r="F64" s="16" t="str">
        <f aca="false">IF(OR($C64="",$D64=""),"",$D64-$C64)</f>
        <v/>
      </c>
      <c r="G64" s="25" t="str">
        <f aca="false">IF($A64="","",IFERROR(INDEX('2. Plot &amp; Core Log'!$M$6:$M$35,MATCH($A64,'2. Plot &amp; Core Log'!$B$6:$B$35,0)),""))</f>
        <v/>
      </c>
      <c r="H64" s="26" t="str">
        <f aca="false">IF($A64="","",IFERROR(INDEX('2. Plot &amp; Core Log'!$S$6:$S$35,MATCH($A64,'2. Plot &amp; Core Log'!$B$6:$B$35,0)),""))</f>
        <v/>
      </c>
      <c r="I64" s="16" t="str">
        <f aca="false">IF(OR($C64="",$G64=""),"",$C64*$G64)</f>
        <v/>
      </c>
      <c r="J64" s="16" t="str">
        <f aca="false">IF(OR($D64="",$G64=""),"",$D64*$G64)</f>
        <v/>
      </c>
      <c r="K64" s="16" t="str">
        <f aca="false">IF(OR($F64="",$H64=""),"",PI()*(($H64/2)^2)*$F64)</f>
        <v/>
      </c>
      <c r="L64" s="27"/>
      <c r="M64" s="27"/>
      <c r="N64" s="27"/>
      <c r="O64" s="27"/>
      <c r="P64" s="16" t="str">
        <f aca="false">IF(OR($L64="",$M64="",$L64=0),"",(($L64-$M64)/$L64)*100)</f>
        <v/>
      </c>
      <c r="Q64" s="15" t="str">
        <f aca="false">IF(OR($M64="",$K64="",$K64=0),"",$M64/$K64)</f>
        <v/>
      </c>
      <c r="R64" s="15" t="str">
        <f aca="false">IF(OR($N64="",$O64=""),"",IF(UPPER($O64)="OC",$N64,IF(UPPER($O64)="LOI",IF(OR(LOI_INTERCEPT="",LOI_SLOPE=""),"",IF(LOI_INTERCEPT+LOI_SLOPE*$N64&lt;0,"",LOI_INTERCEPT+LOI_SLOPE*$N64)),"")))</f>
        <v/>
      </c>
      <c r="S64" s="18" t="str">
        <f aca="false">IF($R64="","",$R64*10)</f>
        <v/>
      </c>
      <c r="T64" s="28" t="str">
        <f aca="false">IF(OR($Q64="",$R64=""),"",$Q64*$R64/100)</f>
        <v/>
      </c>
      <c r="U64" s="29" t="str">
        <f aca="false">IF(OR($T64="",$F64=""),"",$T64*$F64)</f>
        <v/>
      </c>
      <c r="V64" s="15" t="str">
        <f aca="false">IF($U64="","",$U64*10)</f>
        <v/>
      </c>
      <c r="W64" s="15" t="str">
        <f aca="false">IF(OR($V64="",$I64="",$J64="",$J64&lt;=$I64),"",$V64*MAX(0,MIN($J64,15)-MAX($I64,0))/($J64-$I64))</f>
        <v/>
      </c>
      <c r="X64" s="15" t="str">
        <f aca="false">IF(OR($V64="",$I64="",$J64="",$J64&lt;=$I64),"",$V64*MAX(0,MIN($J64,30)-MAX($I64,15))/($J64-$I64))</f>
        <v/>
      </c>
      <c r="Y64" s="15" t="str">
        <f aca="false">IF(OR($V64="",$I64="",$J64="",$J64&lt;=$I64),"",$V64*MAX(0,MIN($J64,50)-MAX($I64,30))/($J64-$I64))</f>
        <v/>
      </c>
      <c r="Z64" s="15" t="str">
        <f aca="false">IF(OR($V64="",$I64="",$J64="",$J64&lt;=$I64),"",$V64*MAX(0,MIN($J64,100)-MAX($I64,50))/($J64-$I64))</f>
        <v/>
      </c>
      <c r="AA64" s="16" t="str">
        <f aca="false">IF($A64="","",IF(OR($C64="",$D64="",$D64&lt;=$C64),"CHECK: depths missing, or bottom not below top",IF(COUNTIFS($A$6:$A$205,$A64,$C$6:$C$205,$C64)&gt;1,"DUPLICATE slice",IF(COUNTIFS($A$6:$A$205,$A64,$C$6:$C$205,"&lt;"&amp;$D64,$D$6:$D$205,"&gt;"&amp;$C64)&gt;1,"OVERLAP with another slice",IF(AND($C64&gt;0,COUNTIFS($A$6:$A$205,$A64,$D$6:$D$205,$C64)=0),"GAP above this slice",IF(OR($G64="",$H64=""),"CHECK: Core ID not in Core Log, or its compaction / diameter missing",IF(AND(IF(COUNTIFS('2. Plot &amp; Core Log'!$B$6:$B$35,$A64,'2. Plot &amp; Core Log'!$L$6:$L$35,"&gt;0")=0,"",SUMIFS('2. Plot &amp; Core Log'!$L$6:$L$35,'2. Plot &amp; Core Log'!$B$6:$B$35,$A64))&lt;&gt;"",$D64&gt;IF(COUNTIFS('2. Plot &amp; Core Log'!$B$6:$B$35,$A64,'2. Plot &amp; Core Log'!$L$6:$L$35,"&gt;0")=0,"",SUMIFS('2. Plot &amp; Core Log'!$L$6:$L$35,'2. Plot &amp; Core Log'!$B$6:$B$35,$A64))),"CHECK: slice deeper than the core length on Sheet 2",IF(OR($M64="",$N64="",$O64=""),"AWAITING LAB (dry weight, carbon value or type)",IF(AND(UPPER($O64)&lt;&gt;"OC",UPPER($O64)&lt;&gt;"LOI"),IF(UPPER($O64)="TC","TC is not organic carbon — ask the lab for OC or IC","CHECK: type must be OC, TC or LOI"),IF($R64="",IF(AND(LOI_INTERCEPT&lt;&gt;"",LOI_SLOPE&lt;&gt;""),"CHECK: LOI below the range of the conversion equation (OC would be &lt; 0)","CHECK: LOI conversion not set (Instructions tab)"),IF(OR($Q64&lt;=0,$Q64&gt;2.65,$R64&gt;50),"CHECK: bulk density outside 0–2.65 g/cm3 or OC &gt; 50%","OK")))))))))))</f>
        <v/>
      </c>
    </row>
    <row r="65" customFormat="false" ht="15.75" hidden="false" customHeight="true" outlineLevel="0" collapsed="false">
      <c r="A65" s="14"/>
      <c r="B65" s="14"/>
      <c r="C65" s="24"/>
      <c r="D65" s="24"/>
      <c r="E65" s="14"/>
      <c r="F65" s="16" t="str">
        <f aca="false">IF(OR($C65="",$D65=""),"",$D65-$C65)</f>
        <v/>
      </c>
      <c r="G65" s="25" t="str">
        <f aca="false">IF($A65="","",IFERROR(INDEX('2. Plot &amp; Core Log'!$M$6:$M$35,MATCH($A65,'2. Plot &amp; Core Log'!$B$6:$B$35,0)),""))</f>
        <v/>
      </c>
      <c r="H65" s="26" t="str">
        <f aca="false">IF($A65="","",IFERROR(INDEX('2. Plot &amp; Core Log'!$S$6:$S$35,MATCH($A65,'2. Plot &amp; Core Log'!$B$6:$B$35,0)),""))</f>
        <v/>
      </c>
      <c r="I65" s="16" t="str">
        <f aca="false">IF(OR($C65="",$G65=""),"",$C65*$G65)</f>
        <v/>
      </c>
      <c r="J65" s="16" t="str">
        <f aca="false">IF(OR($D65="",$G65=""),"",$D65*$G65)</f>
        <v/>
      </c>
      <c r="K65" s="16" t="str">
        <f aca="false">IF(OR($F65="",$H65=""),"",PI()*(($H65/2)^2)*$F65)</f>
        <v/>
      </c>
      <c r="L65" s="27"/>
      <c r="M65" s="27"/>
      <c r="N65" s="27"/>
      <c r="O65" s="27"/>
      <c r="P65" s="16" t="str">
        <f aca="false">IF(OR($L65="",$M65="",$L65=0),"",(($L65-$M65)/$L65)*100)</f>
        <v/>
      </c>
      <c r="Q65" s="15" t="str">
        <f aca="false">IF(OR($M65="",$K65="",$K65=0),"",$M65/$K65)</f>
        <v/>
      </c>
      <c r="R65" s="15" t="str">
        <f aca="false">IF(OR($N65="",$O65=""),"",IF(UPPER($O65)="OC",$N65,IF(UPPER($O65)="LOI",IF(OR(LOI_INTERCEPT="",LOI_SLOPE=""),"",IF(LOI_INTERCEPT+LOI_SLOPE*$N65&lt;0,"",LOI_INTERCEPT+LOI_SLOPE*$N65)),"")))</f>
        <v/>
      </c>
      <c r="S65" s="18" t="str">
        <f aca="false">IF($R65="","",$R65*10)</f>
        <v/>
      </c>
      <c r="T65" s="28" t="str">
        <f aca="false">IF(OR($Q65="",$R65=""),"",$Q65*$R65/100)</f>
        <v/>
      </c>
      <c r="U65" s="29" t="str">
        <f aca="false">IF(OR($T65="",$F65=""),"",$T65*$F65)</f>
        <v/>
      </c>
      <c r="V65" s="15" t="str">
        <f aca="false">IF($U65="","",$U65*10)</f>
        <v/>
      </c>
      <c r="W65" s="15" t="str">
        <f aca="false">IF(OR($V65="",$I65="",$J65="",$J65&lt;=$I65),"",$V65*MAX(0,MIN($J65,15)-MAX($I65,0))/($J65-$I65))</f>
        <v/>
      </c>
      <c r="X65" s="15" t="str">
        <f aca="false">IF(OR($V65="",$I65="",$J65="",$J65&lt;=$I65),"",$V65*MAX(0,MIN($J65,30)-MAX($I65,15))/($J65-$I65))</f>
        <v/>
      </c>
      <c r="Y65" s="15" t="str">
        <f aca="false">IF(OR($V65="",$I65="",$J65="",$J65&lt;=$I65),"",$V65*MAX(0,MIN($J65,50)-MAX($I65,30))/($J65-$I65))</f>
        <v/>
      </c>
      <c r="Z65" s="15" t="str">
        <f aca="false">IF(OR($V65="",$I65="",$J65="",$J65&lt;=$I65),"",$V65*MAX(0,MIN($J65,100)-MAX($I65,50))/($J65-$I65))</f>
        <v/>
      </c>
      <c r="AA65" s="16" t="str">
        <f aca="false">IF($A65="","",IF(OR($C65="",$D65="",$D65&lt;=$C65),"CHECK: depths missing, or bottom not below top",IF(COUNTIFS($A$6:$A$205,$A65,$C$6:$C$205,$C65)&gt;1,"DUPLICATE slice",IF(COUNTIFS($A$6:$A$205,$A65,$C$6:$C$205,"&lt;"&amp;$D65,$D$6:$D$205,"&gt;"&amp;$C65)&gt;1,"OVERLAP with another slice",IF(AND($C65&gt;0,COUNTIFS($A$6:$A$205,$A65,$D$6:$D$205,$C65)=0),"GAP above this slice",IF(OR($G65="",$H65=""),"CHECK: Core ID not in Core Log, or its compaction / diameter missing",IF(AND(IF(COUNTIFS('2. Plot &amp; Core Log'!$B$6:$B$35,$A65,'2. Plot &amp; Core Log'!$L$6:$L$35,"&gt;0")=0,"",SUMIFS('2. Plot &amp; Core Log'!$L$6:$L$35,'2. Plot &amp; Core Log'!$B$6:$B$35,$A65))&lt;&gt;"",$D65&gt;IF(COUNTIFS('2. Plot &amp; Core Log'!$B$6:$B$35,$A65,'2. Plot &amp; Core Log'!$L$6:$L$35,"&gt;0")=0,"",SUMIFS('2. Plot &amp; Core Log'!$L$6:$L$35,'2. Plot &amp; Core Log'!$B$6:$B$35,$A65))),"CHECK: slice deeper than the core length on Sheet 2",IF(OR($M65="",$N65="",$O65=""),"AWAITING LAB (dry weight, carbon value or type)",IF(AND(UPPER($O65)&lt;&gt;"OC",UPPER($O65)&lt;&gt;"LOI"),IF(UPPER($O65)="TC","TC is not organic carbon — ask the lab for OC or IC","CHECK: type must be OC, TC or LOI"),IF($R65="",IF(AND(LOI_INTERCEPT&lt;&gt;"",LOI_SLOPE&lt;&gt;""),"CHECK: LOI below the range of the conversion equation (OC would be &lt; 0)","CHECK: LOI conversion not set (Instructions tab)"),IF(OR($Q65&lt;=0,$Q65&gt;2.65,$R65&gt;50),"CHECK: bulk density outside 0–2.65 g/cm3 or OC &gt; 50%","OK")))))))))))</f>
        <v/>
      </c>
    </row>
    <row r="66" customFormat="false" ht="15.75" hidden="false" customHeight="true" outlineLevel="0" collapsed="false">
      <c r="A66" s="14"/>
      <c r="B66" s="14"/>
      <c r="C66" s="24"/>
      <c r="D66" s="24"/>
      <c r="E66" s="14"/>
      <c r="F66" s="16" t="str">
        <f aca="false">IF(OR($C66="",$D66=""),"",$D66-$C66)</f>
        <v/>
      </c>
      <c r="G66" s="25" t="str">
        <f aca="false">IF($A66="","",IFERROR(INDEX('2. Plot &amp; Core Log'!$M$6:$M$35,MATCH($A66,'2. Plot &amp; Core Log'!$B$6:$B$35,0)),""))</f>
        <v/>
      </c>
      <c r="H66" s="26" t="str">
        <f aca="false">IF($A66="","",IFERROR(INDEX('2. Plot &amp; Core Log'!$S$6:$S$35,MATCH($A66,'2. Plot &amp; Core Log'!$B$6:$B$35,0)),""))</f>
        <v/>
      </c>
      <c r="I66" s="16" t="str">
        <f aca="false">IF(OR($C66="",$G66=""),"",$C66*$G66)</f>
        <v/>
      </c>
      <c r="J66" s="16" t="str">
        <f aca="false">IF(OR($D66="",$G66=""),"",$D66*$G66)</f>
        <v/>
      </c>
      <c r="K66" s="16" t="str">
        <f aca="false">IF(OR($F66="",$H66=""),"",PI()*(($H66/2)^2)*$F66)</f>
        <v/>
      </c>
      <c r="L66" s="27"/>
      <c r="M66" s="27"/>
      <c r="N66" s="27"/>
      <c r="O66" s="27"/>
      <c r="P66" s="16" t="str">
        <f aca="false">IF(OR($L66="",$M66="",$L66=0),"",(($L66-$M66)/$L66)*100)</f>
        <v/>
      </c>
      <c r="Q66" s="15" t="str">
        <f aca="false">IF(OR($M66="",$K66="",$K66=0),"",$M66/$K66)</f>
        <v/>
      </c>
      <c r="R66" s="15" t="str">
        <f aca="false">IF(OR($N66="",$O66=""),"",IF(UPPER($O66)="OC",$N66,IF(UPPER($O66)="LOI",IF(OR(LOI_INTERCEPT="",LOI_SLOPE=""),"",IF(LOI_INTERCEPT+LOI_SLOPE*$N66&lt;0,"",LOI_INTERCEPT+LOI_SLOPE*$N66)),"")))</f>
        <v/>
      </c>
      <c r="S66" s="18" t="str">
        <f aca="false">IF($R66="","",$R66*10)</f>
        <v/>
      </c>
      <c r="T66" s="28" t="str">
        <f aca="false">IF(OR($Q66="",$R66=""),"",$Q66*$R66/100)</f>
        <v/>
      </c>
      <c r="U66" s="29" t="str">
        <f aca="false">IF(OR($T66="",$F66=""),"",$T66*$F66)</f>
        <v/>
      </c>
      <c r="V66" s="15" t="str">
        <f aca="false">IF($U66="","",$U66*10)</f>
        <v/>
      </c>
      <c r="W66" s="15" t="str">
        <f aca="false">IF(OR($V66="",$I66="",$J66="",$J66&lt;=$I66),"",$V66*MAX(0,MIN($J66,15)-MAX($I66,0))/($J66-$I66))</f>
        <v/>
      </c>
      <c r="X66" s="15" t="str">
        <f aca="false">IF(OR($V66="",$I66="",$J66="",$J66&lt;=$I66),"",$V66*MAX(0,MIN($J66,30)-MAX($I66,15))/($J66-$I66))</f>
        <v/>
      </c>
      <c r="Y66" s="15" t="str">
        <f aca="false">IF(OR($V66="",$I66="",$J66="",$J66&lt;=$I66),"",$V66*MAX(0,MIN($J66,50)-MAX($I66,30))/($J66-$I66))</f>
        <v/>
      </c>
      <c r="Z66" s="15" t="str">
        <f aca="false">IF(OR($V66="",$I66="",$J66="",$J66&lt;=$I66),"",$V66*MAX(0,MIN($J66,100)-MAX($I66,50))/($J66-$I66))</f>
        <v/>
      </c>
      <c r="AA66" s="16" t="str">
        <f aca="false">IF($A66="","",IF(OR($C66="",$D66="",$D66&lt;=$C66),"CHECK: depths missing, or bottom not below top",IF(COUNTIFS($A$6:$A$205,$A66,$C$6:$C$205,$C66)&gt;1,"DUPLICATE slice",IF(COUNTIFS($A$6:$A$205,$A66,$C$6:$C$205,"&lt;"&amp;$D66,$D$6:$D$205,"&gt;"&amp;$C66)&gt;1,"OVERLAP with another slice",IF(AND($C66&gt;0,COUNTIFS($A$6:$A$205,$A66,$D$6:$D$205,$C66)=0),"GAP above this slice",IF(OR($G66="",$H66=""),"CHECK: Core ID not in Core Log, or its compaction / diameter missing",IF(AND(IF(COUNTIFS('2. Plot &amp; Core Log'!$B$6:$B$35,$A66,'2. Plot &amp; Core Log'!$L$6:$L$35,"&gt;0")=0,"",SUMIFS('2. Plot &amp; Core Log'!$L$6:$L$35,'2. Plot &amp; Core Log'!$B$6:$B$35,$A66))&lt;&gt;"",$D66&gt;IF(COUNTIFS('2. Plot &amp; Core Log'!$B$6:$B$35,$A66,'2. Plot &amp; Core Log'!$L$6:$L$35,"&gt;0")=0,"",SUMIFS('2. Plot &amp; Core Log'!$L$6:$L$35,'2. Plot &amp; Core Log'!$B$6:$B$35,$A66))),"CHECK: slice deeper than the core length on Sheet 2",IF(OR($M66="",$N66="",$O66=""),"AWAITING LAB (dry weight, carbon value or type)",IF(AND(UPPER($O66)&lt;&gt;"OC",UPPER($O66)&lt;&gt;"LOI"),IF(UPPER($O66)="TC","TC is not organic carbon — ask the lab for OC or IC","CHECK: type must be OC, TC or LOI"),IF($R66="",IF(AND(LOI_INTERCEPT&lt;&gt;"",LOI_SLOPE&lt;&gt;""),"CHECK: LOI below the range of the conversion equation (OC would be &lt; 0)","CHECK: LOI conversion not set (Instructions tab)"),IF(OR($Q66&lt;=0,$Q66&gt;2.65,$R66&gt;50),"CHECK: bulk density outside 0–2.65 g/cm3 or OC &gt; 50%","OK")))))))))))</f>
        <v/>
      </c>
    </row>
    <row r="67" customFormat="false" ht="15.75" hidden="false" customHeight="true" outlineLevel="0" collapsed="false">
      <c r="A67" s="14"/>
      <c r="B67" s="14"/>
      <c r="C67" s="24"/>
      <c r="D67" s="24"/>
      <c r="E67" s="14"/>
      <c r="F67" s="16" t="str">
        <f aca="false">IF(OR($C67="",$D67=""),"",$D67-$C67)</f>
        <v/>
      </c>
      <c r="G67" s="25" t="str">
        <f aca="false">IF($A67="","",IFERROR(INDEX('2. Plot &amp; Core Log'!$M$6:$M$35,MATCH($A67,'2. Plot &amp; Core Log'!$B$6:$B$35,0)),""))</f>
        <v/>
      </c>
      <c r="H67" s="26" t="str">
        <f aca="false">IF($A67="","",IFERROR(INDEX('2. Plot &amp; Core Log'!$S$6:$S$35,MATCH($A67,'2. Plot &amp; Core Log'!$B$6:$B$35,0)),""))</f>
        <v/>
      </c>
      <c r="I67" s="16" t="str">
        <f aca="false">IF(OR($C67="",$G67=""),"",$C67*$G67)</f>
        <v/>
      </c>
      <c r="J67" s="16" t="str">
        <f aca="false">IF(OR($D67="",$G67=""),"",$D67*$G67)</f>
        <v/>
      </c>
      <c r="K67" s="16" t="str">
        <f aca="false">IF(OR($F67="",$H67=""),"",PI()*(($H67/2)^2)*$F67)</f>
        <v/>
      </c>
      <c r="L67" s="27"/>
      <c r="M67" s="27"/>
      <c r="N67" s="27"/>
      <c r="O67" s="27"/>
      <c r="P67" s="16" t="str">
        <f aca="false">IF(OR($L67="",$M67="",$L67=0),"",(($L67-$M67)/$L67)*100)</f>
        <v/>
      </c>
      <c r="Q67" s="15" t="str">
        <f aca="false">IF(OR($M67="",$K67="",$K67=0),"",$M67/$K67)</f>
        <v/>
      </c>
      <c r="R67" s="15" t="str">
        <f aca="false">IF(OR($N67="",$O67=""),"",IF(UPPER($O67)="OC",$N67,IF(UPPER($O67)="LOI",IF(OR(LOI_INTERCEPT="",LOI_SLOPE=""),"",IF(LOI_INTERCEPT+LOI_SLOPE*$N67&lt;0,"",LOI_INTERCEPT+LOI_SLOPE*$N67)),"")))</f>
        <v/>
      </c>
      <c r="S67" s="18" t="str">
        <f aca="false">IF($R67="","",$R67*10)</f>
        <v/>
      </c>
      <c r="T67" s="28" t="str">
        <f aca="false">IF(OR($Q67="",$R67=""),"",$Q67*$R67/100)</f>
        <v/>
      </c>
      <c r="U67" s="29" t="str">
        <f aca="false">IF(OR($T67="",$F67=""),"",$T67*$F67)</f>
        <v/>
      </c>
      <c r="V67" s="15" t="str">
        <f aca="false">IF($U67="","",$U67*10)</f>
        <v/>
      </c>
      <c r="W67" s="15" t="str">
        <f aca="false">IF(OR($V67="",$I67="",$J67="",$J67&lt;=$I67),"",$V67*MAX(0,MIN($J67,15)-MAX($I67,0))/($J67-$I67))</f>
        <v/>
      </c>
      <c r="X67" s="15" t="str">
        <f aca="false">IF(OR($V67="",$I67="",$J67="",$J67&lt;=$I67),"",$V67*MAX(0,MIN($J67,30)-MAX($I67,15))/($J67-$I67))</f>
        <v/>
      </c>
      <c r="Y67" s="15" t="str">
        <f aca="false">IF(OR($V67="",$I67="",$J67="",$J67&lt;=$I67),"",$V67*MAX(0,MIN($J67,50)-MAX($I67,30))/($J67-$I67))</f>
        <v/>
      </c>
      <c r="Z67" s="15" t="str">
        <f aca="false">IF(OR($V67="",$I67="",$J67="",$J67&lt;=$I67),"",$V67*MAX(0,MIN($J67,100)-MAX($I67,50))/($J67-$I67))</f>
        <v/>
      </c>
      <c r="AA67" s="16" t="str">
        <f aca="false">IF($A67="","",IF(OR($C67="",$D67="",$D67&lt;=$C67),"CHECK: depths missing, or bottom not below top",IF(COUNTIFS($A$6:$A$205,$A67,$C$6:$C$205,$C67)&gt;1,"DUPLICATE slice",IF(COUNTIFS($A$6:$A$205,$A67,$C$6:$C$205,"&lt;"&amp;$D67,$D$6:$D$205,"&gt;"&amp;$C67)&gt;1,"OVERLAP with another slice",IF(AND($C67&gt;0,COUNTIFS($A$6:$A$205,$A67,$D$6:$D$205,$C67)=0),"GAP above this slice",IF(OR($G67="",$H67=""),"CHECK: Core ID not in Core Log, or its compaction / diameter missing",IF(AND(IF(COUNTIFS('2. Plot &amp; Core Log'!$B$6:$B$35,$A67,'2. Plot &amp; Core Log'!$L$6:$L$35,"&gt;0")=0,"",SUMIFS('2. Plot &amp; Core Log'!$L$6:$L$35,'2. Plot &amp; Core Log'!$B$6:$B$35,$A67))&lt;&gt;"",$D67&gt;IF(COUNTIFS('2. Plot &amp; Core Log'!$B$6:$B$35,$A67,'2. Plot &amp; Core Log'!$L$6:$L$35,"&gt;0")=0,"",SUMIFS('2. Plot &amp; Core Log'!$L$6:$L$35,'2. Plot &amp; Core Log'!$B$6:$B$35,$A67))),"CHECK: slice deeper than the core length on Sheet 2",IF(OR($M67="",$N67="",$O67=""),"AWAITING LAB (dry weight, carbon value or type)",IF(AND(UPPER($O67)&lt;&gt;"OC",UPPER($O67)&lt;&gt;"LOI"),IF(UPPER($O67)="TC","TC is not organic carbon — ask the lab for OC or IC","CHECK: type must be OC, TC or LOI"),IF($R67="",IF(AND(LOI_INTERCEPT&lt;&gt;"",LOI_SLOPE&lt;&gt;""),"CHECK: LOI below the range of the conversion equation (OC would be &lt; 0)","CHECK: LOI conversion not set (Instructions tab)"),IF(OR($Q67&lt;=0,$Q67&gt;2.65,$R67&gt;50),"CHECK: bulk density outside 0–2.65 g/cm3 or OC &gt; 50%","OK")))))))))))</f>
        <v/>
      </c>
    </row>
    <row r="68" customFormat="false" ht="15.75" hidden="false" customHeight="true" outlineLevel="0" collapsed="false">
      <c r="A68" s="14"/>
      <c r="B68" s="14"/>
      <c r="C68" s="24"/>
      <c r="D68" s="24"/>
      <c r="E68" s="14"/>
      <c r="F68" s="16" t="str">
        <f aca="false">IF(OR($C68="",$D68=""),"",$D68-$C68)</f>
        <v/>
      </c>
      <c r="G68" s="25" t="str">
        <f aca="false">IF($A68="","",IFERROR(INDEX('2. Plot &amp; Core Log'!$M$6:$M$35,MATCH($A68,'2. Plot &amp; Core Log'!$B$6:$B$35,0)),""))</f>
        <v/>
      </c>
      <c r="H68" s="26" t="str">
        <f aca="false">IF($A68="","",IFERROR(INDEX('2. Plot &amp; Core Log'!$S$6:$S$35,MATCH($A68,'2. Plot &amp; Core Log'!$B$6:$B$35,0)),""))</f>
        <v/>
      </c>
      <c r="I68" s="16" t="str">
        <f aca="false">IF(OR($C68="",$G68=""),"",$C68*$G68)</f>
        <v/>
      </c>
      <c r="J68" s="16" t="str">
        <f aca="false">IF(OR($D68="",$G68=""),"",$D68*$G68)</f>
        <v/>
      </c>
      <c r="K68" s="16" t="str">
        <f aca="false">IF(OR($F68="",$H68=""),"",PI()*(($H68/2)^2)*$F68)</f>
        <v/>
      </c>
      <c r="L68" s="27"/>
      <c r="M68" s="27"/>
      <c r="N68" s="27"/>
      <c r="O68" s="27"/>
      <c r="P68" s="16" t="str">
        <f aca="false">IF(OR($L68="",$M68="",$L68=0),"",(($L68-$M68)/$L68)*100)</f>
        <v/>
      </c>
      <c r="Q68" s="15" t="str">
        <f aca="false">IF(OR($M68="",$K68="",$K68=0),"",$M68/$K68)</f>
        <v/>
      </c>
      <c r="R68" s="15" t="str">
        <f aca="false">IF(OR($N68="",$O68=""),"",IF(UPPER($O68)="OC",$N68,IF(UPPER($O68)="LOI",IF(OR(LOI_INTERCEPT="",LOI_SLOPE=""),"",IF(LOI_INTERCEPT+LOI_SLOPE*$N68&lt;0,"",LOI_INTERCEPT+LOI_SLOPE*$N68)),"")))</f>
        <v/>
      </c>
      <c r="S68" s="18" t="str">
        <f aca="false">IF($R68="","",$R68*10)</f>
        <v/>
      </c>
      <c r="T68" s="28" t="str">
        <f aca="false">IF(OR($Q68="",$R68=""),"",$Q68*$R68/100)</f>
        <v/>
      </c>
      <c r="U68" s="29" t="str">
        <f aca="false">IF(OR($T68="",$F68=""),"",$T68*$F68)</f>
        <v/>
      </c>
      <c r="V68" s="15" t="str">
        <f aca="false">IF($U68="","",$U68*10)</f>
        <v/>
      </c>
      <c r="W68" s="15" t="str">
        <f aca="false">IF(OR($V68="",$I68="",$J68="",$J68&lt;=$I68),"",$V68*MAX(0,MIN($J68,15)-MAX($I68,0))/($J68-$I68))</f>
        <v/>
      </c>
      <c r="X68" s="15" t="str">
        <f aca="false">IF(OR($V68="",$I68="",$J68="",$J68&lt;=$I68),"",$V68*MAX(0,MIN($J68,30)-MAX($I68,15))/($J68-$I68))</f>
        <v/>
      </c>
      <c r="Y68" s="15" t="str">
        <f aca="false">IF(OR($V68="",$I68="",$J68="",$J68&lt;=$I68),"",$V68*MAX(0,MIN($J68,50)-MAX($I68,30))/($J68-$I68))</f>
        <v/>
      </c>
      <c r="Z68" s="15" t="str">
        <f aca="false">IF(OR($V68="",$I68="",$J68="",$J68&lt;=$I68),"",$V68*MAX(0,MIN($J68,100)-MAX($I68,50))/($J68-$I68))</f>
        <v/>
      </c>
      <c r="AA68" s="16" t="str">
        <f aca="false">IF($A68="","",IF(OR($C68="",$D68="",$D68&lt;=$C68),"CHECK: depths missing, or bottom not below top",IF(COUNTIFS($A$6:$A$205,$A68,$C$6:$C$205,$C68)&gt;1,"DUPLICATE slice",IF(COUNTIFS($A$6:$A$205,$A68,$C$6:$C$205,"&lt;"&amp;$D68,$D$6:$D$205,"&gt;"&amp;$C68)&gt;1,"OVERLAP with another slice",IF(AND($C68&gt;0,COUNTIFS($A$6:$A$205,$A68,$D$6:$D$205,$C68)=0),"GAP above this slice",IF(OR($G68="",$H68=""),"CHECK: Core ID not in Core Log, or its compaction / diameter missing",IF(AND(IF(COUNTIFS('2. Plot &amp; Core Log'!$B$6:$B$35,$A68,'2. Plot &amp; Core Log'!$L$6:$L$35,"&gt;0")=0,"",SUMIFS('2. Plot &amp; Core Log'!$L$6:$L$35,'2. Plot &amp; Core Log'!$B$6:$B$35,$A68))&lt;&gt;"",$D68&gt;IF(COUNTIFS('2. Plot &amp; Core Log'!$B$6:$B$35,$A68,'2. Plot &amp; Core Log'!$L$6:$L$35,"&gt;0")=0,"",SUMIFS('2. Plot &amp; Core Log'!$L$6:$L$35,'2. Plot &amp; Core Log'!$B$6:$B$35,$A68))),"CHECK: slice deeper than the core length on Sheet 2",IF(OR($M68="",$N68="",$O68=""),"AWAITING LAB (dry weight, carbon value or type)",IF(AND(UPPER($O68)&lt;&gt;"OC",UPPER($O68)&lt;&gt;"LOI"),IF(UPPER($O68)="TC","TC is not organic carbon — ask the lab for OC or IC","CHECK: type must be OC, TC or LOI"),IF($R68="",IF(AND(LOI_INTERCEPT&lt;&gt;"",LOI_SLOPE&lt;&gt;""),"CHECK: LOI below the range of the conversion equation (OC would be &lt; 0)","CHECK: LOI conversion not set (Instructions tab)"),IF(OR($Q68&lt;=0,$Q68&gt;2.65,$R68&gt;50),"CHECK: bulk density outside 0–2.65 g/cm3 or OC &gt; 50%","OK")))))))))))</f>
        <v/>
      </c>
    </row>
    <row r="69" customFormat="false" ht="15.75" hidden="false" customHeight="true" outlineLevel="0" collapsed="false">
      <c r="A69" s="14"/>
      <c r="B69" s="14"/>
      <c r="C69" s="24"/>
      <c r="D69" s="24"/>
      <c r="E69" s="14"/>
      <c r="F69" s="16" t="str">
        <f aca="false">IF(OR($C69="",$D69=""),"",$D69-$C69)</f>
        <v/>
      </c>
      <c r="G69" s="25" t="str">
        <f aca="false">IF($A69="","",IFERROR(INDEX('2. Plot &amp; Core Log'!$M$6:$M$35,MATCH($A69,'2. Plot &amp; Core Log'!$B$6:$B$35,0)),""))</f>
        <v/>
      </c>
      <c r="H69" s="26" t="str">
        <f aca="false">IF($A69="","",IFERROR(INDEX('2. Plot &amp; Core Log'!$S$6:$S$35,MATCH($A69,'2. Plot &amp; Core Log'!$B$6:$B$35,0)),""))</f>
        <v/>
      </c>
      <c r="I69" s="16" t="str">
        <f aca="false">IF(OR($C69="",$G69=""),"",$C69*$G69)</f>
        <v/>
      </c>
      <c r="J69" s="16" t="str">
        <f aca="false">IF(OR($D69="",$G69=""),"",$D69*$G69)</f>
        <v/>
      </c>
      <c r="K69" s="16" t="str">
        <f aca="false">IF(OR($F69="",$H69=""),"",PI()*(($H69/2)^2)*$F69)</f>
        <v/>
      </c>
      <c r="L69" s="27"/>
      <c r="M69" s="27"/>
      <c r="N69" s="27"/>
      <c r="O69" s="27"/>
      <c r="P69" s="16" t="str">
        <f aca="false">IF(OR($L69="",$M69="",$L69=0),"",(($L69-$M69)/$L69)*100)</f>
        <v/>
      </c>
      <c r="Q69" s="15" t="str">
        <f aca="false">IF(OR($M69="",$K69="",$K69=0),"",$M69/$K69)</f>
        <v/>
      </c>
      <c r="R69" s="15" t="str">
        <f aca="false">IF(OR($N69="",$O69=""),"",IF(UPPER($O69)="OC",$N69,IF(UPPER($O69)="LOI",IF(OR(LOI_INTERCEPT="",LOI_SLOPE=""),"",IF(LOI_INTERCEPT+LOI_SLOPE*$N69&lt;0,"",LOI_INTERCEPT+LOI_SLOPE*$N69)),"")))</f>
        <v/>
      </c>
      <c r="S69" s="18" t="str">
        <f aca="false">IF($R69="","",$R69*10)</f>
        <v/>
      </c>
      <c r="T69" s="28" t="str">
        <f aca="false">IF(OR($Q69="",$R69=""),"",$Q69*$R69/100)</f>
        <v/>
      </c>
      <c r="U69" s="29" t="str">
        <f aca="false">IF(OR($T69="",$F69=""),"",$T69*$F69)</f>
        <v/>
      </c>
      <c r="V69" s="15" t="str">
        <f aca="false">IF($U69="","",$U69*10)</f>
        <v/>
      </c>
      <c r="W69" s="15" t="str">
        <f aca="false">IF(OR($V69="",$I69="",$J69="",$J69&lt;=$I69),"",$V69*MAX(0,MIN($J69,15)-MAX($I69,0))/($J69-$I69))</f>
        <v/>
      </c>
      <c r="X69" s="15" t="str">
        <f aca="false">IF(OR($V69="",$I69="",$J69="",$J69&lt;=$I69),"",$V69*MAX(0,MIN($J69,30)-MAX($I69,15))/($J69-$I69))</f>
        <v/>
      </c>
      <c r="Y69" s="15" t="str">
        <f aca="false">IF(OR($V69="",$I69="",$J69="",$J69&lt;=$I69),"",$V69*MAX(0,MIN($J69,50)-MAX($I69,30))/($J69-$I69))</f>
        <v/>
      </c>
      <c r="Z69" s="15" t="str">
        <f aca="false">IF(OR($V69="",$I69="",$J69="",$J69&lt;=$I69),"",$V69*MAX(0,MIN($J69,100)-MAX($I69,50))/($J69-$I69))</f>
        <v/>
      </c>
      <c r="AA69" s="16" t="str">
        <f aca="false">IF($A69="","",IF(OR($C69="",$D69="",$D69&lt;=$C69),"CHECK: depths missing, or bottom not below top",IF(COUNTIFS($A$6:$A$205,$A69,$C$6:$C$205,$C69)&gt;1,"DUPLICATE slice",IF(COUNTIFS($A$6:$A$205,$A69,$C$6:$C$205,"&lt;"&amp;$D69,$D$6:$D$205,"&gt;"&amp;$C69)&gt;1,"OVERLAP with another slice",IF(AND($C69&gt;0,COUNTIFS($A$6:$A$205,$A69,$D$6:$D$205,$C69)=0),"GAP above this slice",IF(OR($G69="",$H69=""),"CHECK: Core ID not in Core Log, or its compaction / diameter missing",IF(AND(IF(COUNTIFS('2. Plot &amp; Core Log'!$B$6:$B$35,$A69,'2. Plot &amp; Core Log'!$L$6:$L$35,"&gt;0")=0,"",SUMIFS('2. Plot &amp; Core Log'!$L$6:$L$35,'2. Plot &amp; Core Log'!$B$6:$B$35,$A69))&lt;&gt;"",$D69&gt;IF(COUNTIFS('2. Plot &amp; Core Log'!$B$6:$B$35,$A69,'2. Plot &amp; Core Log'!$L$6:$L$35,"&gt;0")=0,"",SUMIFS('2. Plot &amp; Core Log'!$L$6:$L$35,'2. Plot &amp; Core Log'!$B$6:$B$35,$A69))),"CHECK: slice deeper than the core length on Sheet 2",IF(OR($M69="",$N69="",$O69=""),"AWAITING LAB (dry weight, carbon value or type)",IF(AND(UPPER($O69)&lt;&gt;"OC",UPPER($O69)&lt;&gt;"LOI"),IF(UPPER($O69)="TC","TC is not organic carbon — ask the lab for OC or IC","CHECK: type must be OC, TC or LOI"),IF($R69="",IF(AND(LOI_INTERCEPT&lt;&gt;"",LOI_SLOPE&lt;&gt;""),"CHECK: LOI below the range of the conversion equation (OC would be &lt; 0)","CHECK: LOI conversion not set (Instructions tab)"),IF(OR($Q69&lt;=0,$Q69&gt;2.65,$R69&gt;50),"CHECK: bulk density outside 0–2.65 g/cm3 or OC &gt; 50%","OK")))))))))))</f>
        <v/>
      </c>
    </row>
    <row r="70" customFormat="false" ht="15.75" hidden="false" customHeight="true" outlineLevel="0" collapsed="false">
      <c r="A70" s="14"/>
      <c r="B70" s="14"/>
      <c r="C70" s="24"/>
      <c r="D70" s="24"/>
      <c r="E70" s="14"/>
      <c r="F70" s="16" t="str">
        <f aca="false">IF(OR($C70="",$D70=""),"",$D70-$C70)</f>
        <v/>
      </c>
      <c r="G70" s="25" t="str">
        <f aca="false">IF($A70="","",IFERROR(INDEX('2. Plot &amp; Core Log'!$M$6:$M$35,MATCH($A70,'2. Plot &amp; Core Log'!$B$6:$B$35,0)),""))</f>
        <v/>
      </c>
      <c r="H70" s="26" t="str">
        <f aca="false">IF($A70="","",IFERROR(INDEX('2. Plot &amp; Core Log'!$S$6:$S$35,MATCH($A70,'2. Plot &amp; Core Log'!$B$6:$B$35,0)),""))</f>
        <v/>
      </c>
      <c r="I70" s="16" t="str">
        <f aca="false">IF(OR($C70="",$G70=""),"",$C70*$G70)</f>
        <v/>
      </c>
      <c r="J70" s="16" t="str">
        <f aca="false">IF(OR($D70="",$G70=""),"",$D70*$G70)</f>
        <v/>
      </c>
      <c r="K70" s="16" t="str">
        <f aca="false">IF(OR($F70="",$H70=""),"",PI()*(($H70/2)^2)*$F70)</f>
        <v/>
      </c>
      <c r="L70" s="27"/>
      <c r="M70" s="27"/>
      <c r="N70" s="27"/>
      <c r="O70" s="27"/>
      <c r="P70" s="16" t="str">
        <f aca="false">IF(OR($L70="",$M70="",$L70=0),"",(($L70-$M70)/$L70)*100)</f>
        <v/>
      </c>
      <c r="Q70" s="15" t="str">
        <f aca="false">IF(OR($M70="",$K70="",$K70=0),"",$M70/$K70)</f>
        <v/>
      </c>
      <c r="R70" s="15" t="str">
        <f aca="false">IF(OR($N70="",$O70=""),"",IF(UPPER($O70)="OC",$N70,IF(UPPER($O70)="LOI",IF(OR(LOI_INTERCEPT="",LOI_SLOPE=""),"",IF(LOI_INTERCEPT+LOI_SLOPE*$N70&lt;0,"",LOI_INTERCEPT+LOI_SLOPE*$N70)),"")))</f>
        <v/>
      </c>
      <c r="S70" s="18" t="str">
        <f aca="false">IF($R70="","",$R70*10)</f>
        <v/>
      </c>
      <c r="T70" s="28" t="str">
        <f aca="false">IF(OR($Q70="",$R70=""),"",$Q70*$R70/100)</f>
        <v/>
      </c>
      <c r="U70" s="29" t="str">
        <f aca="false">IF(OR($T70="",$F70=""),"",$T70*$F70)</f>
        <v/>
      </c>
      <c r="V70" s="15" t="str">
        <f aca="false">IF($U70="","",$U70*10)</f>
        <v/>
      </c>
      <c r="W70" s="15" t="str">
        <f aca="false">IF(OR($V70="",$I70="",$J70="",$J70&lt;=$I70),"",$V70*MAX(0,MIN($J70,15)-MAX($I70,0))/($J70-$I70))</f>
        <v/>
      </c>
      <c r="X70" s="15" t="str">
        <f aca="false">IF(OR($V70="",$I70="",$J70="",$J70&lt;=$I70),"",$V70*MAX(0,MIN($J70,30)-MAX($I70,15))/($J70-$I70))</f>
        <v/>
      </c>
      <c r="Y70" s="15" t="str">
        <f aca="false">IF(OR($V70="",$I70="",$J70="",$J70&lt;=$I70),"",$V70*MAX(0,MIN($J70,50)-MAX($I70,30))/($J70-$I70))</f>
        <v/>
      </c>
      <c r="Z70" s="15" t="str">
        <f aca="false">IF(OR($V70="",$I70="",$J70="",$J70&lt;=$I70),"",$V70*MAX(0,MIN($J70,100)-MAX($I70,50))/($J70-$I70))</f>
        <v/>
      </c>
      <c r="AA70" s="16" t="str">
        <f aca="false">IF($A70="","",IF(OR($C70="",$D70="",$D70&lt;=$C70),"CHECK: depths missing, or bottom not below top",IF(COUNTIFS($A$6:$A$205,$A70,$C$6:$C$205,$C70)&gt;1,"DUPLICATE slice",IF(COUNTIFS($A$6:$A$205,$A70,$C$6:$C$205,"&lt;"&amp;$D70,$D$6:$D$205,"&gt;"&amp;$C70)&gt;1,"OVERLAP with another slice",IF(AND($C70&gt;0,COUNTIFS($A$6:$A$205,$A70,$D$6:$D$205,$C70)=0),"GAP above this slice",IF(OR($G70="",$H70=""),"CHECK: Core ID not in Core Log, or its compaction / diameter missing",IF(AND(IF(COUNTIFS('2. Plot &amp; Core Log'!$B$6:$B$35,$A70,'2. Plot &amp; Core Log'!$L$6:$L$35,"&gt;0")=0,"",SUMIFS('2. Plot &amp; Core Log'!$L$6:$L$35,'2. Plot &amp; Core Log'!$B$6:$B$35,$A70))&lt;&gt;"",$D70&gt;IF(COUNTIFS('2. Plot &amp; Core Log'!$B$6:$B$35,$A70,'2. Plot &amp; Core Log'!$L$6:$L$35,"&gt;0")=0,"",SUMIFS('2. Plot &amp; Core Log'!$L$6:$L$35,'2. Plot &amp; Core Log'!$B$6:$B$35,$A70))),"CHECK: slice deeper than the core length on Sheet 2",IF(OR($M70="",$N70="",$O70=""),"AWAITING LAB (dry weight, carbon value or type)",IF(AND(UPPER($O70)&lt;&gt;"OC",UPPER($O70)&lt;&gt;"LOI"),IF(UPPER($O70)="TC","TC is not organic carbon — ask the lab for OC or IC","CHECK: type must be OC, TC or LOI"),IF($R70="",IF(AND(LOI_INTERCEPT&lt;&gt;"",LOI_SLOPE&lt;&gt;""),"CHECK: LOI below the range of the conversion equation (OC would be &lt; 0)","CHECK: LOI conversion not set (Instructions tab)"),IF(OR($Q70&lt;=0,$Q70&gt;2.65,$R70&gt;50),"CHECK: bulk density outside 0–2.65 g/cm3 or OC &gt; 50%","OK")))))))))))</f>
        <v/>
      </c>
    </row>
    <row r="71" customFormat="false" ht="15.75" hidden="false" customHeight="true" outlineLevel="0" collapsed="false">
      <c r="A71" s="14"/>
      <c r="B71" s="14"/>
      <c r="C71" s="24"/>
      <c r="D71" s="24"/>
      <c r="E71" s="14"/>
      <c r="F71" s="16" t="str">
        <f aca="false">IF(OR($C71="",$D71=""),"",$D71-$C71)</f>
        <v/>
      </c>
      <c r="G71" s="25" t="str">
        <f aca="false">IF($A71="","",IFERROR(INDEX('2. Plot &amp; Core Log'!$M$6:$M$35,MATCH($A71,'2. Plot &amp; Core Log'!$B$6:$B$35,0)),""))</f>
        <v/>
      </c>
      <c r="H71" s="26" t="str">
        <f aca="false">IF($A71="","",IFERROR(INDEX('2. Plot &amp; Core Log'!$S$6:$S$35,MATCH($A71,'2. Plot &amp; Core Log'!$B$6:$B$35,0)),""))</f>
        <v/>
      </c>
      <c r="I71" s="16" t="str">
        <f aca="false">IF(OR($C71="",$G71=""),"",$C71*$G71)</f>
        <v/>
      </c>
      <c r="J71" s="16" t="str">
        <f aca="false">IF(OR($D71="",$G71=""),"",$D71*$G71)</f>
        <v/>
      </c>
      <c r="K71" s="16" t="str">
        <f aca="false">IF(OR($F71="",$H71=""),"",PI()*(($H71/2)^2)*$F71)</f>
        <v/>
      </c>
      <c r="L71" s="27"/>
      <c r="M71" s="27"/>
      <c r="N71" s="27"/>
      <c r="O71" s="27"/>
      <c r="P71" s="16" t="str">
        <f aca="false">IF(OR($L71="",$M71="",$L71=0),"",(($L71-$M71)/$L71)*100)</f>
        <v/>
      </c>
      <c r="Q71" s="15" t="str">
        <f aca="false">IF(OR($M71="",$K71="",$K71=0),"",$M71/$K71)</f>
        <v/>
      </c>
      <c r="R71" s="15" t="str">
        <f aca="false">IF(OR($N71="",$O71=""),"",IF(UPPER($O71)="OC",$N71,IF(UPPER($O71)="LOI",IF(OR(LOI_INTERCEPT="",LOI_SLOPE=""),"",IF(LOI_INTERCEPT+LOI_SLOPE*$N71&lt;0,"",LOI_INTERCEPT+LOI_SLOPE*$N71)),"")))</f>
        <v/>
      </c>
      <c r="S71" s="18" t="str">
        <f aca="false">IF($R71="","",$R71*10)</f>
        <v/>
      </c>
      <c r="T71" s="28" t="str">
        <f aca="false">IF(OR($Q71="",$R71=""),"",$Q71*$R71/100)</f>
        <v/>
      </c>
      <c r="U71" s="29" t="str">
        <f aca="false">IF(OR($T71="",$F71=""),"",$T71*$F71)</f>
        <v/>
      </c>
      <c r="V71" s="15" t="str">
        <f aca="false">IF($U71="","",$U71*10)</f>
        <v/>
      </c>
      <c r="W71" s="15" t="str">
        <f aca="false">IF(OR($V71="",$I71="",$J71="",$J71&lt;=$I71),"",$V71*MAX(0,MIN($J71,15)-MAX($I71,0))/($J71-$I71))</f>
        <v/>
      </c>
      <c r="X71" s="15" t="str">
        <f aca="false">IF(OR($V71="",$I71="",$J71="",$J71&lt;=$I71),"",$V71*MAX(0,MIN($J71,30)-MAX($I71,15))/($J71-$I71))</f>
        <v/>
      </c>
      <c r="Y71" s="15" t="str">
        <f aca="false">IF(OR($V71="",$I71="",$J71="",$J71&lt;=$I71),"",$V71*MAX(0,MIN($J71,50)-MAX($I71,30))/($J71-$I71))</f>
        <v/>
      </c>
      <c r="Z71" s="15" t="str">
        <f aca="false">IF(OR($V71="",$I71="",$J71="",$J71&lt;=$I71),"",$V71*MAX(0,MIN($J71,100)-MAX($I71,50))/($J71-$I71))</f>
        <v/>
      </c>
      <c r="AA71" s="16" t="str">
        <f aca="false">IF($A71="","",IF(OR($C71="",$D71="",$D71&lt;=$C71),"CHECK: depths missing, or bottom not below top",IF(COUNTIFS($A$6:$A$205,$A71,$C$6:$C$205,$C71)&gt;1,"DUPLICATE slice",IF(COUNTIFS($A$6:$A$205,$A71,$C$6:$C$205,"&lt;"&amp;$D71,$D$6:$D$205,"&gt;"&amp;$C71)&gt;1,"OVERLAP with another slice",IF(AND($C71&gt;0,COUNTIFS($A$6:$A$205,$A71,$D$6:$D$205,$C71)=0),"GAP above this slice",IF(OR($G71="",$H71=""),"CHECK: Core ID not in Core Log, or its compaction / diameter missing",IF(AND(IF(COUNTIFS('2. Plot &amp; Core Log'!$B$6:$B$35,$A71,'2. Plot &amp; Core Log'!$L$6:$L$35,"&gt;0")=0,"",SUMIFS('2. Plot &amp; Core Log'!$L$6:$L$35,'2. Plot &amp; Core Log'!$B$6:$B$35,$A71))&lt;&gt;"",$D71&gt;IF(COUNTIFS('2. Plot &amp; Core Log'!$B$6:$B$35,$A71,'2. Plot &amp; Core Log'!$L$6:$L$35,"&gt;0")=0,"",SUMIFS('2. Plot &amp; Core Log'!$L$6:$L$35,'2. Plot &amp; Core Log'!$B$6:$B$35,$A71))),"CHECK: slice deeper than the core length on Sheet 2",IF(OR($M71="",$N71="",$O71=""),"AWAITING LAB (dry weight, carbon value or type)",IF(AND(UPPER($O71)&lt;&gt;"OC",UPPER($O71)&lt;&gt;"LOI"),IF(UPPER($O71)="TC","TC is not organic carbon — ask the lab for OC or IC","CHECK: type must be OC, TC or LOI"),IF($R71="",IF(AND(LOI_INTERCEPT&lt;&gt;"",LOI_SLOPE&lt;&gt;""),"CHECK: LOI below the range of the conversion equation (OC would be &lt; 0)","CHECK: LOI conversion not set (Instructions tab)"),IF(OR($Q71&lt;=0,$Q71&gt;2.65,$R71&gt;50),"CHECK: bulk density outside 0–2.65 g/cm3 or OC &gt; 50%","OK")))))))))))</f>
        <v/>
      </c>
    </row>
    <row r="72" customFormat="false" ht="15.75" hidden="false" customHeight="true" outlineLevel="0" collapsed="false">
      <c r="A72" s="14"/>
      <c r="B72" s="14"/>
      <c r="C72" s="24"/>
      <c r="D72" s="24"/>
      <c r="E72" s="14"/>
      <c r="F72" s="16" t="str">
        <f aca="false">IF(OR($C72="",$D72=""),"",$D72-$C72)</f>
        <v/>
      </c>
      <c r="G72" s="25" t="str">
        <f aca="false">IF($A72="","",IFERROR(INDEX('2. Plot &amp; Core Log'!$M$6:$M$35,MATCH($A72,'2. Plot &amp; Core Log'!$B$6:$B$35,0)),""))</f>
        <v/>
      </c>
      <c r="H72" s="26" t="str">
        <f aca="false">IF($A72="","",IFERROR(INDEX('2. Plot &amp; Core Log'!$S$6:$S$35,MATCH($A72,'2. Plot &amp; Core Log'!$B$6:$B$35,0)),""))</f>
        <v/>
      </c>
      <c r="I72" s="16" t="str">
        <f aca="false">IF(OR($C72="",$G72=""),"",$C72*$G72)</f>
        <v/>
      </c>
      <c r="J72" s="16" t="str">
        <f aca="false">IF(OR($D72="",$G72=""),"",$D72*$G72)</f>
        <v/>
      </c>
      <c r="K72" s="16" t="str">
        <f aca="false">IF(OR($F72="",$H72=""),"",PI()*(($H72/2)^2)*$F72)</f>
        <v/>
      </c>
      <c r="L72" s="27"/>
      <c r="M72" s="27"/>
      <c r="N72" s="27"/>
      <c r="O72" s="27"/>
      <c r="P72" s="16" t="str">
        <f aca="false">IF(OR($L72="",$M72="",$L72=0),"",(($L72-$M72)/$L72)*100)</f>
        <v/>
      </c>
      <c r="Q72" s="15" t="str">
        <f aca="false">IF(OR($M72="",$K72="",$K72=0),"",$M72/$K72)</f>
        <v/>
      </c>
      <c r="R72" s="15" t="str">
        <f aca="false">IF(OR($N72="",$O72=""),"",IF(UPPER($O72)="OC",$N72,IF(UPPER($O72)="LOI",IF(OR(LOI_INTERCEPT="",LOI_SLOPE=""),"",IF(LOI_INTERCEPT+LOI_SLOPE*$N72&lt;0,"",LOI_INTERCEPT+LOI_SLOPE*$N72)),"")))</f>
        <v/>
      </c>
      <c r="S72" s="18" t="str">
        <f aca="false">IF($R72="","",$R72*10)</f>
        <v/>
      </c>
      <c r="T72" s="28" t="str">
        <f aca="false">IF(OR($Q72="",$R72=""),"",$Q72*$R72/100)</f>
        <v/>
      </c>
      <c r="U72" s="29" t="str">
        <f aca="false">IF(OR($T72="",$F72=""),"",$T72*$F72)</f>
        <v/>
      </c>
      <c r="V72" s="15" t="str">
        <f aca="false">IF($U72="","",$U72*10)</f>
        <v/>
      </c>
      <c r="W72" s="15" t="str">
        <f aca="false">IF(OR($V72="",$I72="",$J72="",$J72&lt;=$I72),"",$V72*MAX(0,MIN($J72,15)-MAX($I72,0))/($J72-$I72))</f>
        <v/>
      </c>
      <c r="X72" s="15" t="str">
        <f aca="false">IF(OR($V72="",$I72="",$J72="",$J72&lt;=$I72),"",$V72*MAX(0,MIN($J72,30)-MAX($I72,15))/($J72-$I72))</f>
        <v/>
      </c>
      <c r="Y72" s="15" t="str">
        <f aca="false">IF(OR($V72="",$I72="",$J72="",$J72&lt;=$I72),"",$V72*MAX(0,MIN($J72,50)-MAX($I72,30))/($J72-$I72))</f>
        <v/>
      </c>
      <c r="Z72" s="15" t="str">
        <f aca="false">IF(OR($V72="",$I72="",$J72="",$J72&lt;=$I72),"",$V72*MAX(0,MIN($J72,100)-MAX($I72,50))/($J72-$I72))</f>
        <v/>
      </c>
      <c r="AA72" s="16" t="str">
        <f aca="false">IF($A72="","",IF(OR($C72="",$D72="",$D72&lt;=$C72),"CHECK: depths missing, or bottom not below top",IF(COUNTIFS($A$6:$A$205,$A72,$C$6:$C$205,$C72)&gt;1,"DUPLICATE slice",IF(COUNTIFS($A$6:$A$205,$A72,$C$6:$C$205,"&lt;"&amp;$D72,$D$6:$D$205,"&gt;"&amp;$C72)&gt;1,"OVERLAP with another slice",IF(AND($C72&gt;0,COUNTIFS($A$6:$A$205,$A72,$D$6:$D$205,$C72)=0),"GAP above this slice",IF(OR($G72="",$H72=""),"CHECK: Core ID not in Core Log, or its compaction / diameter missing",IF(AND(IF(COUNTIFS('2. Plot &amp; Core Log'!$B$6:$B$35,$A72,'2. Plot &amp; Core Log'!$L$6:$L$35,"&gt;0")=0,"",SUMIFS('2. Plot &amp; Core Log'!$L$6:$L$35,'2. Plot &amp; Core Log'!$B$6:$B$35,$A72))&lt;&gt;"",$D72&gt;IF(COUNTIFS('2. Plot &amp; Core Log'!$B$6:$B$35,$A72,'2. Plot &amp; Core Log'!$L$6:$L$35,"&gt;0")=0,"",SUMIFS('2. Plot &amp; Core Log'!$L$6:$L$35,'2. Plot &amp; Core Log'!$B$6:$B$35,$A72))),"CHECK: slice deeper than the core length on Sheet 2",IF(OR($M72="",$N72="",$O72=""),"AWAITING LAB (dry weight, carbon value or type)",IF(AND(UPPER($O72)&lt;&gt;"OC",UPPER($O72)&lt;&gt;"LOI"),IF(UPPER($O72)="TC","TC is not organic carbon — ask the lab for OC or IC","CHECK: type must be OC, TC or LOI"),IF($R72="",IF(AND(LOI_INTERCEPT&lt;&gt;"",LOI_SLOPE&lt;&gt;""),"CHECK: LOI below the range of the conversion equation (OC would be &lt; 0)","CHECK: LOI conversion not set (Instructions tab)"),IF(OR($Q72&lt;=0,$Q72&gt;2.65,$R72&gt;50),"CHECK: bulk density outside 0–2.65 g/cm3 or OC &gt; 50%","OK")))))))))))</f>
        <v/>
      </c>
    </row>
    <row r="73" customFormat="false" ht="15.75" hidden="false" customHeight="true" outlineLevel="0" collapsed="false">
      <c r="A73" s="14"/>
      <c r="B73" s="14"/>
      <c r="C73" s="24"/>
      <c r="D73" s="24"/>
      <c r="E73" s="14"/>
      <c r="F73" s="16" t="str">
        <f aca="false">IF(OR($C73="",$D73=""),"",$D73-$C73)</f>
        <v/>
      </c>
      <c r="G73" s="25" t="str">
        <f aca="false">IF($A73="","",IFERROR(INDEX('2. Plot &amp; Core Log'!$M$6:$M$35,MATCH($A73,'2. Plot &amp; Core Log'!$B$6:$B$35,0)),""))</f>
        <v/>
      </c>
      <c r="H73" s="26" t="str">
        <f aca="false">IF($A73="","",IFERROR(INDEX('2. Plot &amp; Core Log'!$S$6:$S$35,MATCH($A73,'2. Plot &amp; Core Log'!$B$6:$B$35,0)),""))</f>
        <v/>
      </c>
      <c r="I73" s="16" t="str">
        <f aca="false">IF(OR($C73="",$G73=""),"",$C73*$G73)</f>
        <v/>
      </c>
      <c r="J73" s="16" t="str">
        <f aca="false">IF(OR($D73="",$G73=""),"",$D73*$G73)</f>
        <v/>
      </c>
      <c r="K73" s="16" t="str">
        <f aca="false">IF(OR($F73="",$H73=""),"",PI()*(($H73/2)^2)*$F73)</f>
        <v/>
      </c>
      <c r="L73" s="27"/>
      <c r="M73" s="27"/>
      <c r="N73" s="27"/>
      <c r="O73" s="27"/>
      <c r="P73" s="16" t="str">
        <f aca="false">IF(OR($L73="",$M73="",$L73=0),"",(($L73-$M73)/$L73)*100)</f>
        <v/>
      </c>
      <c r="Q73" s="15" t="str">
        <f aca="false">IF(OR($M73="",$K73="",$K73=0),"",$M73/$K73)</f>
        <v/>
      </c>
      <c r="R73" s="15" t="str">
        <f aca="false">IF(OR($N73="",$O73=""),"",IF(UPPER($O73)="OC",$N73,IF(UPPER($O73)="LOI",IF(OR(LOI_INTERCEPT="",LOI_SLOPE=""),"",IF(LOI_INTERCEPT+LOI_SLOPE*$N73&lt;0,"",LOI_INTERCEPT+LOI_SLOPE*$N73)),"")))</f>
        <v/>
      </c>
      <c r="S73" s="18" t="str">
        <f aca="false">IF($R73="","",$R73*10)</f>
        <v/>
      </c>
      <c r="T73" s="28" t="str">
        <f aca="false">IF(OR($Q73="",$R73=""),"",$Q73*$R73/100)</f>
        <v/>
      </c>
      <c r="U73" s="29" t="str">
        <f aca="false">IF(OR($T73="",$F73=""),"",$T73*$F73)</f>
        <v/>
      </c>
      <c r="V73" s="15" t="str">
        <f aca="false">IF($U73="","",$U73*10)</f>
        <v/>
      </c>
      <c r="W73" s="15" t="str">
        <f aca="false">IF(OR($V73="",$I73="",$J73="",$J73&lt;=$I73),"",$V73*MAX(0,MIN($J73,15)-MAX($I73,0))/($J73-$I73))</f>
        <v/>
      </c>
      <c r="X73" s="15" t="str">
        <f aca="false">IF(OR($V73="",$I73="",$J73="",$J73&lt;=$I73),"",$V73*MAX(0,MIN($J73,30)-MAX($I73,15))/($J73-$I73))</f>
        <v/>
      </c>
      <c r="Y73" s="15" t="str">
        <f aca="false">IF(OR($V73="",$I73="",$J73="",$J73&lt;=$I73),"",$V73*MAX(0,MIN($J73,50)-MAX($I73,30))/($J73-$I73))</f>
        <v/>
      </c>
      <c r="Z73" s="15" t="str">
        <f aca="false">IF(OR($V73="",$I73="",$J73="",$J73&lt;=$I73),"",$V73*MAX(0,MIN($J73,100)-MAX($I73,50))/($J73-$I73))</f>
        <v/>
      </c>
      <c r="AA73" s="16" t="str">
        <f aca="false">IF($A73="","",IF(OR($C73="",$D73="",$D73&lt;=$C73),"CHECK: depths missing, or bottom not below top",IF(COUNTIFS($A$6:$A$205,$A73,$C$6:$C$205,$C73)&gt;1,"DUPLICATE slice",IF(COUNTIFS($A$6:$A$205,$A73,$C$6:$C$205,"&lt;"&amp;$D73,$D$6:$D$205,"&gt;"&amp;$C73)&gt;1,"OVERLAP with another slice",IF(AND($C73&gt;0,COUNTIFS($A$6:$A$205,$A73,$D$6:$D$205,$C73)=0),"GAP above this slice",IF(OR($G73="",$H73=""),"CHECK: Core ID not in Core Log, or its compaction / diameter missing",IF(AND(IF(COUNTIFS('2. Plot &amp; Core Log'!$B$6:$B$35,$A73,'2. Plot &amp; Core Log'!$L$6:$L$35,"&gt;0")=0,"",SUMIFS('2. Plot &amp; Core Log'!$L$6:$L$35,'2. Plot &amp; Core Log'!$B$6:$B$35,$A73))&lt;&gt;"",$D73&gt;IF(COUNTIFS('2. Plot &amp; Core Log'!$B$6:$B$35,$A73,'2. Plot &amp; Core Log'!$L$6:$L$35,"&gt;0")=0,"",SUMIFS('2. Plot &amp; Core Log'!$L$6:$L$35,'2. Plot &amp; Core Log'!$B$6:$B$35,$A73))),"CHECK: slice deeper than the core length on Sheet 2",IF(OR($M73="",$N73="",$O73=""),"AWAITING LAB (dry weight, carbon value or type)",IF(AND(UPPER($O73)&lt;&gt;"OC",UPPER($O73)&lt;&gt;"LOI"),IF(UPPER($O73)="TC","TC is not organic carbon — ask the lab for OC or IC","CHECK: type must be OC, TC or LOI"),IF($R73="",IF(AND(LOI_INTERCEPT&lt;&gt;"",LOI_SLOPE&lt;&gt;""),"CHECK: LOI below the range of the conversion equation (OC would be &lt; 0)","CHECK: LOI conversion not set (Instructions tab)"),IF(OR($Q73&lt;=0,$Q73&gt;2.65,$R73&gt;50),"CHECK: bulk density outside 0–2.65 g/cm3 or OC &gt; 50%","OK")))))))))))</f>
        <v/>
      </c>
    </row>
    <row r="74" customFormat="false" ht="15.75" hidden="false" customHeight="true" outlineLevel="0" collapsed="false">
      <c r="A74" s="14"/>
      <c r="B74" s="14"/>
      <c r="C74" s="24"/>
      <c r="D74" s="24"/>
      <c r="E74" s="14"/>
      <c r="F74" s="16" t="str">
        <f aca="false">IF(OR($C74="",$D74=""),"",$D74-$C74)</f>
        <v/>
      </c>
      <c r="G74" s="25" t="str">
        <f aca="false">IF($A74="","",IFERROR(INDEX('2. Plot &amp; Core Log'!$M$6:$M$35,MATCH($A74,'2. Plot &amp; Core Log'!$B$6:$B$35,0)),""))</f>
        <v/>
      </c>
      <c r="H74" s="26" t="str">
        <f aca="false">IF($A74="","",IFERROR(INDEX('2. Plot &amp; Core Log'!$S$6:$S$35,MATCH($A74,'2. Plot &amp; Core Log'!$B$6:$B$35,0)),""))</f>
        <v/>
      </c>
      <c r="I74" s="16" t="str">
        <f aca="false">IF(OR($C74="",$G74=""),"",$C74*$G74)</f>
        <v/>
      </c>
      <c r="J74" s="16" t="str">
        <f aca="false">IF(OR($D74="",$G74=""),"",$D74*$G74)</f>
        <v/>
      </c>
      <c r="K74" s="16" t="str">
        <f aca="false">IF(OR($F74="",$H74=""),"",PI()*(($H74/2)^2)*$F74)</f>
        <v/>
      </c>
      <c r="L74" s="27"/>
      <c r="M74" s="27"/>
      <c r="N74" s="27"/>
      <c r="O74" s="27"/>
      <c r="P74" s="16" t="str">
        <f aca="false">IF(OR($L74="",$M74="",$L74=0),"",(($L74-$M74)/$L74)*100)</f>
        <v/>
      </c>
      <c r="Q74" s="15" t="str">
        <f aca="false">IF(OR($M74="",$K74="",$K74=0),"",$M74/$K74)</f>
        <v/>
      </c>
      <c r="R74" s="15" t="str">
        <f aca="false">IF(OR($N74="",$O74=""),"",IF(UPPER($O74)="OC",$N74,IF(UPPER($O74)="LOI",IF(OR(LOI_INTERCEPT="",LOI_SLOPE=""),"",IF(LOI_INTERCEPT+LOI_SLOPE*$N74&lt;0,"",LOI_INTERCEPT+LOI_SLOPE*$N74)),"")))</f>
        <v/>
      </c>
      <c r="S74" s="18" t="str">
        <f aca="false">IF($R74="","",$R74*10)</f>
        <v/>
      </c>
      <c r="T74" s="28" t="str">
        <f aca="false">IF(OR($Q74="",$R74=""),"",$Q74*$R74/100)</f>
        <v/>
      </c>
      <c r="U74" s="29" t="str">
        <f aca="false">IF(OR($T74="",$F74=""),"",$T74*$F74)</f>
        <v/>
      </c>
      <c r="V74" s="15" t="str">
        <f aca="false">IF($U74="","",$U74*10)</f>
        <v/>
      </c>
      <c r="W74" s="15" t="str">
        <f aca="false">IF(OR($V74="",$I74="",$J74="",$J74&lt;=$I74),"",$V74*MAX(0,MIN($J74,15)-MAX($I74,0))/($J74-$I74))</f>
        <v/>
      </c>
      <c r="X74" s="15" t="str">
        <f aca="false">IF(OR($V74="",$I74="",$J74="",$J74&lt;=$I74),"",$V74*MAX(0,MIN($J74,30)-MAX($I74,15))/($J74-$I74))</f>
        <v/>
      </c>
      <c r="Y74" s="15" t="str">
        <f aca="false">IF(OR($V74="",$I74="",$J74="",$J74&lt;=$I74),"",$V74*MAX(0,MIN($J74,50)-MAX($I74,30))/($J74-$I74))</f>
        <v/>
      </c>
      <c r="Z74" s="15" t="str">
        <f aca="false">IF(OR($V74="",$I74="",$J74="",$J74&lt;=$I74),"",$V74*MAX(0,MIN($J74,100)-MAX($I74,50))/($J74-$I74))</f>
        <v/>
      </c>
      <c r="AA74" s="16" t="str">
        <f aca="false">IF($A74="","",IF(OR($C74="",$D74="",$D74&lt;=$C74),"CHECK: depths missing, or bottom not below top",IF(COUNTIFS($A$6:$A$205,$A74,$C$6:$C$205,$C74)&gt;1,"DUPLICATE slice",IF(COUNTIFS($A$6:$A$205,$A74,$C$6:$C$205,"&lt;"&amp;$D74,$D$6:$D$205,"&gt;"&amp;$C74)&gt;1,"OVERLAP with another slice",IF(AND($C74&gt;0,COUNTIFS($A$6:$A$205,$A74,$D$6:$D$205,$C74)=0),"GAP above this slice",IF(OR($G74="",$H74=""),"CHECK: Core ID not in Core Log, or its compaction / diameter missing",IF(AND(IF(COUNTIFS('2. Plot &amp; Core Log'!$B$6:$B$35,$A74,'2. Plot &amp; Core Log'!$L$6:$L$35,"&gt;0")=0,"",SUMIFS('2. Plot &amp; Core Log'!$L$6:$L$35,'2. Plot &amp; Core Log'!$B$6:$B$35,$A74))&lt;&gt;"",$D74&gt;IF(COUNTIFS('2. Plot &amp; Core Log'!$B$6:$B$35,$A74,'2. Plot &amp; Core Log'!$L$6:$L$35,"&gt;0")=0,"",SUMIFS('2. Plot &amp; Core Log'!$L$6:$L$35,'2. Plot &amp; Core Log'!$B$6:$B$35,$A74))),"CHECK: slice deeper than the core length on Sheet 2",IF(OR($M74="",$N74="",$O74=""),"AWAITING LAB (dry weight, carbon value or type)",IF(AND(UPPER($O74)&lt;&gt;"OC",UPPER($O74)&lt;&gt;"LOI"),IF(UPPER($O74)="TC","TC is not organic carbon — ask the lab for OC or IC","CHECK: type must be OC, TC or LOI"),IF($R74="",IF(AND(LOI_INTERCEPT&lt;&gt;"",LOI_SLOPE&lt;&gt;""),"CHECK: LOI below the range of the conversion equation (OC would be &lt; 0)","CHECK: LOI conversion not set (Instructions tab)"),IF(OR($Q74&lt;=0,$Q74&gt;2.65,$R74&gt;50),"CHECK: bulk density outside 0–2.65 g/cm3 or OC &gt; 50%","OK")))))))))))</f>
        <v/>
      </c>
    </row>
    <row r="75" customFormat="false" ht="15.75" hidden="false" customHeight="true" outlineLevel="0" collapsed="false">
      <c r="A75" s="14"/>
      <c r="B75" s="14"/>
      <c r="C75" s="24"/>
      <c r="D75" s="24"/>
      <c r="E75" s="14"/>
      <c r="F75" s="16" t="str">
        <f aca="false">IF(OR($C75="",$D75=""),"",$D75-$C75)</f>
        <v/>
      </c>
      <c r="G75" s="25" t="str">
        <f aca="false">IF($A75="","",IFERROR(INDEX('2. Plot &amp; Core Log'!$M$6:$M$35,MATCH($A75,'2. Plot &amp; Core Log'!$B$6:$B$35,0)),""))</f>
        <v/>
      </c>
      <c r="H75" s="26" t="str">
        <f aca="false">IF($A75="","",IFERROR(INDEX('2. Plot &amp; Core Log'!$S$6:$S$35,MATCH($A75,'2. Plot &amp; Core Log'!$B$6:$B$35,0)),""))</f>
        <v/>
      </c>
      <c r="I75" s="16" t="str">
        <f aca="false">IF(OR($C75="",$G75=""),"",$C75*$G75)</f>
        <v/>
      </c>
      <c r="J75" s="16" t="str">
        <f aca="false">IF(OR($D75="",$G75=""),"",$D75*$G75)</f>
        <v/>
      </c>
      <c r="K75" s="16" t="str">
        <f aca="false">IF(OR($F75="",$H75=""),"",PI()*(($H75/2)^2)*$F75)</f>
        <v/>
      </c>
      <c r="L75" s="27"/>
      <c r="M75" s="27"/>
      <c r="N75" s="27"/>
      <c r="O75" s="27"/>
      <c r="P75" s="16" t="str">
        <f aca="false">IF(OR($L75="",$M75="",$L75=0),"",(($L75-$M75)/$L75)*100)</f>
        <v/>
      </c>
      <c r="Q75" s="15" t="str">
        <f aca="false">IF(OR($M75="",$K75="",$K75=0),"",$M75/$K75)</f>
        <v/>
      </c>
      <c r="R75" s="15" t="str">
        <f aca="false">IF(OR($N75="",$O75=""),"",IF(UPPER($O75)="OC",$N75,IF(UPPER($O75)="LOI",IF(OR(LOI_INTERCEPT="",LOI_SLOPE=""),"",IF(LOI_INTERCEPT+LOI_SLOPE*$N75&lt;0,"",LOI_INTERCEPT+LOI_SLOPE*$N75)),"")))</f>
        <v/>
      </c>
      <c r="S75" s="18" t="str">
        <f aca="false">IF($R75="","",$R75*10)</f>
        <v/>
      </c>
      <c r="T75" s="28" t="str">
        <f aca="false">IF(OR($Q75="",$R75=""),"",$Q75*$R75/100)</f>
        <v/>
      </c>
      <c r="U75" s="29" t="str">
        <f aca="false">IF(OR($T75="",$F75=""),"",$T75*$F75)</f>
        <v/>
      </c>
      <c r="V75" s="15" t="str">
        <f aca="false">IF($U75="","",$U75*10)</f>
        <v/>
      </c>
      <c r="W75" s="15" t="str">
        <f aca="false">IF(OR($V75="",$I75="",$J75="",$J75&lt;=$I75),"",$V75*MAX(0,MIN($J75,15)-MAX($I75,0))/($J75-$I75))</f>
        <v/>
      </c>
      <c r="X75" s="15" t="str">
        <f aca="false">IF(OR($V75="",$I75="",$J75="",$J75&lt;=$I75),"",$V75*MAX(0,MIN($J75,30)-MAX($I75,15))/($J75-$I75))</f>
        <v/>
      </c>
      <c r="Y75" s="15" t="str">
        <f aca="false">IF(OR($V75="",$I75="",$J75="",$J75&lt;=$I75),"",$V75*MAX(0,MIN($J75,50)-MAX($I75,30))/($J75-$I75))</f>
        <v/>
      </c>
      <c r="Z75" s="15" t="str">
        <f aca="false">IF(OR($V75="",$I75="",$J75="",$J75&lt;=$I75),"",$V75*MAX(0,MIN($J75,100)-MAX($I75,50))/($J75-$I75))</f>
        <v/>
      </c>
      <c r="AA75" s="16" t="str">
        <f aca="false">IF($A75="","",IF(OR($C75="",$D75="",$D75&lt;=$C75),"CHECK: depths missing, or bottom not below top",IF(COUNTIFS($A$6:$A$205,$A75,$C$6:$C$205,$C75)&gt;1,"DUPLICATE slice",IF(COUNTIFS($A$6:$A$205,$A75,$C$6:$C$205,"&lt;"&amp;$D75,$D$6:$D$205,"&gt;"&amp;$C75)&gt;1,"OVERLAP with another slice",IF(AND($C75&gt;0,COUNTIFS($A$6:$A$205,$A75,$D$6:$D$205,$C75)=0),"GAP above this slice",IF(OR($G75="",$H75=""),"CHECK: Core ID not in Core Log, or its compaction / diameter missing",IF(AND(IF(COUNTIFS('2. Plot &amp; Core Log'!$B$6:$B$35,$A75,'2. Plot &amp; Core Log'!$L$6:$L$35,"&gt;0")=0,"",SUMIFS('2. Plot &amp; Core Log'!$L$6:$L$35,'2. Plot &amp; Core Log'!$B$6:$B$35,$A75))&lt;&gt;"",$D75&gt;IF(COUNTIFS('2. Plot &amp; Core Log'!$B$6:$B$35,$A75,'2. Plot &amp; Core Log'!$L$6:$L$35,"&gt;0")=0,"",SUMIFS('2. Plot &amp; Core Log'!$L$6:$L$35,'2. Plot &amp; Core Log'!$B$6:$B$35,$A75))),"CHECK: slice deeper than the core length on Sheet 2",IF(OR($M75="",$N75="",$O75=""),"AWAITING LAB (dry weight, carbon value or type)",IF(AND(UPPER($O75)&lt;&gt;"OC",UPPER($O75)&lt;&gt;"LOI"),IF(UPPER($O75)="TC","TC is not organic carbon — ask the lab for OC or IC","CHECK: type must be OC, TC or LOI"),IF($R75="",IF(AND(LOI_INTERCEPT&lt;&gt;"",LOI_SLOPE&lt;&gt;""),"CHECK: LOI below the range of the conversion equation (OC would be &lt; 0)","CHECK: LOI conversion not set (Instructions tab)"),IF(OR($Q75&lt;=0,$Q75&gt;2.65,$R75&gt;50),"CHECK: bulk density outside 0–2.65 g/cm3 or OC &gt; 50%","OK")))))))))))</f>
        <v/>
      </c>
    </row>
    <row r="76" customFormat="false" ht="15.75" hidden="false" customHeight="true" outlineLevel="0" collapsed="false">
      <c r="A76" s="14"/>
      <c r="B76" s="14"/>
      <c r="C76" s="24"/>
      <c r="D76" s="24"/>
      <c r="E76" s="14"/>
      <c r="F76" s="16" t="str">
        <f aca="false">IF(OR($C76="",$D76=""),"",$D76-$C76)</f>
        <v/>
      </c>
      <c r="G76" s="25" t="str">
        <f aca="false">IF($A76="","",IFERROR(INDEX('2. Plot &amp; Core Log'!$M$6:$M$35,MATCH($A76,'2. Plot &amp; Core Log'!$B$6:$B$35,0)),""))</f>
        <v/>
      </c>
      <c r="H76" s="26" t="str">
        <f aca="false">IF($A76="","",IFERROR(INDEX('2. Plot &amp; Core Log'!$S$6:$S$35,MATCH($A76,'2. Plot &amp; Core Log'!$B$6:$B$35,0)),""))</f>
        <v/>
      </c>
      <c r="I76" s="16" t="str">
        <f aca="false">IF(OR($C76="",$G76=""),"",$C76*$G76)</f>
        <v/>
      </c>
      <c r="J76" s="16" t="str">
        <f aca="false">IF(OR($D76="",$G76=""),"",$D76*$G76)</f>
        <v/>
      </c>
      <c r="K76" s="16" t="str">
        <f aca="false">IF(OR($F76="",$H76=""),"",PI()*(($H76/2)^2)*$F76)</f>
        <v/>
      </c>
      <c r="L76" s="27"/>
      <c r="M76" s="27"/>
      <c r="N76" s="27"/>
      <c r="O76" s="27"/>
      <c r="P76" s="16" t="str">
        <f aca="false">IF(OR($L76="",$M76="",$L76=0),"",(($L76-$M76)/$L76)*100)</f>
        <v/>
      </c>
      <c r="Q76" s="15" t="str">
        <f aca="false">IF(OR($M76="",$K76="",$K76=0),"",$M76/$K76)</f>
        <v/>
      </c>
      <c r="R76" s="15" t="str">
        <f aca="false">IF(OR($N76="",$O76=""),"",IF(UPPER($O76)="OC",$N76,IF(UPPER($O76)="LOI",IF(OR(LOI_INTERCEPT="",LOI_SLOPE=""),"",IF(LOI_INTERCEPT+LOI_SLOPE*$N76&lt;0,"",LOI_INTERCEPT+LOI_SLOPE*$N76)),"")))</f>
        <v/>
      </c>
      <c r="S76" s="18" t="str">
        <f aca="false">IF($R76="","",$R76*10)</f>
        <v/>
      </c>
      <c r="T76" s="28" t="str">
        <f aca="false">IF(OR($Q76="",$R76=""),"",$Q76*$R76/100)</f>
        <v/>
      </c>
      <c r="U76" s="29" t="str">
        <f aca="false">IF(OR($T76="",$F76=""),"",$T76*$F76)</f>
        <v/>
      </c>
      <c r="V76" s="15" t="str">
        <f aca="false">IF($U76="","",$U76*10)</f>
        <v/>
      </c>
      <c r="W76" s="15" t="str">
        <f aca="false">IF(OR($V76="",$I76="",$J76="",$J76&lt;=$I76),"",$V76*MAX(0,MIN($J76,15)-MAX($I76,0))/($J76-$I76))</f>
        <v/>
      </c>
      <c r="X76" s="15" t="str">
        <f aca="false">IF(OR($V76="",$I76="",$J76="",$J76&lt;=$I76),"",$V76*MAX(0,MIN($J76,30)-MAX($I76,15))/($J76-$I76))</f>
        <v/>
      </c>
      <c r="Y76" s="15" t="str">
        <f aca="false">IF(OR($V76="",$I76="",$J76="",$J76&lt;=$I76),"",$V76*MAX(0,MIN($J76,50)-MAX($I76,30))/($J76-$I76))</f>
        <v/>
      </c>
      <c r="Z76" s="15" t="str">
        <f aca="false">IF(OR($V76="",$I76="",$J76="",$J76&lt;=$I76),"",$V76*MAX(0,MIN($J76,100)-MAX($I76,50))/($J76-$I76))</f>
        <v/>
      </c>
      <c r="AA76" s="16" t="str">
        <f aca="false">IF($A76="","",IF(OR($C76="",$D76="",$D76&lt;=$C76),"CHECK: depths missing, or bottom not below top",IF(COUNTIFS($A$6:$A$205,$A76,$C$6:$C$205,$C76)&gt;1,"DUPLICATE slice",IF(COUNTIFS($A$6:$A$205,$A76,$C$6:$C$205,"&lt;"&amp;$D76,$D$6:$D$205,"&gt;"&amp;$C76)&gt;1,"OVERLAP with another slice",IF(AND($C76&gt;0,COUNTIFS($A$6:$A$205,$A76,$D$6:$D$205,$C76)=0),"GAP above this slice",IF(OR($G76="",$H76=""),"CHECK: Core ID not in Core Log, or its compaction / diameter missing",IF(AND(IF(COUNTIFS('2. Plot &amp; Core Log'!$B$6:$B$35,$A76,'2. Plot &amp; Core Log'!$L$6:$L$35,"&gt;0")=0,"",SUMIFS('2. Plot &amp; Core Log'!$L$6:$L$35,'2. Plot &amp; Core Log'!$B$6:$B$35,$A76))&lt;&gt;"",$D76&gt;IF(COUNTIFS('2. Plot &amp; Core Log'!$B$6:$B$35,$A76,'2. Plot &amp; Core Log'!$L$6:$L$35,"&gt;0")=0,"",SUMIFS('2. Plot &amp; Core Log'!$L$6:$L$35,'2. Plot &amp; Core Log'!$B$6:$B$35,$A76))),"CHECK: slice deeper than the core length on Sheet 2",IF(OR($M76="",$N76="",$O76=""),"AWAITING LAB (dry weight, carbon value or type)",IF(AND(UPPER($O76)&lt;&gt;"OC",UPPER($O76)&lt;&gt;"LOI"),IF(UPPER($O76)="TC","TC is not organic carbon — ask the lab for OC or IC","CHECK: type must be OC, TC or LOI"),IF($R76="",IF(AND(LOI_INTERCEPT&lt;&gt;"",LOI_SLOPE&lt;&gt;""),"CHECK: LOI below the range of the conversion equation (OC would be &lt; 0)","CHECK: LOI conversion not set (Instructions tab)"),IF(OR($Q76&lt;=0,$Q76&gt;2.65,$R76&gt;50),"CHECK: bulk density outside 0–2.65 g/cm3 or OC &gt; 50%","OK")))))))))))</f>
        <v/>
      </c>
    </row>
    <row r="77" customFormat="false" ht="15.75" hidden="false" customHeight="true" outlineLevel="0" collapsed="false">
      <c r="A77" s="14"/>
      <c r="B77" s="14"/>
      <c r="C77" s="24"/>
      <c r="D77" s="24"/>
      <c r="E77" s="14"/>
      <c r="F77" s="16" t="str">
        <f aca="false">IF(OR($C77="",$D77=""),"",$D77-$C77)</f>
        <v/>
      </c>
      <c r="G77" s="25" t="str">
        <f aca="false">IF($A77="","",IFERROR(INDEX('2. Plot &amp; Core Log'!$M$6:$M$35,MATCH($A77,'2. Plot &amp; Core Log'!$B$6:$B$35,0)),""))</f>
        <v/>
      </c>
      <c r="H77" s="26" t="str">
        <f aca="false">IF($A77="","",IFERROR(INDEX('2. Plot &amp; Core Log'!$S$6:$S$35,MATCH($A77,'2. Plot &amp; Core Log'!$B$6:$B$35,0)),""))</f>
        <v/>
      </c>
      <c r="I77" s="16" t="str">
        <f aca="false">IF(OR($C77="",$G77=""),"",$C77*$G77)</f>
        <v/>
      </c>
      <c r="J77" s="16" t="str">
        <f aca="false">IF(OR($D77="",$G77=""),"",$D77*$G77)</f>
        <v/>
      </c>
      <c r="K77" s="16" t="str">
        <f aca="false">IF(OR($F77="",$H77=""),"",PI()*(($H77/2)^2)*$F77)</f>
        <v/>
      </c>
      <c r="L77" s="27"/>
      <c r="M77" s="27"/>
      <c r="N77" s="27"/>
      <c r="O77" s="27"/>
      <c r="P77" s="16" t="str">
        <f aca="false">IF(OR($L77="",$M77="",$L77=0),"",(($L77-$M77)/$L77)*100)</f>
        <v/>
      </c>
      <c r="Q77" s="15" t="str">
        <f aca="false">IF(OR($M77="",$K77="",$K77=0),"",$M77/$K77)</f>
        <v/>
      </c>
      <c r="R77" s="15" t="str">
        <f aca="false">IF(OR($N77="",$O77=""),"",IF(UPPER($O77)="OC",$N77,IF(UPPER($O77)="LOI",IF(OR(LOI_INTERCEPT="",LOI_SLOPE=""),"",IF(LOI_INTERCEPT+LOI_SLOPE*$N77&lt;0,"",LOI_INTERCEPT+LOI_SLOPE*$N77)),"")))</f>
        <v/>
      </c>
      <c r="S77" s="18" t="str">
        <f aca="false">IF($R77="","",$R77*10)</f>
        <v/>
      </c>
      <c r="T77" s="28" t="str">
        <f aca="false">IF(OR($Q77="",$R77=""),"",$Q77*$R77/100)</f>
        <v/>
      </c>
      <c r="U77" s="29" t="str">
        <f aca="false">IF(OR($T77="",$F77=""),"",$T77*$F77)</f>
        <v/>
      </c>
      <c r="V77" s="15" t="str">
        <f aca="false">IF($U77="","",$U77*10)</f>
        <v/>
      </c>
      <c r="W77" s="15" t="str">
        <f aca="false">IF(OR($V77="",$I77="",$J77="",$J77&lt;=$I77),"",$V77*MAX(0,MIN($J77,15)-MAX($I77,0))/($J77-$I77))</f>
        <v/>
      </c>
      <c r="X77" s="15" t="str">
        <f aca="false">IF(OR($V77="",$I77="",$J77="",$J77&lt;=$I77),"",$V77*MAX(0,MIN($J77,30)-MAX($I77,15))/($J77-$I77))</f>
        <v/>
      </c>
      <c r="Y77" s="15" t="str">
        <f aca="false">IF(OR($V77="",$I77="",$J77="",$J77&lt;=$I77),"",$V77*MAX(0,MIN($J77,50)-MAX($I77,30))/($J77-$I77))</f>
        <v/>
      </c>
      <c r="Z77" s="15" t="str">
        <f aca="false">IF(OR($V77="",$I77="",$J77="",$J77&lt;=$I77),"",$V77*MAX(0,MIN($J77,100)-MAX($I77,50))/($J77-$I77))</f>
        <v/>
      </c>
      <c r="AA77" s="16" t="str">
        <f aca="false">IF($A77="","",IF(OR($C77="",$D77="",$D77&lt;=$C77),"CHECK: depths missing, or bottom not below top",IF(COUNTIFS($A$6:$A$205,$A77,$C$6:$C$205,$C77)&gt;1,"DUPLICATE slice",IF(COUNTIFS($A$6:$A$205,$A77,$C$6:$C$205,"&lt;"&amp;$D77,$D$6:$D$205,"&gt;"&amp;$C77)&gt;1,"OVERLAP with another slice",IF(AND($C77&gt;0,COUNTIFS($A$6:$A$205,$A77,$D$6:$D$205,$C77)=0),"GAP above this slice",IF(OR($G77="",$H77=""),"CHECK: Core ID not in Core Log, or its compaction / diameter missing",IF(AND(IF(COUNTIFS('2. Plot &amp; Core Log'!$B$6:$B$35,$A77,'2. Plot &amp; Core Log'!$L$6:$L$35,"&gt;0")=0,"",SUMIFS('2. Plot &amp; Core Log'!$L$6:$L$35,'2. Plot &amp; Core Log'!$B$6:$B$35,$A77))&lt;&gt;"",$D77&gt;IF(COUNTIFS('2. Plot &amp; Core Log'!$B$6:$B$35,$A77,'2. Plot &amp; Core Log'!$L$6:$L$35,"&gt;0")=0,"",SUMIFS('2. Plot &amp; Core Log'!$L$6:$L$35,'2. Plot &amp; Core Log'!$B$6:$B$35,$A77))),"CHECK: slice deeper than the core length on Sheet 2",IF(OR($M77="",$N77="",$O77=""),"AWAITING LAB (dry weight, carbon value or type)",IF(AND(UPPER($O77)&lt;&gt;"OC",UPPER($O77)&lt;&gt;"LOI"),IF(UPPER($O77)="TC","TC is not organic carbon — ask the lab for OC or IC","CHECK: type must be OC, TC or LOI"),IF($R77="",IF(AND(LOI_INTERCEPT&lt;&gt;"",LOI_SLOPE&lt;&gt;""),"CHECK: LOI below the range of the conversion equation (OC would be &lt; 0)","CHECK: LOI conversion not set (Instructions tab)"),IF(OR($Q77&lt;=0,$Q77&gt;2.65,$R77&gt;50),"CHECK: bulk density outside 0–2.65 g/cm3 or OC &gt; 50%","OK")))))))))))</f>
        <v/>
      </c>
    </row>
    <row r="78" customFormat="false" ht="15.75" hidden="false" customHeight="true" outlineLevel="0" collapsed="false">
      <c r="A78" s="14"/>
      <c r="B78" s="14"/>
      <c r="C78" s="24"/>
      <c r="D78" s="24"/>
      <c r="E78" s="14"/>
      <c r="F78" s="16" t="str">
        <f aca="false">IF(OR($C78="",$D78=""),"",$D78-$C78)</f>
        <v/>
      </c>
      <c r="G78" s="25" t="str">
        <f aca="false">IF($A78="","",IFERROR(INDEX('2. Plot &amp; Core Log'!$M$6:$M$35,MATCH($A78,'2. Plot &amp; Core Log'!$B$6:$B$35,0)),""))</f>
        <v/>
      </c>
      <c r="H78" s="26" t="str">
        <f aca="false">IF($A78="","",IFERROR(INDEX('2. Plot &amp; Core Log'!$S$6:$S$35,MATCH($A78,'2. Plot &amp; Core Log'!$B$6:$B$35,0)),""))</f>
        <v/>
      </c>
      <c r="I78" s="16" t="str">
        <f aca="false">IF(OR($C78="",$G78=""),"",$C78*$G78)</f>
        <v/>
      </c>
      <c r="J78" s="16" t="str">
        <f aca="false">IF(OR($D78="",$G78=""),"",$D78*$G78)</f>
        <v/>
      </c>
      <c r="K78" s="16" t="str">
        <f aca="false">IF(OR($F78="",$H78=""),"",PI()*(($H78/2)^2)*$F78)</f>
        <v/>
      </c>
      <c r="L78" s="27"/>
      <c r="M78" s="27"/>
      <c r="N78" s="27"/>
      <c r="O78" s="27"/>
      <c r="P78" s="16" t="str">
        <f aca="false">IF(OR($L78="",$M78="",$L78=0),"",(($L78-$M78)/$L78)*100)</f>
        <v/>
      </c>
      <c r="Q78" s="15" t="str">
        <f aca="false">IF(OR($M78="",$K78="",$K78=0),"",$M78/$K78)</f>
        <v/>
      </c>
      <c r="R78" s="15" t="str">
        <f aca="false">IF(OR($N78="",$O78=""),"",IF(UPPER($O78)="OC",$N78,IF(UPPER($O78)="LOI",IF(OR(LOI_INTERCEPT="",LOI_SLOPE=""),"",IF(LOI_INTERCEPT+LOI_SLOPE*$N78&lt;0,"",LOI_INTERCEPT+LOI_SLOPE*$N78)),"")))</f>
        <v/>
      </c>
      <c r="S78" s="18" t="str">
        <f aca="false">IF($R78="","",$R78*10)</f>
        <v/>
      </c>
      <c r="T78" s="28" t="str">
        <f aca="false">IF(OR($Q78="",$R78=""),"",$Q78*$R78/100)</f>
        <v/>
      </c>
      <c r="U78" s="29" t="str">
        <f aca="false">IF(OR($T78="",$F78=""),"",$T78*$F78)</f>
        <v/>
      </c>
      <c r="V78" s="15" t="str">
        <f aca="false">IF($U78="","",$U78*10)</f>
        <v/>
      </c>
      <c r="W78" s="15" t="str">
        <f aca="false">IF(OR($V78="",$I78="",$J78="",$J78&lt;=$I78),"",$V78*MAX(0,MIN($J78,15)-MAX($I78,0))/($J78-$I78))</f>
        <v/>
      </c>
      <c r="X78" s="15" t="str">
        <f aca="false">IF(OR($V78="",$I78="",$J78="",$J78&lt;=$I78),"",$V78*MAX(0,MIN($J78,30)-MAX($I78,15))/($J78-$I78))</f>
        <v/>
      </c>
      <c r="Y78" s="15" t="str">
        <f aca="false">IF(OR($V78="",$I78="",$J78="",$J78&lt;=$I78),"",$V78*MAX(0,MIN($J78,50)-MAX($I78,30))/($J78-$I78))</f>
        <v/>
      </c>
      <c r="Z78" s="15" t="str">
        <f aca="false">IF(OR($V78="",$I78="",$J78="",$J78&lt;=$I78),"",$V78*MAX(0,MIN($J78,100)-MAX($I78,50))/($J78-$I78))</f>
        <v/>
      </c>
      <c r="AA78" s="16" t="str">
        <f aca="false">IF($A78="","",IF(OR($C78="",$D78="",$D78&lt;=$C78),"CHECK: depths missing, or bottom not below top",IF(COUNTIFS($A$6:$A$205,$A78,$C$6:$C$205,$C78)&gt;1,"DUPLICATE slice",IF(COUNTIFS($A$6:$A$205,$A78,$C$6:$C$205,"&lt;"&amp;$D78,$D$6:$D$205,"&gt;"&amp;$C78)&gt;1,"OVERLAP with another slice",IF(AND($C78&gt;0,COUNTIFS($A$6:$A$205,$A78,$D$6:$D$205,$C78)=0),"GAP above this slice",IF(OR($G78="",$H78=""),"CHECK: Core ID not in Core Log, or its compaction / diameter missing",IF(AND(IF(COUNTIFS('2. Plot &amp; Core Log'!$B$6:$B$35,$A78,'2. Plot &amp; Core Log'!$L$6:$L$35,"&gt;0")=0,"",SUMIFS('2. Plot &amp; Core Log'!$L$6:$L$35,'2. Plot &amp; Core Log'!$B$6:$B$35,$A78))&lt;&gt;"",$D78&gt;IF(COUNTIFS('2. Plot &amp; Core Log'!$B$6:$B$35,$A78,'2. Plot &amp; Core Log'!$L$6:$L$35,"&gt;0")=0,"",SUMIFS('2. Plot &amp; Core Log'!$L$6:$L$35,'2. Plot &amp; Core Log'!$B$6:$B$35,$A78))),"CHECK: slice deeper than the core length on Sheet 2",IF(OR($M78="",$N78="",$O78=""),"AWAITING LAB (dry weight, carbon value or type)",IF(AND(UPPER($O78)&lt;&gt;"OC",UPPER($O78)&lt;&gt;"LOI"),IF(UPPER($O78)="TC","TC is not organic carbon — ask the lab for OC or IC","CHECK: type must be OC, TC or LOI"),IF($R78="",IF(AND(LOI_INTERCEPT&lt;&gt;"",LOI_SLOPE&lt;&gt;""),"CHECK: LOI below the range of the conversion equation (OC would be &lt; 0)","CHECK: LOI conversion not set (Instructions tab)"),IF(OR($Q78&lt;=0,$Q78&gt;2.65,$R78&gt;50),"CHECK: bulk density outside 0–2.65 g/cm3 or OC &gt; 50%","OK")))))))))))</f>
        <v/>
      </c>
    </row>
    <row r="79" customFormat="false" ht="15.75" hidden="false" customHeight="true" outlineLevel="0" collapsed="false">
      <c r="A79" s="14"/>
      <c r="B79" s="14"/>
      <c r="C79" s="24"/>
      <c r="D79" s="24"/>
      <c r="E79" s="14"/>
      <c r="F79" s="16" t="str">
        <f aca="false">IF(OR($C79="",$D79=""),"",$D79-$C79)</f>
        <v/>
      </c>
      <c r="G79" s="25" t="str">
        <f aca="false">IF($A79="","",IFERROR(INDEX('2. Plot &amp; Core Log'!$M$6:$M$35,MATCH($A79,'2. Plot &amp; Core Log'!$B$6:$B$35,0)),""))</f>
        <v/>
      </c>
      <c r="H79" s="26" t="str">
        <f aca="false">IF($A79="","",IFERROR(INDEX('2. Plot &amp; Core Log'!$S$6:$S$35,MATCH($A79,'2. Plot &amp; Core Log'!$B$6:$B$35,0)),""))</f>
        <v/>
      </c>
      <c r="I79" s="16" t="str">
        <f aca="false">IF(OR($C79="",$G79=""),"",$C79*$G79)</f>
        <v/>
      </c>
      <c r="J79" s="16" t="str">
        <f aca="false">IF(OR($D79="",$G79=""),"",$D79*$G79)</f>
        <v/>
      </c>
      <c r="K79" s="16" t="str">
        <f aca="false">IF(OR($F79="",$H79=""),"",PI()*(($H79/2)^2)*$F79)</f>
        <v/>
      </c>
      <c r="L79" s="27"/>
      <c r="M79" s="27"/>
      <c r="N79" s="27"/>
      <c r="O79" s="27"/>
      <c r="P79" s="16" t="str">
        <f aca="false">IF(OR($L79="",$M79="",$L79=0),"",(($L79-$M79)/$L79)*100)</f>
        <v/>
      </c>
      <c r="Q79" s="15" t="str">
        <f aca="false">IF(OR($M79="",$K79="",$K79=0),"",$M79/$K79)</f>
        <v/>
      </c>
      <c r="R79" s="15" t="str">
        <f aca="false">IF(OR($N79="",$O79=""),"",IF(UPPER($O79)="OC",$N79,IF(UPPER($O79)="LOI",IF(OR(LOI_INTERCEPT="",LOI_SLOPE=""),"",IF(LOI_INTERCEPT+LOI_SLOPE*$N79&lt;0,"",LOI_INTERCEPT+LOI_SLOPE*$N79)),"")))</f>
        <v/>
      </c>
      <c r="S79" s="18" t="str">
        <f aca="false">IF($R79="","",$R79*10)</f>
        <v/>
      </c>
      <c r="T79" s="28" t="str">
        <f aca="false">IF(OR($Q79="",$R79=""),"",$Q79*$R79/100)</f>
        <v/>
      </c>
      <c r="U79" s="29" t="str">
        <f aca="false">IF(OR($T79="",$F79=""),"",$T79*$F79)</f>
        <v/>
      </c>
      <c r="V79" s="15" t="str">
        <f aca="false">IF($U79="","",$U79*10)</f>
        <v/>
      </c>
      <c r="W79" s="15" t="str">
        <f aca="false">IF(OR($V79="",$I79="",$J79="",$J79&lt;=$I79),"",$V79*MAX(0,MIN($J79,15)-MAX($I79,0))/($J79-$I79))</f>
        <v/>
      </c>
      <c r="X79" s="15" t="str">
        <f aca="false">IF(OR($V79="",$I79="",$J79="",$J79&lt;=$I79),"",$V79*MAX(0,MIN($J79,30)-MAX($I79,15))/($J79-$I79))</f>
        <v/>
      </c>
      <c r="Y79" s="15" t="str">
        <f aca="false">IF(OR($V79="",$I79="",$J79="",$J79&lt;=$I79),"",$V79*MAX(0,MIN($J79,50)-MAX($I79,30))/($J79-$I79))</f>
        <v/>
      </c>
      <c r="Z79" s="15" t="str">
        <f aca="false">IF(OR($V79="",$I79="",$J79="",$J79&lt;=$I79),"",$V79*MAX(0,MIN($J79,100)-MAX($I79,50))/($J79-$I79))</f>
        <v/>
      </c>
      <c r="AA79" s="16" t="str">
        <f aca="false">IF($A79="","",IF(OR($C79="",$D79="",$D79&lt;=$C79),"CHECK: depths missing, or bottom not below top",IF(COUNTIFS($A$6:$A$205,$A79,$C$6:$C$205,$C79)&gt;1,"DUPLICATE slice",IF(COUNTIFS($A$6:$A$205,$A79,$C$6:$C$205,"&lt;"&amp;$D79,$D$6:$D$205,"&gt;"&amp;$C79)&gt;1,"OVERLAP with another slice",IF(AND($C79&gt;0,COUNTIFS($A$6:$A$205,$A79,$D$6:$D$205,$C79)=0),"GAP above this slice",IF(OR($G79="",$H79=""),"CHECK: Core ID not in Core Log, or its compaction / diameter missing",IF(AND(IF(COUNTIFS('2. Plot &amp; Core Log'!$B$6:$B$35,$A79,'2. Plot &amp; Core Log'!$L$6:$L$35,"&gt;0")=0,"",SUMIFS('2. Plot &amp; Core Log'!$L$6:$L$35,'2. Plot &amp; Core Log'!$B$6:$B$35,$A79))&lt;&gt;"",$D79&gt;IF(COUNTIFS('2. Plot &amp; Core Log'!$B$6:$B$35,$A79,'2. Plot &amp; Core Log'!$L$6:$L$35,"&gt;0")=0,"",SUMIFS('2. Plot &amp; Core Log'!$L$6:$L$35,'2. Plot &amp; Core Log'!$B$6:$B$35,$A79))),"CHECK: slice deeper than the core length on Sheet 2",IF(OR($M79="",$N79="",$O79=""),"AWAITING LAB (dry weight, carbon value or type)",IF(AND(UPPER($O79)&lt;&gt;"OC",UPPER($O79)&lt;&gt;"LOI"),IF(UPPER($O79)="TC","TC is not organic carbon — ask the lab for OC or IC","CHECK: type must be OC, TC or LOI"),IF($R79="",IF(AND(LOI_INTERCEPT&lt;&gt;"",LOI_SLOPE&lt;&gt;""),"CHECK: LOI below the range of the conversion equation (OC would be &lt; 0)","CHECK: LOI conversion not set (Instructions tab)"),IF(OR($Q79&lt;=0,$Q79&gt;2.65,$R79&gt;50),"CHECK: bulk density outside 0–2.65 g/cm3 or OC &gt; 50%","OK")))))))))))</f>
        <v/>
      </c>
    </row>
    <row r="80" customFormat="false" ht="15.75" hidden="false" customHeight="true" outlineLevel="0" collapsed="false">
      <c r="A80" s="14"/>
      <c r="B80" s="14"/>
      <c r="C80" s="24"/>
      <c r="D80" s="24"/>
      <c r="E80" s="14"/>
      <c r="F80" s="16" t="str">
        <f aca="false">IF(OR($C80="",$D80=""),"",$D80-$C80)</f>
        <v/>
      </c>
      <c r="G80" s="25" t="str">
        <f aca="false">IF($A80="","",IFERROR(INDEX('2. Plot &amp; Core Log'!$M$6:$M$35,MATCH($A80,'2. Plot &amp; Core Log'!$B$6:$B$35,0)),""))</f>
        <v/>
      </c>
      <c r="H80" s="26" t="str">
        <f aca="false">IF($A80="","",IFERROR(INDEX('2. Plot &amp; Core Log'!$S$6:$S$35,MATCH($A80,'2. Plot &amp; Core Log'!$B$6:$B$35,0)),""))</f>
        <v/>
      </c>
      <c r="I80" s="16" t="str">
        <f aca="false">IF(OR($C80="",$G80=""),"",$C80*$G80)</f>
        <v/>
      </c>
      <c r="J80" s="16" t="str">
        <f aca="false">IF(OR($D80="",$G80=""),"",$D80*$G80)</f>
        <v/>
      </c>
      <c r="K80" s="16" t="str">
        <f aca="false">IF(OR($F80="",$H80=""),"",PI()*(($H80/2)^2)*$F80)</f>
        <v/>
      </c>
      <c r="L80" s="27"/>
      <c r="M80" s="27"/>
      <c r="N80" s="27"/>
      <c r="O80" s="27"/>
      <c r="P80" s="16" t="str">
        <f aca="false">IF(OR($L80="",$M80="",$L80=0),"",(($L80-$M80)/$L80)*100)</f>
        <v/>
      </c>
      <c r="Q80" s="15" t="str">
        <f aca="false">IF(OR($M80="",$K80="",$K80=0),"",$M80/$K80)</f>
        <v/>
      </c>
      <c r="R80" s="15" t="str">
        <f aca="false">IF(OR($N80="",$O80=""),"",IF(UPPER($O80)="OC",$N80,IF(UPPER($O80)="LOI",IF(OR(LOI_INTERCEPT="",LOI_SLOPE=""),"",IF(LOI_INTERCEPT+LOI_SLOPE*$N80&lt;0,"",LOI_INTERCEPT+LOI_SLOPE*$N80)),"")))</f>
        <v/>
      </c>
      <c r="S80" s="18" t="str">
        <f aca="false">IF($R80="","",$R80*10)</f>
        <v/>
      </c>
      <c r="T80" s="28" t="str">
        <f aca="false">IF(OR($Q80="",$R80=""),"",$Q80*$R80/100)</f>
        <v/>
      </c>
      <c r="U80" s="29" t="str">
        <f aca="false">IF(OR($T80="",$F80=""),"",$T80*$F80)</f>
        <v/>
      </c>
      <c r="V80" s="15" t="str">
        <f aca="false">IF($U80="","",$U80*10)</f>
        <v/>
      </c>
      <c r="W80" s="15" t="str">
        <f aca="false">IF(OR($V80="",$I80="",$J80="",$J80&lt;=$I80),"",$V80*MAX(0,MIN($J80,15)-MAX($I80,0))/($J80-$I80))</f>
        <v/>
      </c>
      <c r="X80" s="15" t="str">
        <f aca="false">IF(OR($V80="",$I80="",$J80="",$J80&lt;=$I80),"",$V80*MAX(0,MIN($J80,30)-MAX($I80,15))/($J80-$I80))</f>
        <v/>
      </c>
      <c r="Y80" s="15" t="str">
        <f aca="false">IF(OR($V80="",$I80="",$J80="",$J80&lt;=$I80),"",$V80*MAX(0,MIN($J80,50)-MAX($I80,30))/($J80-$I80))</f>
        <v/>
      </c>
      <c r="Z80" s="15" t="str">
        <f aca="false">IF(OR($V80="",$I80="",$J80="",$J80&lt;=$I80),"",$V80*MAX(0,MIN($J80,100)-MAX($I80,50))/($J80-$I80))</f>
        <v/>
      </c>
      <c r="AA80" s="16" t="str">
        <f aca="false">IF($A80="","",IF(OR($C80="",$D80="",$D80&lt;=$C80),"CHECK: depths missing, or bottom not below top",IF(COUNTIFS($A$6:$A$205,$A80,$C$6:$C$205,$C80)&gt;1,"DUPLICATE slice",IF(COUNTIFS($A$6:$A$205,$A80,$C$6:$C$205,"&lt;"&amp;$D80,$D$6:$D$205,"&gt;"&amp;$C80)&gt;1,"OVERLAP with another slice",IF(AND($C80&gt;0,COUNTIFS($A$6:$A$205,$A80,$D$6:$D$205,$C80)=0),"GAP above this slice",IF(OR($G80="",$H80=""),"CHECK: Core ID not in Core Log, or its compaction / diameter missing",IF(AND(IF(COUNTIFS('2. Plot &amp; Core Log'!$B$6:$B$35,$A80,'2. Plot &amp; Core Log'!$L$6:$L$35,"&gt;0")=0,"",SUMIFS('2. Plot &amp; Core Log'!$L$6:$L$35,'2. Plot &amp; Core Log'!$B$6:$B$35,$A80))&lt;&gt;"",$D80&gt;IF(COUNTIFS('2. Plot &amp; Core Log'!$B$6:$B$35,$A80,'2. Plot &amp; Core Log'!$L$6:$L$35,"&gt;0")=0,"",SUMIFS('2. Plot &amp; Core Log'!$L$6:$L$35,'2. Plot &amp; Core Log'!$B$6:$B$35,$A80))),"CHECK: slice deeper than the core length on Sheet 2",IF(OR($M80="",$N80="",$O80=""),"AWAITING LAB (dry weight, carbon value or type)",IF(AND(UPPER($O80)&lt;&gt;"OC",UPPER($O80)&lt;&gt;"LOI"),IF(UPPER($O80)="TC","TC is not organic carbon — ask the lab for OC or IC","CHECK: type must be OC, TC or LOI"),IF($R80="",IF(AND(LOI_INTERCEPT&lt;&gt;"",LOI_SLOPE&lt;&gt;""),"CHECK: LOI below the range of the conversion equation (OC would be &lt; 0)","CHECK: LOI conversion not set (Instructions tab)"),IF(OR($Q80&lt;=0,$Q80&gt;2.65,$R80&gt;50),"CHECK: bulk density outside 0–2.65 g/cm3 or OC &gt; 50%","OK")))))))))))</f>
        <v/>
      </c>
    </row>
    <row r="81" customFormat="false" ht="15.75" hidden="false" customHeight="true" outlineLevel="0" collapsed="false">
      <c r="A81" s="14"/>
      <c r="B81" s="14"/>
      <c r="C81" s="24"/>
      <c r="D81" s="24"/>
      <c r="E81" s="14"/>
      <c r="F81" s="16" t="str">
        <f aca="false">IF(OR($C81="",$D81=""),"",$D81-$C81)</f>
        <v/>
      </c>
      <c r="G81" s="25" t="str">
        <f aca="false">IF($A81="","",IFERROR(INDEX('2. Plot &amp; Core Log'!$M$6:$M$35,MATCH($A81,'2. Plot &amp; Core Log'!$B$6:$B$35,0)),""))</f>
        <v/>
      </c>
      <c r="H81" s="26" t="str">
        <f aca="false">IF($A81="","",IFERROR(INDEX('2. Plot &amp; Core Log'!$S$6:$S$35,MATCH($A81,'2. Plot &amp; Core Log'!$B$6:$B$35,0)),""))</f>
        <v/>
      </c>
      <c r="I81" s="16" t="str">
        <f aca="false">IF(OR($C81="",$G81=""),"",$C81*$G81)</f>
        <v/>
      </c>
      <c r="J81" s="16" t="str">
        <f aca="false">IF(OR($D81="",$G81=""),"",$D81*$G81)</f>
        <v/>
      </c>
      <c r="K81" s="16" t="str">
        <f aca="false">IF(OR($F81="",$H81=""),"",PI()*(($H81/2)^2)*$F81)</f>
        <v/>
      </c>
      <c r="L81" s="27"/>
      <c r="M81" s="27"/>
      <c r="N81" s="27"/>
      <c r="O81" s="27"/>
      <c r="P81" s="16" t="str">
        <f aca="false">IF(OR($L81="",$M81="",$L81=0),"",(($L81-$M81)/$L81)*100)</f>
        <v/>
      </c>
      <c r="Q81" s="15" t="str">
        <f aca="false">IF(OR($M81="",$K81="",$K81=0),"",$M81/$K81)</f>
        <v/>
      </c>
      <c r="R81" s="15" t="str">
        <f aca="false">IF(OR($N81="",$O81=""),"",IF(UPPER($O81)="OC",$N81,IF(UPPER($O81)="LOI",IF(OR(LOI_INTERCEPT="",LOI_SLOPE=""),"",IF(LOI_INTERCEPT+LOI_SLOPE*$N81&lt;0,"",LOI_INTERCEPT+LOI_SLOPE*$N81)),"")))</f>
        <v/>
      </c>
      <c r="S81" s="18" t="str">
        <f aca="false">IF($R81="","",$R81*10)</f>
        <v/>
      </c>
      <c r="T81" s="28" t="str">
        <f aca="false">IF(OR($Q81="",$R81=""),"",$Q81*$R81/100)</f>
        <v/>
      </c>
      <c r="U81" s="29" t="str">
        <f aca="false">IF(OR($T81="",$F81=""),"",$T81*$F81)</f>
        <v/>
      </c>
      <c r="V81" s="15" t="str">
        <f aca="false">IF($U81="","",$U81*10)</f>
        <v/>
      </c>
      <c r="W81" s="15" t="str">
        <f aca="false">IF(OR($V81="",$I81="",$J81="",$J81&lt;=$I81),"",$V81*MAX(0,MIN($J81,15)-MAX($I81,0))/($J81-$I81))</f>
        <v/>
      </c>
      <c r="X81" s="15" t="str">
        <f aca="false">IF(OR($V81="",$I81="",$J81="",$J81&lt;=$I81),"",$V81*MAX(0,MIN($J81,30)-MAX($I81,15))/($J81-$I81))</f>
        <v/>
      </c>
      <c r="Y81" s="15" t="str">
        <f aca="false">IF(OR($V81="",$I81="",$J81="",$J81&lt;=$I81),"",$V81*MAX(0,MIN($J81,50)-MAX($I81,30))/($J81-$I81))</f>
        <v/>
      </c>
      <c r="Z81" s="15" t="str">
        <f aca="false">IF(OR($V81="",$I81="",$J81="",$J81&lt;=$I81),"",$V81*MAX(0,MIN($J81,100)-MAX($I81,50))/($J81-$I81))</f>
        <v/>
      </c>
      <c r="AA81" s="16" t="str">
        <f aca="false">IF($A81="","",IF(OR($C81="",$D81="",$D81&lt;=$C81),"CHECK: depths missing, or bottom not below top",IF(COUNTIFS($A$6:$A$205,$A81,$C$6:$C$205,$C81)&gt;1,"DUPLICATE slice",IF(COUNTIFS($A$6:$A$205,$A81,$C$6:$C$205,"&lt;"&amp;$D81,$D$6:$D$205,"&gt;"&amp;$C81)&gt;1,"OVERLAP with another slice",IF(AND($C81&gt;0,COUNTIFS($A$6:$A$205,$A81,$D$6:$D$205,$C81)=0),"GAP above this slice",IF(OR($G81="",$H81=""),"CHECK: Core ID not in Core Log, or its compaction / diameter missing",IF(AND(IF(COUNTIFS('2. Plot &amp; Core Log'!$B$6:$B$35,$A81,'2. Plot &amp; Core Log'!$L$6:$L$35,"&gt;0")=0,"",SUMIFS('2. Plot &amp; Core Log'!$L$6:$L$35,'2. Plot &amp; Core Log'!$B$6:$B$35,$A81))&lt;&gt;"",$D81&gt;IF(COUNTIFS('2. Plot &amp; Core Log'!$B$6:$B$35,$A81,'2. Plot &amp; Core Log'!$L$6:$L$35,"&gt;0")=0,"",SUMIFS('2. Plot &amp; Core Log'!$L$6:$L$35,'2. Plot &amp; Core Log'!$B$6:$B$35,$A81))),"CHECK: slice deeper than the core length on Sheet 2",IF(OR($M81="",$N81="",$O81=""),"AWAITING LAB (dry weight, carbon value or type)",IF(AND(UPPER($O81)&lt;&gt;"OC",UPPER($O81)&lt;&gt;"LOI"),IF(UPPER($O81)="TC","TC is not organic carbon — ask the lab for OC or IC","CHECK: type must be OC, TC or LOI"),IF($R81="",IF(AND(LOI_INTERCEPT&lt;&gt;"",LOI_SLOPE&lt;&gt;""),"CHECK: LOI below the range of the conversion equation (OC would be &lt; 0)","CHECK: LOI conversion not set (Instructions tab)"),IF(OR($Q81&lt;=0,$Q81&gt;2.65,$R81&gt;50),"CHECK: bulk density outside 0–2.65 g/cm3 or OC &gt; 50%","OK")))))))))))</f>
        <v/>
      </c>
    </row>
    <row r="82" customFormat="false" ht="15.75" hidden="false" customHeight="true" outlineLevel="0" collapsed="false">
      <c r="A82" s="14"/>
      <c r="B82" s="14"/>
      <c r="C82" s="24"/>
      <c r="D82" s="24"/>
      <c r="E82" s="14"/>
      <c r="F82" s="16" t="str">
        <f aca="false">IF(OR($C82="",$D82=""),"",$D82-$C82)</f>
        <v/>
      </c>
      <c r="G82" s="25" t="str">
        <f aca="false">IF($A82="","",IFERROR(INDEX('2. Plot &amp; Core Log'!$M$6:$M$35,MATCH($A82,'2. Plot &amp; Core Log'!$B$6:$B$35,0)),""))</f>
        <v/>
      </c>
      <c r="H82" s="26" t="str">
        <f aca="false">IF($A82="","",IFERROR(INDEX('2. Plot &amp; Core Log'!$S$6:$S$35,MATCH($A82,'2. Plot &amp; Core Log'!$B$6:$B$35,0)),""))</f>
        <v/>
      </c>
      <c r="I82" s="16" t="str">
        <f aca="false">IF(OR($C82="",$G82=""),"",$C82*$G82)</f>
        <v/>
      </c>
      <c r="J82" s="16" t="str">
        <f aca="false">IF(OR($D82="",$G82=""),"",$D82*$G82)</f>
        <v/>
      </c>
      <c r="K82" s="16" t="str">
        <f aca="false">IF(OR($F82="",$H82=""),"",PI()*(($H82/2)^2)*$F82)</f>
        <v/>
      </c>
      <c r="L82" s="27"/>
      <c r="M82" s="27"/>
      <c r="N82" s="27"/>
      <c r="O82" s="27"/>
      <c r="P82" s="16" t="str">
        <f aca="false">IF(OR($L82="",$M82="",$L82=0),"",(($L82-$M82)/$L82)*100)</f>
        <v/>
      </c>
      <c r="Q82" s="15" t="str">
        <f aca="false">IF(OR($M82="",$K82="",$K82=0),"",$M82/$K82)</f>
        <v/>
      </c>
      <c r="R82" s="15" t="str">
        <f aca="false">IF(OR($N82="",$O82=""),"",IF(UPPER($O82)="OC",$N82,IF(UPPER($O82)="LOI",IF(OR(LOI_INTERCEPT="",LOI_SLOPE=""),"",IF(LOI_INTERCEPT+LOI_SLOPE*$N82&lt;0,"",LOI_INTERCEPT+LOI_SLOPE*$N82)),"")))</f>
        <v/>
      </c>
      <c r="S82" s="18" t="str">
        <f aca="false">IF($R82="","",$R82*10)</f>
        <v/>
      </c>
      <c r="T82" s="28" t="str">
        <f aca="false">IF(OR($Q82="",$R82=""),"",$Q82*$R82/100)</f>
        <v/>
      </c>
      <c r="U82" s="29" t="str">
        <f aca="false">IF(OR($T82="",$F82=""),"",$T82*$F82)</f>
        <v/>
      </c>
      <c r="V82" s="15" t="str">
        <f aca="false">IF($U82="","",$U82*10)</f>
        <v/>
      </c>
      <c r="W82" s="15" t="str">
        <f aca="false">IF(OR($V82="",$I82="",$J82="",$J82&lt;=$I82),"",$V82*MAX(0,MIN($J82,15)-MAX($I82,0))/($J82-$I82))</f>
        <v/>
      </c>
      <c r="X82" s="15" t="str">
        <f aca="false">IF(OR($V82="",$I82="",$J82="",$J82&lt;=$I82),"",$V82*MAX(0,MIN($J82,30)-MAX($I82,15))/($J82-$I82))</f>
        <v/>
      </c>
      <c r="Y82" s="15" t="str">
        <f aca="false">IF(OR($V82="",$I82="",$J82="",$J82&lt;=$I82),"",$V82*MAX(0,MIN($J82,50)-MAX($I82,30))/($J82-$I82))</f>
        <v/>
      </c>
      <c r="Z82" s="15" t="str">
        <f aca="false">IF(OR($V82="",$I82="",$J82="",$J82&lt;=$I82),"",$V82*MAX(0,MIN($J82,100)-MAX($I82,50))/($J82-$I82))</f>
        <v/>
      </c>
      <c r="AA82" s="16" t="str">
        <f aca="false">IF($A82="","",IF(OR($C82="",$D82="",$D82&lt;=$C82),"CHECK: depths missing, or bottom not below top",IF(COUNTIFS($A$6:$A$205,$A82,$C$6:$C$205,$C82)&gt;1,"DUPLICATE slice",IF(COUNTIFS($A$6:$A$205,$A82,$C$6:$C$205,"&lt;"&amp;$D82,$D$6:$D$205,"&gt;"&amp;$C82)&gt;1,"OVERLAP with another slice",IF(AND($C82&gt;0,COUNTIFS($A$6:$A$205,$A82,$D$6:$D$205,$C82)=0),"GAP above this slice",IF(OR($G82="",$H82=""),"CHECK: Core ID not in Core Log, or its compaction / diameter missing",IF(AND(IF(COUNTIFS('2. Plot &amp; Core Log'!$B$6:$B$35,$A82,'2. Plot &amp; Core Log'!$L$6:$L$35,"&gt;0")=0,"",SUMIFS('2. Plot &amp; Core Log'!$L$6:$L$35,'2. Plot &amp; Core Log'!$B$6:$B$35,$A82))&lt;&gt;"",$D82&gt;IF(COUNTIFS('2. Plot &amp; Core Log'!$B$6:$B$35,$A82,'2. Plot &amp; Core Log'!$L$6:$L$35,"&gt;0")=0,"",SUMIFS('2. Plot &amp; Core Log'!$L$6:$L$35,'2. Plot &amp; Core Log'!$B$6:$B$35,$A82))),"CHECK: slice deeper than the core length on Sheet 2",IF(OR($M82="",$N82="",$O82=""),"AWAITING LAB (dry weight, carbon value or type)",IF(AND(UPPER($O82)&lt;&gt;"OC",UPPER($O82)&lt;&gt;"LOI"),IF(UPPER($O82)="TC","TC is not organic carbon — ask the lab for OC or IC","CHECK: type must be OC, TC or LOI"),IF($R82="",IF(AND(LOI_INTERCEPT&lt;&gt;"",LOI_SLOPE&lt;&gt;""),"CHECK: LOI below the range of the conversion equation (OC would be &lt; 0)","CHECK: LOI conversion not set (Instructions tab)"),IF(OR($Q82&lt;=0,$Q82&gt;2.65,$R82&gt;50),"CHECK: bulk density outside 0–2.65 g/cm3 or OC &gt; 50%","OK")))))))))))</f>
        <v/>
      </c>
    </row>
    <row r="83" customFormat="false" ht="15.75" hidden="false" customHeight="true" outlineLevel="0" collapsed="false">
      <c r="A83" s="14"/>
      <c r="B83" s="14"/>
      <c r="C83" s="24"/>
      <c r="D83" s="24"/>
      <c r="E83" s="14"/>
      <c r="F83" s="16" t="str">
        <f aca="false">IF(OR($C83="",$D83=""),"",$D83-$C83)</f>
        <v/>
      </c>
      <c r="G83" s="25" t="str">
        <f aca="false">IF($A83="","",IFERROR(INDEX('2. Plot &amp; Core Log'!$M$6:$M$35,MATCH($A83,'2. Plot &amp; Core Log'!$B$6:$B$35,0)),""))</f>
        <v/>
      </c>
      <c r="H83" s="26" t="str">
        <f aca="false">IF($A83="","",IFERROR(INDEX('2. Plot &amp; Core Log'!$S$6:$S$35,MATCH($A83,'2. Plot &amp; Core Log'!$B$6:$B$35,0)),""))</f>
        <v/>
      </c>
      <c r="I83" s="16" t="str">
        <f aca="false">IF(OR($C83="",$G83=""),"",$C83*$G83)</f>
        <v/>
      </c>
      <c r="J83" s="16" t="str">
        <f aca="false">IF(OR($D83="",$G83=""),"",$D83*$G83)</f>
        <v/>
      </c>
      <c r="K83" s="16" t="str">
        <f aca="false">IF(OR($F83="",$H83=""),"",PI()*(($H83/2)^2)*$F83)</f>
        <v/>
      </c>
      <c r="L83" s="27"/>
      <c r="M83" s="27"/>
      <c r="N83" s="27"/>
      <c r="O83" s="27"/>
      <c r="P83" s="16" t="str">
        <f aca="false">IF(OR($L83="",$M83="",$L83=0),"",(($L83-$M83)/$L83)*100)</f>
        <v/>
      </c>
      <c r="Q83" s="15" t="str">
        <f aca="false">IF(OR($M83="",$K83="",$K83=0),"",$M83/$K83)</f>
        <v/>
      </c>
      <c r="R83" s="15" t="str">
        <f aca="false">IF(OR($N83="",$O83=""),"",IF(UPPER($O83)="OC",$N83,IF(UPPER($O83)="LOI",IF(OR(LOI_INTERCEPT="",LOI_SLOPE=""),"",IF(LOI_INTERCEPT+LOI_SLOPE*$N83&lt;0,"",LOI_INTERCEPT+LOI_SLOPE*$N83)),"")))</f>
        <v/>
      </c>
      <c r="S83" s="18" t="str">
        <f aca="false">IF($R83="","",$R83*10)</f>
        <v/>
      </c>
      <c r="T83" s="28" t="str">
        <f aca="false">IF(OR($Q83="",$R83=""),"",$Q83*$R83/100)</f>
        <v/>
      </c>
      <c r="U83" s="29" t="str">
        <f aca="false">IF(OR($T83="",$F83=""),"",$T83*$F83)</f>
        <v/>
      </c>
      <c r="V83" s="15" t="str">
        <f aca="false">IF($U83="","",$U83*10)</f>
        <v/>
      </c>
      <c r="W83" s="15" t="str">
        <f aca="false">IF(OR($V83="",$I83="",$J83="",$J83&lt;=$I83),"",$V83*MAX(0,MIN($J83,15)-MAX($I83,0))/($J83-$I83))</f>
        <v/>
      </c>
      <c r="X83" s="15" t="str">
        <f aca="false">IF(OR($V83="",$I83="",$J83="",$J83&lt;=$I83),"",$V83*MAX(0,MIN($J83,30)-MAX($I83,15))/($J83-$I83))</f>
        <v/>
      </c>
      <c r="Y83" s="15" t="str">
        <f aca="false">IF(OR($V83="",$I83="",$J83="",$J83&lt;=$I83),"",$V83*MAX(0,MIN($J83,50)-MAX($I83,30))/($J83-$I83))</f>
        <v/>
      </c>
      <c r="Z83" s="15" t="str">
        <f aca="false">IF(OR($V83="",$I83="",$J83="",$J83&lt;=$I83),"",$V83*MAX(0,MIN($J83,100)-MAX($I83,50))/($J83-$I83))</f>
        <v/>
      </c>
      <c r="AA83" s="16" t="str">
        <f aca="false">IF($A83="","",IF(OR($C83="",$D83="",$D83&lt;=$C83),"CHECK: depths missing, or bottom not below top",IF(COUNTIFS($A$6:$A$205,$A83,$C$6:$C$205,$C83)&gt;1,"DUPLICATE slice",IF(COUNTIFS($A$6:$A$205,$A83,$C$6:$C$205,"&lt;"&amp;$D83,$D$6:$D$205,"&gt;"&amp;$C83)&gt;1,"OVERLAP with another slice",IF(AND($C83&gt;0,COUNTIFS($A$6:$A$205,$A83,$D$6:$D$205,$C83)=0),"GAP above this slice",IF(OR($G83="",$H83=""),"CHECK: Core ID not in Core Log, or its compaction / diameter missing",IF(AND(IF(COUNTIFS('2. Plot &amp; Core Log'!$B$6:$B$35,$A83,'2. Plot &amp; Core Log'!$L$6:$L$35,"&gt;0")=0,"",SUMIFS('2. Plot &amp; Core Log'!$L$6:$L$35,'2. Plot &amp; Core Log'!$B$6:$B$35,$A83))&lt;&gt;"",$D83&gt;IF(COUNTIFS('2. Plot &amp; Core Log'!$B$6:$B$35,$A83,'2. Plot &amp; Core Log'!$L$6:$L$35,"&gt;0")=0,"",SUMIFS('2. Plot &amp; Core Log'!$L$6:$L$35,'2. Plot &amp; Core Log'!$B$6:$B$35,$A83))),"CHECK: slice deeper than the core length on Sheet 2",IF(OR($M83="",$N83="",$O83=""),"AWAITING LAB (dry weight, carbon value or type)",IF(AND(UPPER($O83)&lt;&gt;"OC",UPPER($O83)&lt;&gt;"LOI"),IF(UPPER($O83)="TC","TC is not organic carbon — ask the lab for OC or IC","CHECK: type must be OC, TC or LOI"),IF($R83="",IF(AND(LOI_INTERCEPT&lt;&gt;"",LOI_SLOPE&lt;&gt;""),"CHECK: LOI below the range of the conversion equation (OC would be &lt; 0)","CHECK: LOI conversion not set (Instructions tab)"),IF(OR($Q83&lt;=0,$Q83&gt;2.65,$R83&gt;50),"CHECK: bulk density outside 0–2.65 g/cm3 or OC &gt; 50%","OK")))))))))))</f>
        <v/>
      </c>
    </row>
    <row r="84" customFormat="false" ht="15.75" hidden="false" customHeight="true" outlineLevel="0" collapsed="false">
      <c r="A84" s="14"/>
      <c r="B84" s="14"/>
      <c r="C84" s="24"/>
      <c r="D84" s="24"/>
      <c r="E84" s="14"/>
      <c r="F84" s="16" t="str">
        <f aca="false">IF(OR($C84="",$D84=""),"",$D84-$C84)</f>
        <v/>
      </c>
      <c r="G84" s="25" t="str">
        <f aca="false">IF($A84="","",IFERROR(INDEX('2. Plot &amp; Core Log'!$M$6:$M$35,MATCH($A84,'2. Plot &amp; Core Log'!$B$6:$B$35,0)),""))</f>
        <v/>
      </c>
      <c r="H84" s="26" t="str">
        <f aca="false">IF($A84="","",IFERROR(INDEX('2. Plot &amp; Core Log'!$S$6:$S$35,MATCH($A84,'2. Plot &amp; Core Log'!$B$6:$B$35,0)),""))</f>
        <v/>
      </c>
      <c r="I84" s="16" t="str">
        <f aca="false">IF(OR($C84="",$G84=""),"",$C84*$G84)</f>
        <v/>
      </c>
      <c r="J84" s="16" t="str">
        <f aca="false">IF(OR($D84="",$G84=""),"",$D84*$G84)</f>
        <v/>
      </c>
      <c r="K84" s="16" t="str">
        <f aca="false">IF(OR($F84="",$H84=""),"",PI()*(($H84/2)^2)*$F84)</f>
        <v/>
      </c>
      <c r="L84" s="27"/>
      <c r="M84" s="27"/>
      <c r="N84" s="27"/>
      <c r="O84" s="27"/>
      <c r="P84" s="16" t="str">
        <f aca="false">IF(OR($L84="",$M84="",$L84=0),"",(($L84-$M84)/$L84)*100)</f>
        <v/>
      </c>
      <c r="Q84" s="15" t="str">
        <f aca="false">IF(OR($M84="",$K84="",$K84=0),"",$M84/$K84)</f>
        <v/>
      </c>
      <c r="R84" s="15" t="str">
        <f aca="false">IF(OR($N84="",$O84=""),"",IF(UPPER($O84)="OC",$N84,IF(UPPER($O84)="LOI",IF(OR(LOI_INTERCEPT="",LOI_SLOPE=""),"",IF(LOI_INTERCEPT+LOI_SLOPE*$N84&lt;0,"",LOI_INTERCEPT+LOI_SLOPE*$N84)),"")))</f>
        <v/>
      </c>
      <c r="S84" s="18" t="str">
        <f aca="false">IF($R84="","",$R84*10)</f>
        <v/>
      </c>
      <c r="T84" s="28" t="str">
        <f aca="false">IF(OR($Q84="",$R84=""),"",$Q84*$R84/100)</f>
        <v/>
      </c>
      <c r="U84" s="29" t="str">
        <f aca="false">IF(OR($T84="",$F84=""),"",$T84*$F84)</f>
        <v/>
      </c>
      <c r="V84" s="15" t="str">
        <f aca="false">IF($U84="","",$U84*10)</f>
        <v/>
      </c>
      <c r="W84" s="15" t="str">
        <f aca="false">IF(OR($V84="",$I84="",$J84="",$J84&lt;=$I84),"",$V84*MAX(0,MIN($J84,15)-MAX($I84,0))/($J84-$I84))</f>
        <v/>
      </c>
      <c r="X84" s="15" t="str">
        <f aca="false">IF(OR($V84="",$I84="",$J84="",$J84&lt;=$I84),"",$V84*MAX(0,MIN($J84,30)-MAX($I84,15))/($J84-$I84))</f>
        <v/>
      </c>
      <c r="Y84" s="15" t="str">
        <f aca="false">IF(OR($V84="",$I84="",$J84="",$J84&lt;=$I84),"",$V84*MAX(0,MIN($J84,50)-MAX($I84,30))/($J84-$I84))</f>
        <v/>
      </c>
      <c r="Z84" s="15" t="str">
        <f aca="false">IF(OR($V84="",$I84="",$J84="",$J84&lt;=$I84),"",$V84*MAX(0,MIN($J84,100)-MAX($I84,50))/($J84-$I84))</f>
        <v/>
      </c>
      <c r="AA84" s="16" t="str">
        <f aca="false">IF($A84="","",IF(OR($C84="",$D84="",$D84&lt;=$C84),"CHECK: depths missing, or bottom not below top",IF(COUNTIFS($A$6:$A$205,$A84,$C$6:$C$205,$C84)&gt;1,"DUPLICATE slice",IF(COUNTIFS($A$6:$A$205,$A84,$C$6:$C$205,"&lt;"&amp;$D84,$D$6:$D$205,"&gt;"&amp;$C84)&gt;1,"OVERLAP with another slice",IF(AND($C84&gt;0,COUNTIFS($A$6:$A$205,$A84,$D$6:$D$205,$C84)=0),"GAP above this slice",IF(OR($G84="",$H84=""),"CHECK: Core ID not in Core Log, or its compaction / diameter missing",IF(AND(IF(COUNTIFS('2. Plot &amp; Core Log'!$B$6:$B$35,$A84,'2. Plot &amp; Core Log'!$L$6:$L$35,"&gt;0")=0,"",SUMIFS('2. Plot &amp; Core Log'!$L$6:$L$35,'2. Plot &amp; Core Log'!$B$6:$B$35,$A84))&lt;&gt;"",$D84&gt;IF(COUNTIFS('2. Plot &amp; Core Log'!$B$6:$B$35,$A84,'2. Plot &amp; Core Log'!$L$6:$L$35,"&gt;0")=0,"",SUMIFS('2. Plot &amp; Core Log'!$L$6:$L$35,'2. Plot &amp; Core Log'!$B$6:$B$35,$A84))),"CHECK: slice deeper than the core length on Sheet 2",IF(OR($M84="",$N84="",$O84=""),"AWAITING LAB (dry weight, carbon value or type)",IF(AND(UPPER($O84)&lt;&gt;"OC",UPPER($O84)&lt;&gt;"LOI"),IF(UPPER($O84)="TC","TC is not organic carbon — ask the lab for OC or IC","CHECK: type must be OC, TC or LOI"),IF($R84="",IF(AND(LOI_INTERCEPT&lt;&gt;"",LOI_SLOPE&lt;&gt;""),"CHECK: LOI below the range of the conversion equation (OC would be &lt; 0)","CHECK: LOI conversion not set (Instructions tab)"),IF(OR($Q84&lt;=0,$Q84&gt;2.65,$R84&gt;50),"CHECK: bulk density outside 0–2.65 g/cm3 or OC &gt; 50%","OK")))))))))))</f>
        <v/>
      </c>
    </row>
    <row r="85" customFormat="false" ht="15.75" hidden="false" customHeight="true" outlineLevel="0" collapsed="false">
      <c r="A85" s="14"/>
      <c r="B85" s="14"/>
      <c r="C85" s="24"/>
      <c r="D85" s="24"/>
      <c r="E85" s="14"/>
      <c r="F85" s="16" t="str">
        <f aca="false">IF(OR($C85="",$D85=""),"",$D85-$C85)</f>
        <v/>
      </c>
      <c r="G85" s="25" t="str">
        <f aca="false">IF($A85="","",IFERROR(INDEX('2. Plot &amp; Core Log'!$M$6:$M$35,MATCH($A85,'2. Plot &amp; Core Log'!$B$6:$B$35,0)),""))</f>
        <v/>
      </c>
      <c r="H85" s="26" t="str">
        <f aca="false">IF($A85="","",IFERROR(INDEX('2. Plot &amp; Core Log'!$S$6:$S$35,MATCH($A85,'2. Plot &amp; Core Log'!$B$6:$B$35,0)),""))</f>
        <v/>
      </c>
      <c r="I85" s="16" t="str">
        <f aca="false">IF(OR($C85="",$G85=""),"",$C85*$G85)</f>
        <v/>
      </c>
      <c r="J85" s="16" t="str">
        <f aca="false">IF(OR($D85="",$G85=""),"",$D85*$G85)</f>
        <v/>
      </c>
      <c r="K85" s="16" t="str">
        <f aca="false">IF(OR($F85="",$H85=""),"",PI()*(($H85/2)^2)*$F85)</f>
        <v/>
      </c>
      <c r="L85" s="27"/>
      <c r="M85" s="27"/>
      <c r="N85" s="27"/>
      <c r="O85" s="27"/>
      <c r="P85" s="16" t="str">
        <f aca="false">IF(OR($L85="",$M85="",$L85=0),"",(($L85-$M85)/$L85)*100)</f>
        <v/>
      </c>
      <c r="Q85" s="15" t="str">
        <f aca="false">IF(OR($M85="",$K85="",$K85=0),"",$M85/$K85)</f>
        <v/>
      </c>
      <c r="R85" s="15" t="str">
        <f aca="false">IF(OR($N85="",$O85=""),"",IF(UPPER($O85)="OC",$N85,IF(UPPER($O85)="LOI",IF(OR(LOI_INTERCEPT="",LOI_SLOPE=""),"",IF(LOI_INTERCEPT+LOI_SLOPE*$N85&lt;0,"",LOI_INTERCEPT+LOI_SLOPE*$N85)),"")))</f>
        <v/>
      </c>
      <c r="S85" s="18" t="str">
        <f aca="false">IF($R85="","",$R85*10)</f>
        <v/>
      </c>
      <c r="T85" s="28" t="str">
        <f aca="false">IF(OR($Q85="",$R85=""),"",$Q85*$R85/100)</f>
        <v/>
      </c>
      <c r="U85" s="29" t="str">
        <f aca="false">IF(OR($T85="",$F85=""),"",$T85*$F85)</f>
        <v/>
      </c>
      <c r="V85" s="15" t="str">
        <f aca="false">IF($U85="","",$U85*10)</f>
        <v/>
      </c>
      <c r="W85" s="15" t="str">
        <f aca="false">IF(OR($V85="",$I85="",$J85="",$J85&lt;=$I85),"",$V85*MAX(0,MIN($J85,15)-MAX($I85,0))/($J85-$I85))</f>
        <v/>
      </c>
      <c r="X85" s="15" t="str">
        <f aca="false">IF(OR($V85="",$I85="",$J85="",$J85&lt;=$I85),"",$V85*MAX(0,MIN($J85,30)-MAX($I85,15))/($J85-$I85))</f>
        <v/>
      </c>
      <c r="Y85" s="15" t="str">
        <f aca="false">IF(OR($V85="",$I85="",$J85="",$J85&lt;=$I85),"",$V85*MAX(0,MIN($J85,50)-MAX($I85,30))/($J85-$I85))</f>
        <v/>
      </c>
      <c r="Z85" s="15" t="str">
        <f aca="false">IF(OR($V85="",$I85="",$J85="",$J85&lt;=$I85),"",$V85*MAX(0,MIN($J85,100)-MAX($I85,50))/($J85-$I85))</f>
        <v/>
      </c>
      <c r="AA85" s="16" t="str">
        <f aca="false">IF($A85="","",IF(OR($C85="",$D85="",$D85&lt;=$C85),"CHECK: depths missing, or bottom not below top",IF(COUNTIFS($A$6:$A$205,$A85,$C$6:$C$205,$C85)&gt;1,"DUPLICATE slice",IF(COUNTIFS($A$6:$A$205,$A85,$C$6:$C$205,"&lt;"&amp;$D85,$D$6:$D$205,"&gt;"&amp;$C85)&gt;1,"OVERLAP with another slice",IF(AND($C85&gt;0,COUNTIFS($A$6:$A$205,$A85,$D$6:$D$205,$C85)=0),"GAP above this slice",IF(OR($G85="",$H85=""),"CHECK: Core ID not in Core Log, or its compaction / diameter missing",IF(AND(IF(COUNTIFS('2. Plot &amp; Core Log'!$B$6:$B$35,$A85,'2. Plot &amp; Core Log'!$L$6:$L$35,"&gt;0")=0,"",SUMIFS('2. Plot &amp; Core Log'!$L$6:$L$35,'2. Plot &amp; Core Log'!$B$6:$B$35,$A85))&lt;&gt;"",$D85&gt;IF(COUNTIFS('2. Plot &amp; Core Log'!$B$6:$B$35,$A85,'2. Plot &amp; Core Log'!$L$6:$L$35,"&gt;0")=0,"",SUMIFS('2. Plot &amp; Core Log'!$L$6:$L$35,'2. Plot &amp; Core Log'!$B$6:$B$35,$A85))),"CHECK: slice deeper than the core length on Sheet 2",IF(OR($M85="",$N85="",$O85=""),"AWAITING LAB (dry weight, carbon value or type)",IF(AND(UPPER($O85)&lt;&gt;"OC",UPPER($O85)&lt;&gt;"LOI"),IF(UPPER($O85)="TC","TC is not organic carbon — ask the lab for OC or IC","CHECK: type must be OC, TC or LOI"),IF($R85="",IF(AND(LOI_INTERCEPT&lt;&gt;"",LOI_SLOPE&lt;&gt;""),"CHECK: LOI below the range of the conversion equation (OC would be &lt; 0)","CHECK: LOI conversion not set (Instructions tab)"),IF(OR($Q85&lt;=0,$Q85&gt;2.65,$R85&gt;50),"CHECK: bulk density outside 0–2.65 g/cm3 or OC &gt; 50%","OK")))))))))))</f>
        <v/>
      </c>
    </row>
    <row r="86" customFormat="false" ht="15.75" hidden="false" customHeight="true" outlineLevel="0" collapsed="false">
      <c r="A86" s="14"/>
      <c r="B86" s="14"/>
      <c r="C86" s="24"/>
      <c r="D86" s="24"/>
      <c r="E86" s="14"/>
      <c r="F86" s="16" t="str">
        <f aca="false">IF(OR($C86="",$D86=""),"",$D86-$C86)</f>
        <v/>
      </c>
      <c r="G86" s="25" t="str">
        <f aca="false">IF($A86="","",IFERROR(INDEX('2. Plot &amp; Core Log'!$M$6:$M$35,MATCH($A86,'2. Plot &amp; Core Log'!$B$6:$B$35,0)),""))</f>
        <v/>
      </c>
      <c r="H86" s="26" t="str">
        <f aca="false">IF($A86="","",IFERROR(INDEX('2. Plot &amp; Core Log'!$S$6:$S$35,MATCH($A86,'2. Plot &amp; Core Log'!$B$6:$B$35,0)),""))</f>
        <v/>
      </c>
      <c r="I86" s="16" t="str">
        <f aca="false">IF(OR($C86="",$G86=""),"",$C86*$G86)</f>
        <v/>
      </c>
      <c r="J86" s="16" t="str">
        <f aca="false">IF(OR($D86="",$G86=""),"",$D86*$G86)</f>
        <v/>
      </c>
      <c r="K86" s="16" t="str">
        <f aca="false">IF(OR($F86="",$H86=""),"",PI()*(($H86/2)^2)*$F86)</f>
        <v/>
      </c>
      <c r="L86" s="27"/>
      <c r="M86" s="27"/>
      <c r="N86" s="27"/>
      <c r="O86" s="27"/>
      <c r="P86" s="16" t="str">
        <f aca="false">IF(OR($L86="",$M86="",$L86=0),"",(($L86-$M86)/$L86)*100)</f>
        <v/>
      </c>
      <c r="Q86" s="15" t="str">
        <f aca="false">IF(OR($M86="",$K86="",$K86=0),"",$M86/$K86)</f>
        <v/>
      </c>
      <c r="R86" s="15" t="str">
        <f aca="false">IF(OR($N86="",$O86=""),"",IF(UPPER($O86)="OC",$N86,IF(UPPER($O86)="LOI",IF(OR(LOI_INTERCEPT="",LOI_SLOPE=""),"",IF(LOI_INTERCEPT+LOI_SLOPE*$N86&lt;0,"",LOI_INTERCEPT+LOI_SLOPE*$N86)),"")))</f>
        <v/>
      </c>
      <c r="S86" s="18" t="str">
        <f aca="false">IF($R86="","",$R86*10)</f>
        <v/>
      </c>
      <c r="T86" s="28" t="str">
        <f aca="false">IF(OR($Q86="",$R86=""),"",$Q86*$R86/100)</f>
        <v/>
      </c>
      <c r="U86" s="29" t="str">
        <f aca="false">IF(OR($T86="",$F86=""),"",$T86*$F86)</f>
        <v/>
      </c>
      <c r="V86" s="15" t="str">
        <f aca="false">IF($U86="","",$U86*10)</f>
        <v/>
      </c>
      <c r="W86" s="15" t="str">
        <f aca="false">IF(OR($V86="",$I86="",$J86="",$J86&lt;=$I86),"",$V86*MAX(0,MIN($J86,15)-MAX($I86,0))/($J86-$I86))</f>
        <v/>
      </c>
      <c r="X86" s="15" t="str">
        <f aca="false">IF(OR($V86="",$I86="",$J86="",$J86&lt;=$I86),"",$V86*MAX(0,MIN($J86,30)-MAX($I86,15))/($J86-$I86))</f>
        <v/>
      </c>
      <c r="Y86" s="15" t="str">
        <f aca="false">IF(OR($V86="",$I86="",$J86="",$J86&lt;=$I86),"",$V86*MAX(0,MIN($J86,50)-MAX($I86,30))/($J86-$I86))</f>
        <v/>
      </c>
      <c r="Z86" s="15" t="str">
        <f aca="false">IF(OR($V86="",$I86="",$J86="",$J86&lt;=$I86),"",$V86*MAX(0,MIN($J86,100)-MAX($I86,50))/($J86-$I86))</f>
        <v/>
      </c>
      <c r="AA86" s="16" t="str">
        <f aca="false">IF($A86="","",IF(OR($C86="",$D86="",$D86&lt;=$C86),"CHECK: depths missing, or bottom not below top",IF(COUNTIFS($A$6:$A$205,$A86,$C$6:$C$205,$C86)&gt;1,"DUPLICATE slice",IF(COUNTIFS($A$6:$A$205,$A86,$C$6:$C$205,"&lt;"&amp;$D86,$D$6:$D$205,"&gt;"&amp;$C86)&gt;1,"OVERLAP with another slice",IF(AND($C86&gt;0,COUNTIFS($A$6:$A$205,$A86,$D$6:$D$205,$C86)=0),"GAP above this slice",IF(OR($G86="",$H86=""),"CHECK: Core ID not in Core Log, or its compaction / diameter missing",IF(AND(IF(COUNTIFS('2. Plot &amp; Core Log'!$B$6:$B$35,$A86,'2. Plot &amp; Core Log'!$L$6:$L$35,"&gt;0")=0,"",SUMIFS('2. Plot &amp; Core Log'!$L$6:$L$35,'2. Plot &amp; Core Log'!$B$6:$B$35,$A86))&lt;&gt;"",$D86&gt;IF(COUNTIFS('2. Plot &amp; Core Log'!$B$6:$B$35,$A86,'2. Plot &amp; Core Log'!$L$6:$L$35,"&gt;0")=0,"",SUMIFS('2. Plot &amp; Core Log'!$L$6:$L$35,'2. Plot &amp; Core Log'!$B$6:$B$35,$A86))),"CHECK: slice deeper than the core length on Sheet 2",IF(OR($M86="",$N86="",$O86=""),"AWAITING LAB (dry weight, carbon value or type)",IF(AND(UPPER($O86)&lt;&gt;"OC",UPPER($O86)&lt;&gt;"LOI"),IF(UPPER($O86)="TC","TC is not organic carbon — ask the lab for OC or IC","CHECK: type must be OC, TC or LOI"),IF($R86="",IF(AND(LOI_INTERCEPT&lt;&gt;"",LOI_SLOPE&lt;&gt;""),"CHECK: LOI below the range of the conversion equation (OC would be &lt; 0)","CHECK: LOI conversion not set (Instructions tab)"),IF(OR($Q86&lt;=0,$Q86&gt;2.65,$R86&gt;50),"CHECK: bulk density outside 0–2.65 g/cm3 or OC &gt; 50%","OK")))))))))))</f>
        <v/>
      </c>
    </row>
    <row r="87" customFormat="false" ht="15.75" hidden="false" customHeight="true" outlineLevel="0" collapsed="false">
      <c r="A87" s="14"/>
      <c r="B87" s="14"/>
      <c r="C87" s="24"/>
      <c r="D87" s="24"/>
      <c r="E87" s="14"/>
      <c r="F87" s="16" t="str">
        <f aca="false">IF(OR($C87="",$D87=""),"",$D87-$C87)</f>
        <v/>
      </c>
      <c r="G87" s="25" t="str">
        <f aca="false">IF($A87="","",IFERROR(INDEX('2. Plot &amp; Core Log'!$M$6:$M$35,MATCH($A87,'2. Plot &amp; Core Log'!$B$6:$B$35,0)),""))</f>
        <v/>
      </c>
      <c r="H87" s="26" t="str">
        <f aca="false">IF($A87="","",IFERROR(INDEX('2. Plot &amp; Core Log'!$S$6:$S$35,MATCH($A87,'2. Plot &amp; Core Log'!$B$6:$B$35,0)),""))</f>
        <v/>
      </c>
      <c r="I87" s="16" t="str">
        <f aca="false">IF(OR($C87="",$G87=""),"",$C87*$G87)</f>
        <v/>
      </c>
      <c r="J87" s="16" t="str">
        <f aca="false">IF(OR($D87="",$G87=""),"",$D87*$G87)</f>
        <v/>
      </c>
      <c r="K87" s="16" t="str">
        <f aca="false">IF(OR($F87="",$H87=""),"",PI()*(($H87/2)^2)*$F87)</f>
        <v/>
      </c>
      <c r="L87" s="27"/>
      <c r="M87" s="27"/>
      <c r="N87" s="27"/>
      <c r="O87" s="27"/>
      <c r="P87" s="16" t="str">
        <f aca="false">IF(OR($L87="",$M87="",$L87=0),"",(($L87-$M87)/$L87)*100)</f>
        <v/>
      </c>
      <c r="Q87" s="15" t="str">
        <f aca="false">IF(OR($M87="",$K87="",$K87=0),"",$M87/$K87)</f>
        <v/>
      </c>
      <c r="R87" s="15" t="str">
        <f aca="false">IF(OR($N87="",$O87=""),"",IF(UPPER($O87)="OC",$N87,IF(UPPER($O87)="LOI",IF(OR(LOI_INTERCEPT="",LOI_SLOPE=""),"",IF(LOI_INTERCEPT+LOI_SLOPE*$N87&lt;0,"",LOI_INTERCEPT+LOI_SLOPE*$N87)),"")))</f>
        <v/>
      </c>
      <c r="S87" s="18" t="str">
        <f aca="false">IF($R87="","",$R87*10)</f>
        <v/>
      </c>
      <c r="T87" s="28" t="str">
        <f aca="false">IF(OR($Q87="",$R87=""),"",$Q87*$R87/100)</f>
        <v/>
      </c>
      <c r="U87" s="29" t="str">
        <f aca="false">IF(OR($T87="",$F87=""),"",$T87*$F87)</f>
        <v/>
      </c>
      <c r="V87" s="15" t="str">
        <f aca="false">IF($U87="","",$U87*10)</f>
        <v/>
      </c>
      <c r="W87" s="15" t="str">
        <f aca="false">IF(OR($V87="",$I87="",$J87="",$J87&lt;=$I87),"",$V87*MAX(0,MIN($J87,15)-MAX($I87,0))/($J87-$I87))</f>
        <v/>
      </c>
      <c r="X87" s="15" t="str">
        <f aca="false">IF(OR($V87="",$I87="",$J87="",$J87&lt;=$I87),"",$V87*MAX(0,MIN($J87,30)-MAX($I87,15))/($J87-$I87))</f>
        <v/>
      </c>
      <c r="Y87" s="15" t="str">
        <f aca="false">IF(OR($V87="",$I87="",$J87="",$J87&lt;=$I87),"",$V87*MAX(0,MIN($J87,50)-MAX($I87,30))/($J87-$I87))</f>
        <v/>
      </c>
      <c r="Z87" s="15" t="str">
        <f aca="false">IF(OR($V87="",$I87="",$J87="",$J87&lt;=$I87),"",$V87*MAX(0,MIN($J87,100)-MAX($I87,50))/($J87-$I87))</f>
        <v/>
      </c>
      <c r="AA87" s="16" t="str">
        <f aca="false">IF($A87="","",IF(OR($C87="",$D87="",$D87&lt;=$C87),"CHECK: depths missing, or bottom not below top",IF(COUNTIFS($A$6:$A$205,$A87,$C$6:$C$205,$C87)&gt;1,"DUPLICATE slice",IF(COUNTIFS($A$6:$A$205,$A87,$C$6:$C$205,"&lt;"&amp;$D87,$D$6:$D$205,"&gt;"&amp;$C87)&gt;1,"OVERLAP with another slice",IF(AND($C87&gt;0,COUNTIFS($A$6:$A$205,$A87,$D$6:$D$205,$C87)=0),"GAP above this slice",IF(OR($G87="",$H87=""),"CHECK: Core ID not in Core Log, or its compaction / diameter missing",IF(AND(IF(COUNTIFS('2. Plot &amp; Core Log'!$B$6:$B$35,$A87,'2. Plot &amp; Core Log'!$L$6:$L$35,"&gt;0")=0,"",SUMIFS('2. Plot &amp; Core Log'!$L$6:$L$35,'2. Plot &amp; Core Log'!$B$6:$B$35,$A87))&lt;&gt;"",$D87&gt;IF(COUNTIFS('2. Plot &amp; Core Log'!$B$6:$B$35,$A87,'2. Plot &amp; Core Log'!$L$6:$L$35,"&gt;0")=0,"",SUMIFS('2. Plot &amp; Core Log'!$L$6:$L$35,'2. Plot &amp; Core Log'!$B$6:$B$35,$A87))),"CHECK: slice deeper than the core length on Sheet 2",IF(OR($M87="",$N87="",$O87=""),"AWAITING LAB (dry weight, carbon value or type)",IF(AND(UPPER($O87)&lt;&gt;"OC",UPPER($O87)&lt;&gt;"LOI"),IF(UPPER($O87)="TC","TC is not organic carbon — ask the lab for OC or IC","CHECK: type must be OC, TC or LOI"),IF($R87="",IF(AND(LOI_INTERCEPT&lt;&gt;"",LOI_SLOPE&lt;&gt;""),"CHECK: LOI below the range of the conversion equation (OC would be &lt; 0)","CHECK: LOI conversion not set (Instructions tab)"),IF(OR($Q87&lt;=0,$Q87&gt;2.65,$R87&gt;50),"CHECK: bulk density outside 0–2.65 g/cm3 or OC &gt; 50%","OK")))))))))))</f>
        <v/>
      </c>
    </row>
    <row r="88" customFormat="false" ht="15.75" hidden="false" customHeight="true" outlineLevel="0" collapsed="false">
      <c r="A88" s="14"/>
      <c r="B88" s="14"/>
      <c r="C88" s="24"/>
      <c r="D88" s="24"/>
      <c r="E88" s="14"/>
      <c r="F88" s="16" t="str">
        <f aca="false">IF(OR($C88="",$D88=""),"",$D88-$C88)</f>
        <v/>
      </c>
      <c r="G88" s="25" t="str">
        <f aca="false">IF($A88="","",IFERROR(INDEX('2. Plot &amp; Core Log'!$M$6:$M$35,MATCH($A88,'2. Plot &amp; Core Log'!$B$6:$B$35,0)),""))</f>
        <v/>
      </c>
      <c r="H88" s="26" t="str">
        <f aca="false">IF($A88="","",IFERROR(INDEX('2. Plot &amp; Core Log'!$S$6:$S$35,MATCH($A88,'2. Plot &amp; Core Log'!$B$6:$B$35,0)),""))</f>
        <v/>
      </c>
      <c r="I88" s="16" t="str">
        <f aca="false">IF(OR($C88="",$G88=""),"",$C88*$G88)</f>
        <v/>
      </c>
      <c r="J88" s="16" t="str">
        <f aca="false">IF(OR($D88="",$G88=""),"",$D88*$G88)</f>
        <v/>
      </c>
      <c r="K88" s="16" t="str">
        <f aca="false">IF(OR($F88="",$H88=""),"",PI()*(($H88/2)^2)*$F88)</f>
        <v/>
      </c>
      <c r="L88" s="27"/>
      <c r="M88" s="27"/>
      <c r="N88" s="27"/>
      <c r="O88" s="27"/>
      <c r="P88" s="16" t="str">
        <f aca="false">IF(OR($L88="",$M88="",$L88=0),"",(($L88-$M88)/$L88)*100)</f>
        <v/>
      </c>
      <c r="Q88" s="15" t="str">
        <f aca="false">IF(OR($M88="",$K88="",$K88=0),"",$M88/$K88)</f>
        <v/>
      </c>
      <c r="R88" s="15" t="str">
        <f aca="false">IF(OR($N88="",$O88=""),"",IF(UPPER($O88)="OC",$N88,IF(UPPER($O88)="LOI",IF(OR(LOI_INTERCEPT="",LOI_SLOPE=""),"",IF(LOI_INTERCEPT+LOI_SLOPE*$N88&lt;0,"",LOI_INTERCEPT+LOI_SLOPE*$N88)),"")))</f>
        <v/>
      </c>
      <c r="S88" s="18" t="str">
        <f aca="false">IF($R88="","",$R88*10)</f>
        <v/>
      </c>
      <c r="T88" s="28" t="str">
        <f aca="false">IF(OR($Q88="",$R88=""),"",$Q88*$R88/100)</f>
        <v/>
      </c>
      <c r="U88" s="29" t="str">
        <f aca="false">IF(OR($T88="",$F88=""),"",$T88*$F88)</f>
        <v/>
      </c>
      <c r="V88" s="15" t="str">
        <f aca="false">IF($U88="","",$U88*10)</f>
        <v/>
      </c>
      <c r="W88" s="15" t="str">
        <f aca="false">IF(OR($V88="",$I88="",$J88="",$J88&lt;=$I88),"",$V88*MAX(0,MIN($J88,15)-MAX($I88,0))/($J88-$I88))</f>
        <v/>
      </c>
      <c r="X88" s="15" t="str">
        <f aca="false">IF(OR($V88="",$I88="",$J88="",$J88&lt;=$I88),"",$V88*MAX(0,MIN($J88,30)-MAX($I88,15))/($J88-$I88))</f>
        <v/>
      </c>
      <c r="Y88" s="15" t="str">
        <f aca="false">IF(OR($V88="",$I88="",$J88="",$J88&lt;=$I88),"",$V88*MAX(0,MIN($J88,50)-MAX($I88,30))/($J88-$I88))</f>
        <v/>
      </c>
      <c r="Z88" s="15" t="str">
        <f aca="false">IF(OR($V88="",$I88="",$J88="",$J88&lt;=$I88),"",$V88*MAX(0,MIN($J88,100)-MAX($I88,50))/($J88-$I88))</f>
        <v/>
      </c>
      <c r="AA88" s="16" t="str">
        <f aca="false">IF($A88="","",IF(OR($C88="",$D88="",$D88&lt;=$C88),"CHECK: depths missing, or bottom not below top",IF(COUNTIFS($A$6:$A$205,$A88,$C$6:$C$205,$C88)&gt;1,"DUPLICATE slice",IF(COUNTIFS($A$6:$A$205,$A88,$C$6:$C$205,"&lt;"&amp;$D88,$D$6:$D$205,"&gt;"&amp;$C88)&gt;1,"OVERLAP with another slice",IF(AND($C88&gt;0,COUNTIFS($A$6:$A$205,$A88,$D$6:$D$205,$C88)=0),"GAP above this slice",IF(OR($G88="",$H88=""),"CHECK: Core ID not in Core Log, or its compaction / diameter missing",IF(AND(IF(COUNTIFS('2. Plot &amp; Core Log'!$B$6:$B$35,$A88,'2. Plot &amp; Core Log'!$L$6:$L$35,"&gt;0")=0,"",SUMIFS('2. Plot &amp; Core Log'!$L$6:$L$35,'2. Plot &amp; Core Log'!$B$6:$B$35,$A88))&lt;&gt;"",$D88&gt;IF(COUNTIFS('2. Plot &amp; Core Log'!$B$6:$B$35,$A88,'2. Plot &amp; Core Log'!$L$6:$L$35,"&gt;0")=0,"",SUMIFS('2. Plot &amp; Core Log'!$L$6:$L$35,'2. Plot &amp; Core Log'!$B$6:$B$35,$A88))),"CHECK: slice deeper than the core length on Sheet 2",IF(OR($M88="",$N88="",$O88=""),"AWAITING LAB (dry weight, carbon value or type)",IF(AND(UPPER($O88)&lt;&gt;"OC",UPPER($O88)&lt;&gt;"LOI"),IF(UPPER($O88)="TC","TC is not organic carbon — ask the lab for OC or IC","CHECK: type must be OC, TC or LOI"),IF($R88="",IF(AND(LOI_INTERCEPT&lt;&gt;"",LOI_SLOPE&lt;&gt;""),"CHECK: LOI below the range of the conversion equation (OC would be &lt; 0)","CHECK: LOI conversion not set (Instructions tab)"),IF(OR($Q88&lt;=0,$Q88&gt;2.65,$R88&gt;50),"CHECK: bulk density outside 0–2.65 g/cm3 or OC &gt; 50%","OK")))))))))))</f>
        <v/>
      </c>
    </row>
    <row r="89" customFormat="false" ht="15.75" hidden="false" customHeight="true" outlineLevel="0" collapsed="false">
      <c r="A89" s="14"/>
      <c r="B89" s="14"/>
      <c r="C89" s="24"/>
      <c r="D89" s="24"/>
      <c r="E89" s="14"/>
      <c r="F89" s="16" t="str">
        <f aca="false">IF(OR($C89="",$D89=""),"",$D89-$C89)</f>
        <v/>
      </c>
      <c r="G89" s="25" t="str">
        <f aca="false">IF($A89="","",IFERROR(INDEX('2. Plot &amp; Core Log'!$M$6:$M$35,MATCH($A89,'2. Plot &amp; Core Log'!$B$6:$B$35,0)),""))</f>
        <v/>
      </c>
      <c r="H89" s="26" t="str">
        <f aca="false">IF($A89="","",IFERROR(INDEX('2. Plot &amp; Core Log'!$S$6:$S$35,MATCH($A89,'2. Plot &amp; Core Log'!$B$6:$B$35,0)),""))</f>
        <v/>
      </c>
      <c r="I89" s="16" t="str">
        <f aca="false">IF(OR($C89="",$G89=""),"",$C89*$G89)</f>
        <v/>
      </c>
      <c r="J89" s="16" t="str">
        <f aca="false">IF(OR($D89="",$G89=""),"",$D89*$G89)</f>
        <v/>
      </c>
      <c r="K89" s="16" t="str">
        <f aca="false">IF(OR($F89="",$H89=""),"",PI()*(($H89/2)^2)*$F89)</f>
        <v/>
      </c>
      <c r="L89" s="27"/>
      <c r="M89" s="27"/>
      <c r="N89" s="27"/>
      <c r="O89" s="27"/>
      <c r="P89" s="16" t="str">
        <f aca="false">IF(OR($L89="",$M89="",$L89=0),"",(($L89-$M89)/$L89)*100)</f>
        <v/>
      </c>
      <c r="Q89" s="15" t="str">
        <f aca="false">IF(OR($M89="",$K89="",$K89=0),"",$M89/$K89)</f>
        <v/>
      </c>
      <c r="R89" s="15" t="str">
        <f aca="false">IF(OR($N89="",$O89=""),"",IF(UPPER($O89)="OC",$N89,IF(UPPER($O89)="LOI",IF(OR(LOI_INTERCEPT="",LOI_SLOPE=""),"",IF(LOI_INTERCEPT+LOI_SLOPE*$N89&lt;0,"",LOI_INTERCEPT+LOI_SLOPE*$N89)),"")))</f>
        <v/>
      </c>
      <c r="S89" s="18" t="str">
        <f aca="false">IF($R89="","",$R89*10)</f>
        <v/>
      </c>
      <c r="T89" s="28" t="str">
        <f aca="false">IF(OR($Q89="",$R89=""),"",$Q89*$R89/100)</f>
        <v/>
      </c>
      <c r="U89" s="29" t="str">
        <f aca="false">IF(OR($T89="",$F89=""),"",$T89*$F89)</f>
        <v/>
      </c>
      <c r="V89" s="15" t="str">
        <f aca="false">IF($U89="","",$U89*10)</f>
        <v/>
      </c>
      <c r="W89" s="15" t="str">
        <f aca="false">IF(OR($V89="",$I89="",$J89="",$J89&lt;=$I89),"",$V89*MAX(0,MIN($J89,15)-MAX($I89,0))/($J89-$I89))</f>
        <v/>
      </c>
      <c r="X89" s="15" t="str">
        <f aca="false">IF(OR($V89="",$I89="",$J89="",$J89&lt;=$I89),"",$V89*MAX(0,MIN($J89,30)-MAX($I89,15))/($J89-$I89))</f>
        <v/>
      </c>
      <c r="Y89" s="15" t="str">
        <f aca="false">IF(OR($V89="",$I89="",$J89="",$J89&lt;=$I89),"",$V89*MAX(0,MIN($J89,50)-MAX($I89,30))/($J89-$I89))</f>
        <v/>
      </c>
      <c r="Z89" s="15" t="str">
        <f aca="false">IF(OR($V89="",$I89="",$J89="",$J89&lt;=$I89),"",$V89*MAX(0,MIN($J89,100)-MAX($I89,50))/($J89-$I89))</f>
        <v/>
      </c>
      <c r="AA89" s="16" t="str">
        <f aca="false">IF($A89="","",IF(OR($C89="",$D89="",$D89&lt;=$C89),"CHECK: depths missing, or bottom not below top",IF(COUNTIFS($A$6:$A$205,$A89,$C$6:$C$205,$C89)&gt;1,"DUPLICATE slice",IF(COUNTIFS($A$6:$A$205,$A89,$C$6:$C$205,"&lt;"&amp;$D89,$D$6:$D$205,"&gt;"&amp;$C89)&gt;1,"OVERLAP with another slice",IF(AND($C89&gt;0,COUNTIFS($A$6:$A$205,$A89,$D$6:$D$205,$C89)=0),"GAP above this slice",IF(OR($G89="",$H89=""),"CHECK: Core ID not in Core Log, or its compaction / diameter missing",IF(AND(IF(COUNTIFS('2. Plot &amp; Core Log'!$B$6:$B$35,$A89,'2. Plot &amp; Core Log'!$L$6:$L$35,"&gt;0")=0,"",SUMIFS('2. Plot &amp; Core Log'!$L$6:$L$35,'2. Plot &amp; Core Log'!$B$6:$B$35,$A89))&lt;&gt;"",$D89&gt;IF(COUNTIFS('2. Plot &amp; Core Log'!$B$6:$B$35,$A89,'2. Plot &amp; Core Log'!$L$6:$L$35,"&gt;0")=0,"",SUMIFS('2. Plot &amp; Core Log'!$L$6:$L$35,'2. Plot &amp; Core Log'!$B$6:$B$35,$A89))),"CHECK: slice deeper than the core length on Sheet 2",IF(OR($M89="",$N89="",$O89=""),"AWAITING LAB (dry weight, carbon value or type)",IF(AND(UPPER($O89)&lt;&gt;"OC",UPPER($O89)&lt;&gt;"LOI"),IF(UPPER($O89)="TC","TC is not organic carbon — ask the lab for OC or IC","CHECK: type must be OC, TC or LOI"),IF($R89="",IF(AND(LOI_INTERCEPT&lt;&gt;"",LOI_SLOPE&lt;&gt;""),"CHECK: LOI below the range of the conversion equation (OC would be &lt; 0)","CHECK: LOI conversion not set (Instructions tab)"),IF(OR($Q89&lt;=0,$Q89&gt;2.65,$R89&gt;50),"CHECK: bulk density outside 0–2.65 g/cm3 or OC &gt; 50%","OK")))))))))))</f>
        <v/>
      </c>
    </row>
    <row r="90" customFormat="false" ht="15.75" hidden="false" customHeight="true" outlineLevel="0" collapsed="false">
      <c r="A90" s="14"/>
      <c r="B90" s="14"/>
      <c r="C90" s="24"/>
      <c r="D90" s="24"/>
      <c r="E90" s="14"/>
      <c r="F90" s="16" t="str">
        <f aca="false">IF(OR($C90="",$D90=""),"",$D90-$C90)</f>
        <v/>
      </c>
      <c r="G90" s="25" t="str">
        <f aca="false">IF($A90="","",IFERROR(INDEX('2. Plot &amp; Core Log'!$M$6:$M$35,MATCH($A90,'2. Plot &amp; Core Log'!$B$6:$B$35,0)),""))</f>
        <v/>
      </c>
      <c r="H90" s="26" t="str">
        <f aca="false">IF($A90="","",IFERROR(INDEX('2. Plot &amp; Core Log'!$S$6:$S$35,MATCH($A90,'2. Plot &amp; Core Log'!$B$6:$B$35,0)),""))</f>
        <v/>
      </c>
      <c r="I90" s="16" t="str">
        <f aca="false">IF(OR($C90="",$G90=""),"",$C90*$G90)</f>
        <v/>
      </c>
      <c r="J90" s="16" t="str">
        <f aca="false">IF(OR($D90="",$G90=""),"",$D90*$G90)</f>
        <v/>
      </c>
      <c r="K90" s="16" t="str">
        <f aca="false">IF(OR($F90="",$H90=""),"",PI()*(($H90/2)^2)*$F90)</f>
        <v/>
      </c>
      <c r="L90" s="27"/>
      <c r="M90" s="27"/>
      <c r="N90" s="27"/>
      <c r="O90" s="27"/>
      <c r="P90" s="16" t="str">
        <f aca="false">IF(OR($L90="",$M90="",$L90=0),"",(($L90-$M90)/$L90)*100)</f>
        <v/>
      </c>
      <c r="Q90" s="15" t="str">
        <f aca="false">IF(OR($M90="",$K90="",$K90=0),"",$M90/$K90)</f>
        <v/>
      </c>
      <c r="R90" s="15" t="str">
        <f aca="false">IF(OR($N90="",$O90=""),"",IF(UPPER($O90)="OC",$N90,IF(UPPER($O90)="LOI",IF(OR(LOI_INTERCEPT="",LOI_SLOPE=""),"",IF(LOI_INTERCEPT+LOI_SLOPE*$N90&lt;0,"",LOI_INTERCEPT+LOI_SLOPE*$N90)),"")))</f>
        <v/>
      </c>
      <c r="S90" s="18" t="str">
        <f aca="false">IF($R90="","",$R90*10)</f>
        <v/>
      </c>
      <c r="T90" s="28" t="str">
        <f aca="false">IF(OR($Q90="",$R90=""),"",$Q90*$R90/100)</f>
        <v/>
      </c>
      <c r="U90" s="29" t="str">
        <f aca="false">IF(OR($T90="",$F90=""),"",$T90*$F90)</f>
        <v/>
      </c>
      <c r="V90" s="15" t="str">
        <f aca="false">IF($U90="","",$U90*10)</f>
        <v/>
      </c>
      <c r="W90" s="15" t="str">
        <f aca="false">IF(OR($V90="",$I90="",$J90="",$J90&lt;=$I90),"",$V90*MAX(0,MIN($J90,15)-MAX($I90,0))/($J90-$I90))</f>
        <v/>
      </c>
      <c r="X90" s="15" t="str">
        <f aca="false">IF(OR($V90="",$I90="",$J90="",$J90&lt;=$I90),"",$V90*MAX(0,MIN($J90,30)-MAX($I90,15))/($J90-$I90))</f>
        <v/>
      </c>
      <c r="Y90" s="15" t="str">
        <f aca="false">IF(OR($V90="",$I90="",$J90="",$J90&lt;=$I90),"",$V90*MAX(0,MIN($J90,50)-MAX($I90,30))/($J90-$I90))</f>
        <v/>
      </c>
      <c r="Z90" s="15" t="str">
        <f aca="false">IF(OR($V90="",$I90="",$J90="",$J90&lt;=$I90),"",$V90*MAX(0,MIN($J90,100)-MAX($I90,50))/($J90-$I90))</f>
        <v/>
      </c>
      <c r="AA90" s="16" t="str">
        <f aca="false">IF($A90="","",IF(OR($C90="",$D90="",$D90&lt;=$C90),"CHECK: depths missing, or bottom not below top",IF(COUNTIFS($A$6:$A$205,$A90,$C$6:$C$205,$C90)&gt;1,"DUPLICATE slice",IF(COUNTIFS($A$6:$A$205,$A90,$C$6:$C$205,"&lt;"&amp;$D90,$D$6:$D$205,"&gt;"&amp;$C90)&gt;1,"OVERLAP with another slice",IF(AND($C90&gt;0,COUNTIFS($A$6:$A$205,$A90,$D$6:$D$205,$C90)=0),"GAP above this slice",IF(OR($G90="",$H90=""),"CHECK: Core ID not in Core Log, or its compaction / diameter missing",IF(AND(IF(COUNTIFS('2. Plot &amp; Core Log'!$B$6:$B$35,$A90,'2. Plot &amp; Core Log'!$L$6:$L$35,"&gt;0")=0,"",SUMIFS('2. Plot &amp; Core Log'!$L$6:$L$35,'2. Plot &amp; Core Log'!$B$6:$B$35,$A90))&lt;&gt;"",$D90&gt;IF(COUNTIFS('2. Plot &amp; Core Log'!$B$6:$B$35,$A90,'2. Plot &amp; Core Log'!$L$6:$L$35,"&gt;0")=0,"",SUMIFS('2. Plot &amp; Core Log'!$L$6:$L$35,'2. Plot &amp; Core Log'!$B$6:$B$35,$A90))),"CHECK: slice deeper than the core length on Sheet 2",IF(OR($M90="",$N90="",$O90=""),"AWAITING LAB (dry weight, carbon value or type)",IF(AND(UPPER($O90)&lt;&gt;"OC",UPPER($O90)&lt;&gt;"LOI"),IF(UPPER($O90)="TC","TC is not organic carbon — ask the lab for OC or IC","CHECK: type must be OC, TC or LOI"),IF($R90="",IF(AND(LOI_INTERCEPT&lt;&gt;"",LOI_SLOPE&lt;&gt;""),"CHECK: LOI below the range of the conversion equation (OC would be &lt; 0)","CHECK: LOI conversion not set (Instructions tab)"),IF(OR($Q90&lt;=0,$Q90&gt;2.65,$R90&gt;50),"CHECK: bulk density outside 0–2.65 g/cm3 or OC &gt; 50%","OK")))))))))))</f>
        <v/>
      </c>
    </row>
    <row r="91" customFormat="false" ht="15.75" hidden="false" customHeight="true" outlineLevel="0" collapsed="false">
      <c r="A91" s="14"/>
      <c r="B91" s="14"/>
      <c r="C91" s="24"/>
      <c r="D91" s="24"/>
      <c r="E91" s="14"/>
      <c r="F91" s="16" t="str">
        <f aca="false">IF(OR($C91="",$D91=""),"",$D91-$C91)</f>
        <v/>
      </c>
      <c r="G91" s="25" t="str">
        <f aca="false">IF($A91="","",IFERROR(INDEX('2. Plot &amp; Core Log'!$M$6:$M$35,MATCH($A91,'2. Plot &amp; Core Log'!$B$6:$B$35,0)),""))</f>
        <v/>
      </c>
      <c r="H91" s="26" t="str">
        <f aca="false">IF($A91="","",IFERROR(INDEX('2. Plot &amp; Core Log'!$S$6:$S$35,MATCH($A91,'2. Plot &amp; Core Log'!$B$6:$B$35,0)),""))</f>
        <v/>
      </c>
      <c r="I91" s="16" t="str">
        <f aca="false">IF(OR($C91="",$G91=""),"",$C91*$G91)</f>
        <v/>
      </c>
      <c r="J91" s="16" t="str">
        <f aca="false">IF(OR($D91="",$G91=""),"",$D91*$G91)</f>
        <v/>
      </c>
      <c r="K91" s="16" t="str">
        <f aca="false">IF(OR($F91="",$H91=""),"",PI()*(($H91/2)^2)*$F91)</f>
        <v/>
      </c>
      <c r="L91" s="27"/>
      <c r="M91" s="27"/>
      <c r="N91" s="27"/>
      <c r="O91" s="27"/>
      <c r="P91" s="16" t="str">
        <f aca="false">IF(OR($L91="",$M91="",$L91=0),"",(($L91-$M91)/$L91)*100)</f>
        <v/>
      </c>
      <c r="Q91" s="15" t="str">
        <f aca="false">IF(OR($M91="",$K91="",$K91=0),"",$M91/$K91)</f>
        <v/>
      </c>
      <c r="R91" s="15" t="str">
        <f aca="false">IF(OR($N91="",$O91=""),"",IF(UPPER($O91)="OC",$N91,IF(UPPER($O91)="LOI",IF(OR(LOI_INTERCEPT="",LOI_SLOPE=""),"",IF(LOI_INTERCEPT+LOI_SLOPE*$N91&lt;0,"",LOI_INTERCEPT+LOI_SLOPE*$N91)),"")))</f>
        <v/>
      </c>
      <c r="S91" s="18" t="str">
        <f aca="false">IF($R91="","",$R91*10)</f>
        <v/>
      </c>
      <c r="T91" s="28" t="str">
        <f aca="false">IF(OR($Q91="",$R91=""),"",$Q91*$R91/100)</f>
        <v/>
      </c>
      <c r="U91" s="29" t="str">
        <f aca="false">IF(OR($T91="",$F91=""),"",$T91*$F91)</f>
        <v/>
      </c>
      <c r="V91" s="15" t="str">
        <f aca="false">IF($U91="","",$U91*10)</f>
        <v/>
      </c>
      <c r="W91" s="15" t="str">
        <f aca="false">IF(OR($V91="",$I91="",$J91="",$J91&lt;=$I91),"",$V91*MAX(0,MIN($J91,15)-MAX($I91,0))/($J91-$I91))</f>
        <v/>
      </c>
      <c r="X91" s="15" t="str">
        <f aca="false">IF(OR($V91="",$I91="",$J91="",$J91&lt;=$I91),"",$V91*MAX(0,MIN($J91,30)-MAX($I91,15))/($J91-$I91))</f>
        <v/>
      </c>
      <c r="Y91" s="15" t="str">
        <f aca="false">IF(OR($V91="",$I91="",$J91="",$J91&lt;=$I91),"",$V91*MAX(0,MIN($J91,50)-MAX($I91,30))/($J91-$I91))</f>
        <v/>
      </c>
      <c r="Z91" s="15" t="str">
        <f aca="false">IF(OR($V91="",$I91="",$J91="",$J91&lt;=$I91),"",$V91*MAX(0,MIN($J91,100)-MAX($I91,50))/($J91-$I91))</f>
        <v/>
      </c>
      <c r="AA91" s="16" t="str">
        <f aca="false">IF($A91="","",IF(OR($C91="",$D91="",$D91&lt;=$C91),"CHECK: depths missing, or bottom not below top",IF(COUNTIFS($A$6:$A$205,$A91,$C$6:$C$205,$C91)&gt;1,"DUPLICATE slice",IF(COUNTIFS($A$6:$A$205,$A91,$C$6:$C$205,"&lt;"&amp;$D91,$D$6:$D$205,"&gt;"&amp;$C91)&gt;1,"OVERLAP with another slice",IF(AND($C91&gt;0,COUNTIFS($A$6:$A$205,$A91,$D$6:$D$205,$C91)=0),"GAP above this slice",IF(OR($G91="",$H91=""),"CHECK: Core ID not in Core Log, or its compaction / diameter missing",IF(AND(IF(COUNTIFS('2. Plot &amp; Core Log'!$B$6:$B$35,$A91,'2. Plot &amp; Core Log'!$L$6:$L$35,"&gt;0")=0,"",SUMIFS('2. Plot &amp; Core Log'!$L$6:$L$35,'2. Plot &amp; Core Log'!$B$6:$B$35,$A91))&lt;&gt;"",$D91&gt;IF(COUNTIFS('2. Plot &amp; Core Log'!$B$6:$B$35,$A91,'2. Plot &amp; Core Log'!$L$6:$L$35,"&gt;0")=0,"",SUMIFS('2. Plot &amp; Core Log'!$L$6:$L$35,'2. Plot &amp; Core Log'!$B$6:$B$35,$A91))),"CHECK: slice deeper than the core length on Sheet 2",IF(OR($M91="",$N91="",$O91=""),"AWAITING LAB (dry weight, carbon value or type)",IF(AND(UPPER($O91)&lt;&gt;"OC",UPPER($O91)&lt;&gt;"LOI"),IF(UPPER($O91)="TC","TC is not organic carbon — ask the lab for OC or IC","CHECK: type must be OC, TC or LOI"),IF($R91="",IF(AND(LOI_INTERCEPT&lt;&gt;"",LOI_SLOPE&lt;&gt;""),"CHECK: LOI below the range of the conversion equation (OC would be &lt; 0)","CHECK: LOI conversion not set (Instructions tab)"),IF(OR($Q91&lt;=0,$Q91&gt;2.65,$R91&gt;50),"CHECK: bulk density outside 0–2.65 g/cm3 or OC &gt; 50%","OK")))))))))))</f>
        <v/>
      </c>
    </row>
    <row r="92" customFormat="false" ht="15.75" hidden="false" customHeight="true" outlineLevel="0" collapsed="false">
      <c r="A92" s="14"/>
      <c r="B92" s="14"/>
      <c r="C92" s="24"/>
      <c r="D92" s="24"/>
      <c r="E92" s="14"/>
      <c r="F92" s="16" t="str">
        <f aca="false">IF(OR($C92="",$D92=""),"",$D92-$C92)</f>
        <v/>
      </c>
      <c r="G92" s="25" t="str">
        <f aca="false">IF($A92="","",IFERROR(INDEX('2. Plot &amp; Core Log'!$M$6:$M$35,MATCH($A92,'2. Plot &amp; Core Log'!$B$6:$B$35,0)),""))</f>
        <v/>
      </c>
      <c r="H92" s="26" t="str">
        <f aca="false">IF($A92="","",IFERROR(INDEX('2. Plot &amp; Core Log'!$S$6:$S$35,MATCH($A92,'2. Plot &amp; Core Log'!$B$6:$B$35,0)),""))</f>
        <v/>
      </c>
      <c r="I92" s="16" t="str">
        <f aca="false">IF(OR($C92="",$G92=""),"",$C92*$G92)</f>
        <v/>
      </c>
      <c r="J92" s="16" t="str">
        <f aca="false">IF(OR($D92="",$G92=""),"",$D92*$G92)</f>
        <v/>
      </c>
      <c r="K92" s="16" t="str">
        <f aca="false">IF(OR($F92="",$H92=""),"",PI()*(($H92/2)^2)*$F92)</f>
        <v/>
      </c>
      <c r="L92" s="27"/>
      <c r="M92" s="27"/>
      <c r="N92" s="27"/>
      <c r="O92" s="27"/>
      <c r="P92" s="16" t="str">
        <f aca="false">IF(OR($L92="",$M92="",$L92=0),"",(($L92-$M92)/$L92)*100)</f>
        <v/>
      </c>
      <c r="Q92" s="15" t="str">
        <f aca="false">IF(OR($M92="",$K92="",$K92=0),"",$M92/$K92)</f>
        <v/>
      </c>
      <c r="R92" s="15" t="str">
        <f aca="false">IF(OR($N92="",$O92=""),"",IF(UPPER($O92)="OC",$N92,IF(UPPER($O92)="LOI",IF(OR(LOI_INTERCEPT="",LOI_SLOPE=""),"",IF(LOI_INTERCEPT+LOI_SLOPE*$N92&lt;0,"",LOI_INTERCEPT+LOI_SLOPE*$N92)),"")))</f>
        <v/>
      </c>
      <c r="S92" s="18" t="str">
        <f aca="false">IF($R92="","",$R92*10)</f>
        <v/>
      </c>
      <c r="T92" s="28" t="str">
        <f aca="false">IF(OR($Q92="",$R92=""),"",$Q92*$R92/100)</f>
        <v/>
      </c>
      <c r="U92" s="29" t="str">
        <f aca="false">IF(OR($T92="",$F92=""),"",$T92*$F92)</f>
        <v/>
      </c>
      <c r="V92" s="15" t="str">
        <f aca="false">IF($U92="","",$U92*10)</f>
        <v/>
      </c>
      <c r="W92" s="15" t="str">
        <f aca="false">IF(OR($V92="",$I92="",$J92="",$J92&lt;=$I92),"",$V92*MAX(0,MIN($J92,15)-MAX($I92,0))/($J92-$I92))</f>
        <v/>
      </c>
      <c r="X92" s="15" t="str">
        <f aca="false">IF(OR($V92="",$I92="",$J92="",$J92&lt;=$I92),"",$V92*MAX(0,MIN($J92,30)-MAX($I92,15))/($J92-$I92))</f>
        <v/>
      </c>
      <c r="Y92" s="15" t="str">
        <f aca="false">IF(OR($V92="",$I92="",$J92="",$J92&lt;=$I92),"",$V92*MAX(0,MIN($J92,50)-MAX($I92,30))/($J92-$I92))</f>
        <v/>
      </c>
      <c r="Z92" s="15" t="str">
        <f aca="false">IF(OR($V92="",$I92="",$J92="",$J92&lt;=$I92),"",$V92*MAX(0,MIN($J92,100)-MAX($I92,50))/($J92-$I92))</f>
        <v/>
      </c>
      <c r="AA92" s="16" t="str">
        <f aca="false">IF($A92="","",IF(OR($C92="",$D92="",$D92&lt;=$C92),"CHECK: depths missing, or bottom not below top",IF(COUNTIFS($A$6:$A$205,$A92,$C$6:$C$205,$C92)&gt;1,"DUPLICATE slice",IF(COUNTIFS($A$6:$A$205,$A92,$C$6:$C$205,"&lt;"&amp;$D92,$D$6:$D$205,"&gt;"&amp;$C92)&gt;1,"OVERLAP with another slice",IF(AND($C92&gt;0,COUNTIFS($A$6:$A$205,$A92,$D$6:$D$205,$C92)=0),"GAP above this slice",IF(OR($G92="",$H92=""),"CHECK: Core ID not in Core Log, or its compaction / diameter missing",IF(AND(IF(COUNTIFS('2. Plot &amp; Core Log'!$B$6:$B$35,$A92,'2. Plot &amp; Core Log'!$L$6:$L$35,"&gt;0")=0,"",SUMIFS('2. Plot &amp; Core Log'!$L$6:$L$35,'2. Plot &amp; Core Log'!$B$6:$B$35,$A92))&lt;&gt;"",$D92&gt;IF(COUNTIFS('2. Plot &amp; Core Log'!$B$6:$B$35,$A92,'2. Plot &amp; Core Log'!$L$6:$L$35,"&gt;0")=0,"",SUMIFS('2. Plot &amp; Core Log'!$L$6:$L$35,'2. Plot &amp; Core Log'!$B$6:$B$35,$A92))),"CHECK: slice deeper than the core length on Sheet 2",IF(OR($M92="",$N92="",$O92=""),"AWAITING LAB (dry weight, carbon value or type)",IF(AND(UPPER($O92)&lt;&gt;"OC",UPPER($O92)&lt;&gt;"LOI"),IF(UPPER($O92)="TC","TC is not organic carbon — ask the lab for OC or IC","CHECK: type must be OC, TC or LOI"),IF($R92="",IF(AND(LOI_INTERCEPT&lt;&gt;"",LOI_SLOPE&lt;&gt;""),"CHECK: LOI below the range of the conversion equation (OC would be &lt; 0)","CHECK: LOI conversion not set (Instructions tab)"),IF(OR($Q92&lt;=0,$Q92&gt;2.65,$R92&gt;50),"CHECK: bulk density outside 0–2.65 g/cm3 or OC &gt; 50%","OK")))))))))))</f>
        <v/>
      </c>
    </row>
    <row r="93" customFormat="false" ht="15.75" hidden="false" customHeight="true" outlineLevel="0" collapsed="false">
      <c r="A93" s="14"/>
      <c r="B93" s="14"/>
      <c r="C93" s="24"/>
      <c r="D93" s="24"/>
      <c r="E93" s="14"/>
      <c r="F93" s="16" t="str">
        <f aca="false">IF(OR($C93="",$D93=""),"",$D93-$C93)</f>
        <v/>
      </c>
      <c r="G93" s="25" t="str">
        <f aca="false">IF($A93="","",IFERROR(INDEX('2. Plot &amp; Core Log'!$M$6:$M$35,MATCH($A93,'2. Plot &amp; Core Log'!$B$6:$B$35,0)),""))</f>
        <v/>
      </c>
      <c r="H93" s="26" t="str">
        <f aca="false">IF($A93="","",IFERROR(INDEX('2. Plot &amp; Core Log'!$S$6:$S$35,MATCH($A93,'2. Plot &amp; Core Log'!$B$6:$B$35,0)),""))</f>
        <v/>
      </c>
      <c r="I93" s="16" t="str">
        <f aca="false">IF(OR($C93="",$G93=""),"",$C93*$G93)</f>
        <v/>
      </c>
      <c r="J93" s="16" t="str">
        <f aca="false">IF(OR($D93="",$G93=""),"",$D93*$G93)</f>
        <v/>
      </c>
      <c r="K93" s="16" t="str">
        <f aca="false">IF(OR($F93="",$H93=""),"",PI()*(($H93/2)^2)*$F93)</f>
        <v/>
      </c>
      <c r="L93" s="27"/>
      <c r="M93" s="27"/>
      <c r="N93" s="27"/>
      <c r="O93" s="27"/>
      <c r="P93" s="16" t="str">
        <f aca="false">IF(OR($L93="",$M93="",$L93=0),"",(($L93-$M93)/$L93)*100)</f>
        <v/>
      </c>
      <c r="Q93" s="15" t="str">
        <f aca="false">IF(OR($M93="",$K93="",$K93=0),"",$M93/$K93)</f>
        <v/>
      </c>
      <c r="R93" s="15" t="str">
        <f aca="false">IF(OR($N93="",$O93=""),"",IF(UPPER($O93)="OC",$N93,IF(UPPER($O93)="LOI",IF(OR(LOI_INTERCEPT="",LOI_SLOPE=""),"",IF(LOI_INTERCEPT+LOI_SLOPE*$N93&lt;0,"",LOI_INTERCEPT+LOI_SLOPE*$N93)),"")))</f>
        <v/>
      </c>
      <c r="S93" s="18" t="str">
        <f aca="false">IF($R93="","",$R93*10)</f>
        <v/>
      </c>
      <c r="T93" s="28" t="str">
        <f aca="false">IF(OR($Q93="",$R93=""),"",$Q93*$R93/100)</f>
        <v/>
      </c>
      <c r="U93" s="29" t="str">
        <f aca="false">IF(OR($T93="",$F93=""),"",$T93*$F93)</f>
        <v/>
      </c>
      <c r="V93" s="15" t="str">
        <f aca="false">IF($U93="","",$U93*10)</f>
        <v/>
      </c>
      <c r="W93" s="15" t="str">
        <f aca="false">IF(OR($V93="",$I93="",$J93="",$J93&lt;=$I93),"",$V93*MAX(0,MIN($J93,15)-MAX($I93,0))/($J93-$I93))</f>
        <v/>
      </c>
      <c r="X93" s="15" t="str">
        <f aca="false">IF(OR($V93="",$I93="",$J93="",$J93&lt;=$I93),"",$V93*MAX(0,MIN($J93,30)-MAX($I93,15))/($J93-$I93))</f>
        <v/>
      </c>
      <c r="Y93" s="15" t="str">
        <f aca="false">IF(OR($V93="",$I93="",$J93="",$J93&lt;=$I93),"",$V93*MAX(0,MIN($J93,50)-MAX($I93,30))/($J93-$I93))</f>
        <v/>
      </c>
      <c r="Z93" s="15" t="str">
        <f aca="false">IF(OR($V93="",$I93="",$J93="",$J93&lt;=$I93),"",$V93*MAX(0,MIN($J93,100)-MAX($I93,50))/($J93-$I93))</f>
        <v/>
      </c>
      <c r="AA93" s="16" t="str">
        <f aca="false">IF($A93="","",IF(OR($C93="",$D93="",$D93&lt;=$C93),"CHECK: depths missing, or bottom not below top",IF(COUNTIFS($A$6:$A$205,$A93,$C$6:$C$205,$C93)&gt;1,"DUPLICATE slice",IF(COUNTIFS($A$6:$A$205,$A93,$C$6:$C$205,"&lt;"&amp;$D93,$D$6:$D$205,"&gt;"&amp;$C93)&gt;1,"OVERLAP with another slice",IF(AND($C93&gt;0,COUNTIFS($A$6:$A$205,$A93,$D$6:$D$205,$C93)=0),"GAP above this slice",IF(OR($G93="",$H93=""),"CHECK: Core ID not in Core Log, or its compaction / diameter missing",IF(AND(IF(COUNTIFS('2. Plot &amp; Core Log'!$B$6:$B$35,$A93,'2. Plot &amp; Core Log'!$L$6:$L$35,"&gt;0")=0,"",SUMIFS('2. Plot &amp; Core Log'!$L$6:$L$35,'2. Plot &amp; Core Log'!$B$6:$B$35,$A93))&lt;&gt;"",$D93&gt;IF(COUNTIFS('2. Plot &amp; Core Log'!$B$6:$B$35,$A93,'2. Plot &amp; Core Log'!$L$6:$L$35,"&gt;0")=0,"",SUMIFS('2. Plot &amp; Core Log'!$L$6:$L$35,'2. Plot &amp; Core Log'!$B$6:$B$35,$A93))),"CHECK: slice deeper than the core length on Sheet 2",IF(OR($M93="",$N93="",$O93=""),"AWAITING LAB (dry weight, carbon value or type)",IF(AND(UPPER($O93)&lt;&gt;"OC",UPPER($O93)&lt;&gt;"LOI"),IF(UPPER($O93)="TC","TC is not organic carbon — ask the lab for OC or IC","CHECK: type must be OC, TC or LOI"),IF($R93="",IF(AND(LOI_INTERCEPT&lt;&gt;"",LOI_SLOPE&lt;&gt;""),"CHECK: LOI below the range of the conversion equation (OC would be &lt; 0)","CHECK: LOI conversion not set (Instructions tab)"),IF(OR($Q93&lt;=0,$Q93&gt;2.65,$R93&gt;50),"CHECK: bulk density outside 0–2.65 g/cm3 or OC &gt; 50%","OK")))))))))))</f>
        <v/>
      </c>
    </row>
    <row r="94" customFormat="false" ht="15.75" hidden="false" customHeight="true" outlineLevel="0" collapsed="false">
      <c r="A94" s="14"/>
      <c r="B94" s="14"/>
      <c r="C94" s="24"/>
      <c r="D94" s="24"/>
      <c r="E94" s="14"/>
      <c r="F94" s="16" t="str">
        <f aca="false">IF(OR($C94="",$D94=""),"",$D94-$C94)</f>
        <v/>
      </c>
      <c r="G94" s="25" t="str">
        <f aca="false">IF($A94="","",IFERROR(INDEX('2. Plot &amp; Core Log'!$M$6:$M$35,MATCH($A94,'2. Plot &amp; Core Log'!$B$6:$B$35,0)),""))</f>
        <v/>
      </c>
      <c r="H94" s="26" t="str">
        <f aca="false">IF($A94="","",IFERROR(INDEX('2. Plot &amp; Core Log'!$S$6:$S$35,MATCH($A94,'2. Plot &amp; Core Log'!$B$6:$B$35,0)),""))</f>
        <v/>
      </c>
      <c r="I94" s="16" t="str">
        <f aca="false">IF(OR($C94="",$G94=""),"",$C94*$G94)</f>
        <v/>
      </c>
      <c r="J94" s="16" t="str">
        <f aca="false">IF(OR($D94="",$G94=""),"",$D94*$G94)</f>
        <v/>
      </c>
      <c r="K94" s="16" t="str">
        <f aca="false">IF(OR($F94="",$H94=""),"",PI()*(($H94/2)^2)*$F94)</f>
        <v/>
      </c>
      <c r="L94" s="27"/>
      <c r="M94" s="27"/>
      <c r="N94" s="27"/>
      <c r="O94" s="27"/>
      <c r="P94" s="16" t="str">
        <f aca="false">IF(OR($L94="",$M94="",$L94=0),"",(($L94-$M94)/$L94)*100)</f>
        <v/>
      </c>
      <c r="Q94" s="15" t="str">
        <f aca="false">IF(OR($M94="",$K94="",$K94=0),"",$M94/$K94)</f>
        <v/>
      </c>
      <c r="R94" s="15" t="str">
        <f aca="false">IF(OR($N94="",$O94=""),"",IF(UPPER($O94)="OC",$N94,IF(UPPER($O94)="LOI",IF(OR(LOI_INTERCEPT="",LOI_SLOPE=""),"",IF(LOI_INTERCEPT+LOI_SLOPE*$N94&lt;0,"",LOI_INTERCEPT+LOI_SLOPE*$N94)),"")))</f>
        <v/>
      </c>
      <c r="S94" s="18" t="str">
        <f aca="false">IF($R94="","",$R94*10)</f>
        <v/>
      </c>
      <c r="T94" s="28" t="str">
        <f aca="false">IF(OR($Q94="",$R94=""),"",$Q94*$R94/100)</f>
        <v/>
      </c>
      <c r="U94" s="29" t="str">
        <f aca="false">IF(OR($T94="",$F94=""),"",$T94*$F94)</f>
        <v/>
      </c>
      <c r="V94" s="15" t="str">
        <f aca="false">IF($U94="","",$U94*10)</f>
        <v/>
      </c>
      <c r="W94" s="15" t="str">
        <f aca="false">IF(OR($V94="",$I94="",$J94="",$J94&lt;=$I94),"",$V94*MAX(0,MIN($J94,15)-MAX($I94,0))/($J94-$I94))</f>
        <v/>
      </c>
      <c r="X94" s="15" t="str">
        <f aca="false">IF(OR($V94="",$I94="",$J94="",$J94&lt;=$I94),"",$V94*MAX(0,MIN($J94,30)-MAX($I94,15))/($J94-$I94))</f>
        <v/>
      </c>
      <c r="Y94" s="15" t="str">
        <f aca="false">IF(OR($V94="",$I94="",$J94="",$J94&lt;=$I94),"",$V94*MAX(0,MIN($J94,50)-MAX($I94,30))/($J94-$I94))</f>
        <v/>
      </c>
      <c r="Z94" s="15" t="str">
        <f aca="false">IF(OR($V94="",$I94="",$J94="",$J94&lt;=$I94),"",$V94*MAX(0,MIN($J94,100)-MAX($I94,50))/($J94-$I94))</f>
        <v/>
      </c>
      <c r="AA94" s="16" t="str">
        <f aca="false">IF($A94="","",IF(OR($C94="",$D94="",$D94&lt;=$C94),"CHECK: depths missing, or bottom not below top",IF(COUNTIFS($A$6:$A$205,$A94,$C$6:$C$205,$C94)&gt;1,"DUPLICATE slice",IF(COUNTIFS($A$6:$A$205,$A94,$C$6:$C$205,"&lt;"&amp;$D94,$D$6:$D$205,"&gt;"&amp;$C94)&gt;1,"OVERLAP with another slice",IF(AND($C94&gt;0,COUNTIFS($A$6:$A$205,$A94,$D$6:$D$205,$C94)=0),"GAP above this slice",IF(OR($G94="",$H94=""),"CHECK: Core ID not in Core Log, or its compaction / diameter missing",IF(AND(IF(COUNTIFS('2. Plot &amp; Core Log'!$B$6:$B$35,$A94,'2. Plot &amp; Core Log'!$L$6:$L$35,"&gt;0")=0,"",SUMIFS('2. Plot &amp; Core Log'!$L$6:$L$35,'2. Plot &amp; Core Log'!$B$6:$B$35,$A94))&lt;&gt;"",$D94&gt;IF(COUNTIFS('2. Plot &amp; Core Log'!$B$6:$B$35,$A94,'2. Plot &amp; Core Log'!$L$6:$L$35,"&gt;0")=0,"",SUMIFS('2. Plot &amp; Core Log'!$L$6:$L$35,'2. Plot &amp; Core Log'!$B$6:$B$35,$A94))),"CHECK: slice deeper than the core length on Sheet 2",IF(OR($M94="",$N94="",$O94=""),"AWAITING LAB (dry weight, carbon value or type)",IF(AND(UPPER($O94)&lt;&gt;"OC",UPPER($O94)&lt;&gt;"LOI"),IF(UPPER($O94)="TC","TC is not organic carbon — ask the lab for OC or IC","CHECK: type must be OC, TC or LOI"),IF($R94="",IF(AND(LOI_INTERCEPT&lt;&gt;"",LOI_SLOPE&lt;&gt;""),"CHECK: LOI below the range of the conversion equation (OC would be &lt; 0)","CHECK: LOI conversion not set (Instructions tab)"),IF(OR($Q94&lt;=0,$Q94&gt;2.65,$R94&gt;50),"CHECK: bulk density outside 0–2.65 g/cm3 or OC &gt; 50%","OK")))))))))))</f>
        <v/>
      </c>
    </row>
    <row r="95" customFormat="false" ht="15.75" hidden="false" customHeight="true" outlineLevel="0" collapsed="false">
      <c r="A95" s="14"/>
      <c r="B95" s="14"/>
      <c r="C95" s="24"/>
      <c r="D95" s="24"/>
      <c r="E95" s="14"/>
      <c r="F95" s="16" t="str">
        <f aca="false">IF(OR($C95="",$D95=""),"",$D95-$C95)</f>
        <v/>
      </c>
      <c r="G95" s="25" t="str">
        <f aca="false">IF($A95="","",IFERROR(INDEX('2. Plot &amp; Core Log'!$M$6:$M$35,MATCH($A95,'2. Plot &amp; Core Log'!$B$6:$B$35,0)),""))</f>
        <v/>
      </c>
      <c r="H95" s="26" t="str">
        <f aca="false">IF($A95="","",IFERROR(INDEX('2. Plot &amp; Core Log'!$S$6:$S$35,MATCH($A95,'2. Plot &amp; Core Log'!$B$6:$B$35,0)),""))</f>
        <v/>
      </c>
      <c r="I95" s="16" t="str">
        <f aca="false">IF(OR($C95="",$G95=""),"",$C95*$G95)</f>
        <v/>
      </c>
      <c r="J95" s="16" t="str">
        <f aca="false">IF(OR($D95="",$G95=""),"",$D95*$G95)</f>
        <v/>
      </c>
      <c r="K95" s="16" t="str">
        <f aca="false">IF(OR($F95="",$H95=""),"",PI()*(($H95/2)^2)*$F95)</f>
        <v/>
      </c>
      <c r="L95" s="27"/>
      <c r="M95" s="27"/>
      <c r="N95" s="27"/>
      <c r="O95" s="27"/>
      <c r="P95" s="16" t="str">
        <f aca="false">IF(OR($L95="",$M95="",$L95=0),"",(($L95-$M95)/$L95)*100)</f>
        <v/>
      </c>
      <c r="Q95" s="15" t="str">
        <f aca="false">IF(OR($M95="",$K95="",$K95=0),"",$M95/$K95)</f>
        <v/>
      </c>
      <c r="R95" s="15" t="str">
        <f aca="false">IF(OR($N95="",$O95=""),"",IF(UPPER($O95)="OC",$N95,IF(UPPER($O95)="LOI",IF(OR(LOI_INTERCEPT="",LOI_SLOPE=""),"",IF(LOI_INTERCEPT+LOI_SLOPE*$N95&lt;0,"",LOI_INTERCEPT+LOI_SLOPE*$N95)),"")))</f>
        <v/>
      </c>
      <c r="S95" s="18" t="str">
        <f aca="false">IF($R95="","",$R95*10)</f>
        <v/>
      </c>
      <c r="T95" s="28" t="str">
        <f aca="false">IF(OR($Q95="",$R95=""),"",$Q95*$R95/100)</f>
        <v/>
      </c>
      <c r="U95" s="29" t="str">
        <f aca="false">IF(OR($T95="",$F95=""),"",$T95*$F95)</f>
        <v/>
      </c>
      <c r="V95" s="15" t="str">
        <f aca="false">IF($U95="","",$U95*10)</f>
        <v/>
      </c>
      <c r="W95" s="15" t="str">
        <f aca="false">IF(OR($V95="",$I95="",$J95="",$J95&lt;=$I95),"",$V95*MAX(0,MIN($J95,15)-MAX($I95,0))/($J95-$I95))</f>
        <v/>
      </c>
      <c r="X95" s="15" t="str">
        <f aca="false">IF(OR($V95="",$I95="",$J95="",$J95&lt;=$I95),"",$V95*MAX(0,MIN($J95,30)-MAX($I95,15))/($J95-$I95))</f>
        <v/>
      </c>
      <c r="Y95" s="15" t="str">
        <f aca="false">IF(OR($V95="",$I95="",$J95="",$J95&lt;=$I95),"",$V95*MAX(0,MIN($J95,50)-MAX($I95,30))/($J95-$I95))</f>
        <v/>
      </c>
      <c r="Z95" s="15" t="str">
        <f aca="false">IF(OR($V95="",$I95="",$J95="",$J95&lt;=$I95),"",$V95*MAX(0,MIN($J95,100)-MAX($I95,50))/($J95-$I95))</f>
        <v/>
      </c>
      <c r="AA95" s="16" t="str">
        <f aca="false">IF($A95="","",IF(OR($C95="",$D95="",$D95&lt;=$C95),"CHECK: depths missing, or bottom not below top",IF(COUNTIFS($A$6:$A$205,$A95,$C$6:$C$205,$C95)&gt;1,"DUPLICATE slice",IF(COUNTIFS($A$6:$A$205,$A95,$C$6:$C$205,"&lt;"&amp;$D95,$D$6:$D$205,"&gt;"&amp;$C95)&gt;1,"OVERLAP with another slice",IF(AND($C95&gt;0,COUNTIFS($A$6:$A$205,$A95,$D$6:$D$205,$C95)=0),"GAP above this slice",IF(OR($G95="",$H95=""),"CHECK: Core ID not in Core Log, or its compaction / diameter missing",IF(AND(IF(COUNTIFS('2. Plot &amp; Core Log'!$B$6:$B$35,$A95,'2. Plot &amp; Core Log'!$L$6:$L$35,"&gt;0")=0,"",SUMIFS('2. Plot &amp; Core Log'!$L$6:$L$35,'2. Plot &amp; Core Log'!$B$6:$B$35,$A95))&lt;&gt;"",$D95&gt;IF(COUNTIFS('2. Plot &amp; Core Log'!$B$6:$B$35,$A95,'2. Plot &amp; Core Log'!$L$6:$L$35,"&gt;0")=0,"",SUMIFS('2. Plot &amp; Core Log'!$L$6:$L$35,'2. Plot &amp; Core Log'!$B$6:$B$35,$A95))),"CHECK: slice deeper than the core length on Sheet 2",IF(OR($M95="",$N95="",$O95=""),"AWAITING LAB (dry weight, carbon value or type)",IF(AND(UPPER($O95)&lt;&gt;"OC",UPPER($O95)&lt;&gt;"LOI"),IF(UPPER($O95)="TC","TC is not organic carbon — ask the lab for OC or IC","CHECK: type must be OC, TC or LOI"),IF($R95="",IF(AND(LOI_INTERCEPT&lt;&gt;"",LOI_SLOPE&lt;&gt;""),"CHECK: LOI below the range of the conversion equation (OC would be &lt; 0)","CHECK: LOI conversion not set (Instructions tab)"),IF(OR($Q95&lt;=0,$Q95&gt;2.65,$R95&gt;50),"CHECK: bulk density outside 0–2.65 g/cm3 or OC &gt; 50%","OK")))))))))))</f>
        <v/>
      </c>
    </row>
    <row r="96" customFormat="false" ht="15.75" hidden="false" customHeight="true" outlineLevel="0" collapsed="false">
      <c r="A96" s="14"/>
      <c r="B96" s="14"/>
      <c r="C96" s="24"/>
      <c r="D96" s="24"/>
      <c r="E96" s="14"/>
      <c r="F96" s="16" t="str">
        <f aca="false">IF(OR($C96="",$D96=""),"",$D96-$C96)</f>
        <v/>
      </c>
      <c r="G96" s="25" t="str">
        <f aca="false">IF($A96="","",IFERROR(INDEX('2. Plot &amp; Core Log'!$M$6:$M$35,MATCH($A96,'2. Plot &amp; Core Log'!$B$6:$B$35,0)),""))</f>
        <v/>
      </c>
      <c r="H96" s="26" t="str">
        <f aca="false">IF($A96="","",IFERROR(INDEX('2. Plot &amp; Core Log'!$S$6:$S$35,MATCH($A96,'2. Plot &amp; Core Log'!$B$6:$B$35,0)),""))</f>
        <v/>
      </c>
      <c r="I96" s="16" t="str">
        <f aca="false">IF(OR($C96="",$G96=""),"",$C96*$G96)</f>
        <v/>
      </c>
      <c r="J96" s="16" t="str">
        <f aca="false">IF(OR($D96="",$G96=""),"",$D96*$G96)</f>
        <v/>
      </c>
      <c r="K96" s="16" t="str">
        <f aca="false">IF(OR($F96="",$H96=""),"",PI()*(($H96/2)^2)*$F96)</f>
        <v/>
      </c>
      <c r="L96" s="27"/>
      <c r="M96" s="27"/>
      <c r="N96" s="27"/>
      <c r="O96" s="27"/>
      <c r="P96" s="16" t="str">
        <f aca="false">IF(OR($L96="",$M96="",$L96=0),"",(($L96-$M96)/$L96)*100)</f>
        <v/>
      </c>
      <c r="Q96" s="15" t="str">
        <f aca="false">IF(OR($M96="",$K96="",$K96=0),"",$M96/$K96)</f>
        <v/>
      </c>
      <c r="R96" s="15" t="str">
        <f aca="false">IF(OR($N96="",$O96=""),"",IF(UPPER($O96)="OC",$N96,IF(UPPER($O96)="LOI",IF(OR(LOI_INTERCEPT="",LOI_SLOPE=""),"",IF(LOI_INTERCEPT+LOI_SLOPE*$N96&lt;0,"",LOI_INTERCEPT+LOI_SLOPE*$N96)),"")))</f>
        <v/>
      </c>
      <c r="S96" s="18" t="str">
        <f aca="false">IF($R96="","",$R96*10)</f>
        <v/>
      </c>
      <c r="T96" s="28" t="str">
        <f aca="false">IF(OR($Q96="",$R96=""),"",$Q96*$R96/100)</f>
        <v/>
      </c>
      <c r="U96" s="29" t="str">
        <f aca="false">IF(OR($T96="",$F96=""),"",$T96*$F96)</f>
        <v/>
      </c>
      <c r="V96" s="15" t="str">
        <f aca="false">IF($U96="","",$U96*10)</f>
        <v/>
      </c>
      <c r="W96" s="15" t="str">
        <f aca="false">IF(OR($V96="",$I96="",$J96="",$J96&lt;=$I96),"",$V96*MAX(0,MIN($J96,15)-MAX($I96,0))/($J96-$I96))</f>
        <v/>
      </c>
      <c r="X96" s="15" t="str">
        <f aca="false">IF(OR($V96="",$I96="",$J96="",$J96&lt;=$I96),"",$V96*MAX(0,MIN($J96,30)-MAX($I96,15))/($J96-$I96))</f>
        <v/>
      </c>
      <c r="Y96" s="15" t="str">
        <f aca="false">IF(OR($V96="",$I96="",$J96="",$J96&lt;=$I96),"",$V96*MAX(0,MIN($J96,50)-MAX($I96,30))/($J96-$I96))</f>
        <v/>
      </c>
      <c r="Z96" s="15" t="str">
        <f aca="false">IF(OR($V96="",$I96="",$J96="",$J96&lt;=$I96),"",$V96*MAX(0,MIN($J96,100)-MAX($I96,50))/($J96-$I96))</f>
        <v/>
      </c>
      <c r="AA96" s="16" t="str">
        <f aca="false">IF($A96="","",IF(OR($C96="",$D96="",$D96&lt;=$C96),"CHECK: depths missing, or bottom not below top",IF(COUNTIFS($A$6:$A$205,$A96,$C$6:$C$205,$C96)&gt;1,"DUPLICATE slice",IF(COUNTIFS($A$6:$A$205,$A96,$C$6:$C$205,"&lt;"&amp;$D96,$D$6:$D$205,"&gt;"&amp;$C96)&gt;1,"OVERLAP with another slice",IF(AND($C96&gt;0,COUNTIFS($A$6:$A$205,$A96,$D$6:$D$205,$C96)=0),"GAP above this slice",IF(OR($G96="",$H96=""),"CHECK: Core ID not in Core Log, or its compaction / diameter missing",IF(AND(IF(COUNTIFS('2. Plot &amp; Core Log'!$B$6:$B$35,$A96,'2. Plot &amp; Core Log'!$L$6:$L$35,"&gt;0")=0,"",SUMIFS('2. Plot &amp; Core Log'!$L$6:$L$35,'2. Plot &amp; Core Log'!$B$6:$B$35,$A96))&lt;&gt;"",$D96&gt;IF(COUNTIFS('2. Plot &amp; Core Log'!$B$6:$B$35,$A96,'2. Plot &amp; Core Log'!$L$6:$L$35,"&gt;0")=0,"",SUMIFS('2. Plot &amp; Core Log'!$L$6:$L$35,'2. Plot &amp; Core Log'!$B$6:$B$35,$A96))),"CHECK: slice deeper than the core length on Sheet 2",IF(OR($M96="",$N96="",$O96=""),"AWAITING LAB (dry weight, carbon value or type)",IF(AND(UPPER($O96)&lt;&gt;"OC",UPPER($O96)&lt;&gt;"LOI"),IF(UPPER($O96)="TC","TC is not organic carbon — ask the lab for OC or IC","CHECK: type must be OC, TC or LOI"),IF($R96="",IF(AND(LOI_INTERCEPT&lt;&gt;"",LOI_SLOPE&lt;&gt;""),"CHECK: LOI below the range of the conversion equation (OC would be &lt; 0)","CHECK: LOI conversion not set (Instructions tab)"),IF(OR($Q96&lt;=0,$Q96&gt;2.65,$R96&gt;50),"CHECK: bulk density outside 0–2.65 g/cm3 or OC &gt; 50%","OK")))))))))))</f>
        <v/>
      </c>
    </row>
    <row r="97" customFormat="false" ht="15.75" hidden="false" customHeight="true" outlineLevel="0" collapsed="false">
      <c r="A97" s="14"/>
      <c r="B97" s="14"/>
      <c r="C97" s="24"/>
      <c r="D97" s="24"/>
      <c r="E97" s="14"/>
      <c r="F97" s="16" t="str">
        <f aca="false">IF(OR($C97="",$D97=""),"",$D97-$C97)</f>
        <v/>
      </c>
      <c r="G97" s="25" t="str">
        <f aca="false">IF($A97="","",IFERROR(INDEX('2. Plot &amp; Core Log'!$M$6:$M$35,MATCH($A97,'2. Plot &amp; Core Log'!$B$6:$B$35,0)),""))</f>
        <v/>
      </c>
      <c r="H97" s="26" t="str">
        <f aca="false">IF($A97="","",IFERROR(INDEX('2. Plot &amp; Core Log'!$S$6:$S$35,MATCH($A97,'2. Plot &amp; Core Log'!$B$6:$B$35,0)),""))</f>
        <v/>
      </c>
      <c r="I97" s="16" t="str">
        <f aca="false">IF(OR($C97="",$G97=""),"",$C97*$G97)</f>
        <v/>
      </c>
      <c r="J97" s="16" t="str">
        <f aca="false">IF(OR($D97="",$G97=""),"",$D97*$G97)</f>
        <v/>
      </c>
      <c r="K97" s="16" t="str">
        <f aca="false">IF(OR($F97="",$H97=""),"",PI()*(($H97/2)^2)*$F97)</f>
        <v/>
      </c>
      <c r="L97" s="27"/>
      <c r="M97" s="27"/>
      <c r="N97" s="27"/>
      <c r="O97" s="27"/>
      <c r="P97" s="16" t="str">
        <f aca="false">IF(OR($L97="",$M97="",$L97=0),"",(($L97-$M97)/$L97)*100)</f>
        <v/>
      </c>
      <c r="Q97" s="15" t="str">
        <f aca="false">IF(OR($M97="",$K97="",$K97=0),"",$M97/$K97)</f>
        <v/>
      </c>
      <c r="R97" s="15" t="str">
        <f aca="false">IF(OR($N97="",$O97=""),"",IF(UPPER($O97)="OC",$N97,IF(UPPER($O97)="LOI",IF(OR(LOI_INTERCEPT="",LOI_SLOPE=""),"",IF(LOI_INTERCEPT+LOI_SLOPE*$N97&lt;0,"",LOI_INTERCEPT+LOI_SLOPE*$N97)),"")))</f>
        <v/>
      </c>
      <c r="S97" s="18" t="str">
        <f aca="false">IF($R97="","",$R97*10)</f>
        <v/>
      </c>
      <c r="T97" s="28" t="str">
        <f aca="false">IF(OR($Q97="",$R97=""),"",$Q97*$R97/100)</f>
        <v/>
      </c>
      <c r="U97" s="29" t="str">
        <f aca="false">IF(OR($T97="",$F97=""),"",$T97*$F97)</f>
        <v/>
      </c>
      <c r="V97" s="15" t="str">
        <f aca="false">IF($U97="","",$U97*10)</f>
        <v/>
      </c>
      <c r="W97" s="15" t="str">
        <f aca="false">IF(OR($V97="",$I97="",$J97="",$J97&lt;=$I97),"",$V97*MAX(0,MIN($J97,15)-MAX($I97,0))/($J97-$I97))</f>
        <v/>
      </c>
      <c r="X97" s="15" t="str">
        <f aca="false">IF(OR($V97="",$I97="",$J97="",$J97&lt;=$I97),"",$V97*MAX(0,MIN($J97,30)-MAX($I97,15))/($J97-$I97))</f>
        <v/>
      </c>
      <c r="Y97" s="15" t="str">
        <f aca="false">IF(OR($V97="",$I97="",$J97="",$J97&lt;=$I97),"",$V97*MAX(0,MIN($J97,50)-MAX($I97,30))/($J97-$I97))</f>
        <v/>
      </c>
      <c r="Z97" s="15" t="str">
        <f aca="false">IF(OR($V97="",$I97="",$J97="",$J97&lt;=$I97),"",$V97*MAX(0,MIN($J97,100)-MAX($I97,50))/($J97-$I97))</f>
        <v/>
      </c>
      <c r="AA97" s="16" t="str">
        <f aca="false">IF($A97="","",IF(OR($C97="",$D97="",$D97&lt;=$C97),"CHECK: depths missing, or bottom not below top",IF(COUNTIFS($A$6:$A$205,$A97,$C$6:$C$205,$C97)&gt;1,"DUPLICATE slice",IF(COUNTIFS($A$6:$A$205,$A97,$C$6:$C$205,"&lt;"&amp;$D97,$D$6:$D$205,"&gt;"&amp;$C97)&gt;1,"OVERLAP with another slice",IF(AND($C97&gt;0,COUNTIFS($A$6:$A$205,$A97,$D$6:$D$205,$C97)=0),"GAP above this slice",IF(OR($G97="",$H97=""),"CHECK: Core ID not in Core Log, or its compaction / diameter missing",IF(AND(IF(COUNTIFS('2. Plot &amp; Core Log'!$B$6:$B$35,$A97,'2. Plot &amp; Core Log'!$L$6:$L$35,"&gt;0")=0,"",SUMIFS('2. Plot &amp; Core Log'!$L$6:$L$35,'2. Plot &amp; Core Log'!$B$6:$B$35,$A97))&lt;&gt;"",$D97&gt;IF(COUNTIFS('2. Plot &amp; Core Log'!$B$6:$B$35,$A97,'2. Plot &amp; Core Log'!$L$6:$L$35,"&gt;0")=0,"",SUMIFS('2. Plot &amp; Core Log'!$L$6:$L$35,'2. Plot &amp; Core Log'!$B$6:$B$35,$A97))),"CHECK: slice deeper than the core length on Sheet 2",IF(OR($M97="",$N97="",$O97=""),"AWAITING LAB (dry weight, carbon value or type)",IF(AND(UPPER($O97)&lt;&gt;"OC",UPPER($O97)&lt;&gt;"LOI"),IF(UPPER($O97)="TC","TC is not organic carbon — ask the lab for OC or IC","CHECK: type must be OC, TC or LOI"),IF($R97="",IF(AND(LOI_INTERCEPT&lt;&gt;"",LOI_SLOPE&lt;&gt;""),"CHECK: LOI below the range of the conversion equation (OC would be &lt; 0)","CHECK: LOI conversion not set (Instructions tab)"),IF(OR($Q97&lt;=0,$Q97&gt;2.65,$R97&gt;50),"CHECK: bulk density outside 0–2.65 g/cm3 or OC &gt; 50%","OK")))))))))))</f>
        <v/>
      </c>
    </row>
    <row r="98" customFormat="false" ht="15.75" hidden="false" customHeight="true" outlineLevel="0" collapsed="false">
      <c r="A98" s="14"/>
      <c r="B98" s="14"/>
      <c r="C98" s="24"/>
      <c r="D98" s="24"/>
      <c r="E98" s="14"/>
      <c r="F98" s="16" t="str">
        <f aca="false">IF(OR($C98="",$D98=""),"",$D98-$C98)</f>
        <v/>
      </c>
      <c r="G98" s="25" t="str">
        <f aca="false">IF($A98="","",IFERROR(INDEX('2. Plot &amp; Core Log'!$M$6:$M$35,MATCH($A98,'2. Plot &amp; Core Log'!$B$6:$B$35,0)),""))</f>
        <v/>
      </c>
      <c r="H98" s="26" t="str">
        <f aca="false">IF($A98="","",IFERROR(INDEX('2. Plot &amp; Core Log'!$S$6:$S$35,MATCH($A98,'2. Plot &amp; Core Log'!$B$6:$B$35,0)),""))</f>
        <v/>
      </c>
      <c r="I98" s="16" t="str">
        <f aca="false">IF(OR($C98="",$G98=""),"",$C98*$G98)</f>
        <v/>
      </c>
      <c r="J98" s="16" t="str">
        <f aca="false">IF(OR($D98="",$G98=""),"",$D98*$G98)</f>
        <v/>
      </c>
      <c r="K98" s="16" t="str">
        <f aca="false">IF(OR($F98="",$H98=""),"",PI()*(($H98/2)^2)*$F98)</f>
        <v/>
      </c>
      <c r="L98" s="27"/>
      <c r="M98" s="27"/>
      <c r="N98" s="27"/>
      <c r="O98" s="27"/>
      <c r="P98" s="16" t="str">
        <f aca="false">IF(OR($L98="",$M98="",$L98=0),"",(($L98-$M98)/$L98)*100)</f>
        <v/>
      </c>
      <c r="Q98" s="15" t="str">
        <f aca="false">IF(OR($M98="",$K98="",$K98=0),"",$M98/$K98)</f>
        <v/>
      </c>
      <c r="R98" s="15" t="str">
        <f aca="false">IF(OR($N98="",$O98=""),"",IF(UPPER($O98)="OC",$N98,IF(UPPER($O98)="LOI",IF(OR(LOI_INTERCEPT="",LOI_SLOPE=""),"",IF(LOI_INTERCEPT+LOI_SLOPE*$N98&lt;0,"",LOI_INTERCEPT+LOI_SLOPE*$N98)),"")))</f>
        <v/>
      </c>
      <c r="S98" s="18" t="str">
        <f aca="false">IF($R98="","",$R98*10)</f>
        <v/>
      </c>
      <c r="T98" s="28" t="str">
        <f aca="false">IF(OR($Q98="",$R98=""),"",$Q98*$R98/100)</f>
        <v/>
      </c>
      <c r="U98" s="29" t="str">
        <f aca="false">IF(OR($T98="",$F98=""),"",$T98*$F98)</f>
        <v/>
      </c>
      <c r="V98" s="15" t="str">
        <f aca="false">IF($U98="","",$U98*10)</f>
        <v/>
      </c>
      <c r="W98" s="15" t="str">
        <f aca="false">IF(OR($V98="",$I98="",$J98="",$J98&lt;=$I98),"",$V98*MAX(0,MIN($J98,15)-MAX($I98,0))/($J98-$I98))</f>
        <v/>
      </c>
      <c r="X98" s="15" t="str">
        <f aca="false">IF(OR($V98="",$I98="",$J98="",$J98&lt;=$I98),"",$V98*MAX(0,MIN($J98,30)-MAX($I98,15))/($J98-$I98))</f>
        <v/>
      </c>
      <c r="Y98" s="15" t="str">
        <f aca="false">IF(OR($V98="",$I98="",$J98="",$J98&lt;=$I98),"",$V98*MAX(0,MIN($J98,50)-MAX($I98,30))/($J98-$I98))</f>
        <v/>
      </c>
      <c r="Z98" s="15" t="str">
        <f aca="false">IF(OR($V98="",$I98="",$J98="",$J98&lt;=$I98),"",$V98*MAX(0,MIN($J98,100)-MAX($I98,50))/($J98-$I98))</f>
        <v/>
      </c>
      <c r="AA98" s="16" t="str">
        <f aca="false">IF($A98="","",IF(OR($C98="",$D98="",$D98&lt;=$C98),"CHECK: depths missing, or bottom not below top",IF(COUNTIFS($A$6:$A$205,$A98,$C$6:$C$205,$C98)&gt;1,"DUPLICATE slice",IF(COUNTIFS($A$6:$A$205,$A98,$C$6:$C$205,"&lt;"&amp;$D98,$D$6:$D$205,"&gt;"&amp;$C98)&gt;1,"OVERLAP with another slice",IF(AND($C98&gt;0,COUNTIFS($A$6:$A$205,$A98,$D$6:$D$205,$C98)=0),"GAP above this slice",IF(OR($G98="",$H98=""),"CHECK: Core ID not in Core Log, or its compaction / diameter missing",IF(AND(IF(COUNTIFS('2. Plot &amp; Core Log'!$B$6:$B$35,$A98,'2. Plot &amp; Core Log'!$L$6:$L$35,"&gt;0")=0,"",SUMIFS('2. Plot &amp; Core Log'!$L$6:$L$35,'2. Plot &amp; Core Log'!$B$6:$B$35,$A98))&lt;&gt;"",$D98&gt;IF(COUNTIFS('2. Plot &amp; Core Log'!$B$6:$B$35,$A98,'2. Plot &amp; Core Log'!$L$6:$L$35,"&gt;0")=0,"",SUMIFS('2. Plot &amp; Core Log'!$L$6:$L$35,'2. Plot &amp; Core Log'!$B$6:$B$35,$A98))),"CHECK: slice deeper than the core length on Sheet 2",IF(OR($M98="",$N98="",$O98=""),"AWAITING LAB (dry weight, carbon value or type)",IF(AND(UPPER($O98)&lt;&gt;"OC",UPPER($O98)&lt;&gt;"LOI"),IF(UPPER($O98)="TC","TC is not organic carbon — ask the lab for OC or IC","CHECK: type must be OC, TC or LOI"),IF($R98="",IF(AND(LOI_INTERCEPT&lt;&gt;"",LOI_SLOPE&lt;&gt;""),"CHECK: LOI below the range of the conversion equation (OC would be &lt; 0)","CHECK: LOI conversion not set (Instructions tab)"),IF(OR($Q98&lt;=0,$Q98&gt;2.65,$R98&gt;50),"CHECK: bulk density outside 0–2.65 g/cm3 or OC &gt; 50%","OK")))))))))))</f>
        <v/>
      </c>
    </row>
    <row r="99" customFormat="false" ht="15.75" hidden="false" customHeight="true" outlineLevel="0" collapsed="false">
      <c r="A99" s="14"/>
      <c r="B99" s="14"/>
      <c r="C99" s="24"/>
      <c r="D99" s="24"/>
      <c r="E99" s="14"/>
      <c r="F99" s="16" t="str">
        <f aca="false">IF(OR($C99="",$D99=""),"",$D99-$C99)</f>
        <v/>
      </c>
      <c r="G99" s="25" t="str">
        <f aca="false">IF($A99="","",IFERROR(INDEX('2. Plot &amp; Core Log'!$M$6:$M$35,MATCH($A99,'2. Plot &amp; Core Log'!$B$6:$B$35,0)),""))</f>
        <v/>
      </c>
      <c r="H99" s="26" t="str">
        <f aca="false">IF($A99="","",IFERROR(INDEX('2. Plot &amp; Core Log'!$S$6:$S$35,MATCH($A99,'2. Plot &amp; Core Log'!$B$6:$B$35,0)),""))</f>
        <v/>
      </c>
      <c r="I99" s="16" t="str">
        <f aca="false">IF(OR($C99="",$G99=""),"",$C99*$G99)</f>
        <v/>
      </c>
      <c r="J99" s="16" t="str">
        <f aca="false">IF(OR($D99="",$G99=""),"",$D99*$G99)</f>
        <v/>
      </c>
      <c r="K99" s="16" t="str">
        <f aca="false">IF(OR($F99="",$H99=""),"",PI()*(($H99/2)^2)*$F99)</f>
        <v/>
      </c>
      <c r="L99" s="27"/>
      <c r="M99" s="27"/>
      <c r="N99" s="27"/>
      <c r="O99" s="27"/>
      <c r="P99" s="16" t="str">
        <f aca="false">IF(OR($L99="",$M99="",$L99=0),"",(($L99-$M99)/$L99)*100)</f>
        <v/>
      </c>
      <c r="Q99" s="15" t="str">
        <f aca="false">IF(OR($M99="",$K99="",$K99=0),"",$M99/$K99)</f>
        <v/>
      </c>
      <c r="R99" s="15" t="str">
        <f aca="false">IF(OR($N99="",$O99=""),"",IF(UPPER($O99)="OC",$N99,IF(UPPER($O99)="LOI",IF(OR(LOI_INTERCEPT="",LOI_SLOPE=""),"",IF(LOI_INTERCEPT+LOI_SLOPE*$N99&lt;0,"",LOI_INTERCEPT+LOI_SLOPE*$N99)),"")))</f>
        <v/>
      </c>
      <c r="S99" s="18" t="str">
        <f aca="false">IF($R99="","",$R99*10)</f>
        <v/>
      </c>
      <c r="T99" s="28" t="str">
        <f aca="false">IF(OR($Q99="",$R99=""),"",$Q99*$R99/100)</f>
        <v/>
      </c>
      <c r="U99" s="29" t="str">
        <f aca="false">IF(OR($T99="",$F99=""),"",$T99*$F99)</f>
        <v/>
      </c>
      <c r="V99" s="15" t="str">
        <f aca="false">IF($U99="","",$U99*10)</f>
        <v/>
      </c>
      <c r="W99" s="15" t="str">
        <f aca="false">IF(OR($V99="",$I99="",$J99="",$J99&lt;=$I99),"",$V99*MAX(0,MIN($J99,15)-MAX($I99,0))/($J99-$I99))</f>
        <v/>
      </c>
      <c r="X99" s="15" t="str">
        <f aca="false">IF(OR($V99="",$I99="",$J99="",$J99&lt;=$I99),"",$V99*MAX(0,MIN($J99,30)-MAX($I99,15))/($J99-$I99))</f>
        <v/>
      </c>
      <c r="Y99" s="15" t="str">
        <f aca="false">IF(OR($V99="",$I99="",$J99="",$J99&lt;=$I99),"",$V99*MAX(0,MIN($J99,50)-MAX($I99,30))/($J99-$I99))</f>
        <v/>
      </c>
      <c r="Z99" s="15" t="str">
        <f aca="false">IF(OR($V99="",$I99="",$J99="",$J99&lt;=$I99),"",$V99*MAX(0,MIN($J99,100)-MAX($I99,50))/($J99-$I99))</f>
        <v/>
      </c>
      <c r="AA99" s="16" t="str">
        <f aca="false">IF($A99="","",IF(OR($C99="",$D99="",$D99&lt;=$C99),"CHECK: depths missing, or bottom not below top",IF(COUNTIFS($A$6:$A$205,$A99,$C$6:$C$205,$C99)&gt;1,"DUPLICATE slice",IF(COUNTIFS($A$6:$A$205,$A99,$C$6:$C$205,"&lt;"&amp;$D99,$D$6:$D$205,"&gt;"&amp;$C99)&gt;1,"OVERLAP with another slice",IF(AND($C99&gt;0,COUNTIFS($A$6:$A$205,$A99,$D$6:$D$205,$C99)=0),"GAP above this slice",IF(OR($G99="",$H99=""),"CHECK: Core ID not in Core Log, or its compaction / diameter missing",IF(AND(IF(COUNTIFS('2. Plot &amp; Core Log'!$B$6:$B$35,$A99,'2. Plot &amp; Core Log'!$L$6:$L$35,"&gt;0")=0,"",SUMIFS('2. Plot &amp; Core Log'!$L$6:$L$35,'2. Plot &amp; Core Log'!$B$6:$B$35,$A99))&lt;&gt;"",$D99&gt;IF(COUNTIFS('2. Plot &amp; Core Log'!$B$6:$B$35,$A99,'2. Plot &amp; Core Log'!$L$6:$L$35,"&gt;0")=0,"",SUMIFS('2. Plot &amp; Core Log'!$L$6:$L$35,'2. Plot &amp; Core Log'!$B$6:$B$35,$A99))),"CHECK: slice deeper than the core length on Sheet 2",IF(OR($M99="",$N99="",$O99=""),"AWAITING LAB (dry weight, carbon value or type)",IF(AND(UPPER($O99)&lt;&gt;"OC",UPPER($O99)&lt;&gt;"LOI"),IF(UPPER($O99)="TC","TC is not organic carbon — ask the lab for OC or IC","CHECK: type must be OC, TC or LOI"),IF($R99="",IF(AND(LOI_INTERCEPT&lt;&gt;"",LOI_SLOPE&lt;&gt;""),"CHECK: LOI below the range of the conversion equation (OC would be &lt; 0)","CHECK: LOI conversion not set (Instructions tab)"),IF(OR($Q99&lt;=0,$Q99&gt;2.65,$R99&gt;50),"CHECK: bulk density outside 0–2.65 g/cm3 or OC &gt; 50%","OK")))))))))))</f>
        <v/>
      </c>
    </row>
    <row r="100" customFormat="false" ht="15.75" hidden="false" customHeight="true" outlineLevel="0" collapsed="false">
      <c r="A100" s="14"/>
      <c r="B100" s="14"/>
      <c r="C100" s="24"/>
      <c r="D100" s="24"/>
      <c r="E100" s="14"/>
      <c r="F100" s="16" t="str">
        <f aca="false">IF(OR($C100="",$D100=""),"",$D100-$C100)</f>
        <v/>
      </c>
      <c r="G100" s="25" t="str">
        <f aca="false">IF($A100="","",IFERROR(INDEX('2. Plot &amp; Core Log'!$M$6:$M$35,MATCH($A100,'2. Plot &amp; Core Log'!$B$6:$B$35,0)),""))</f>
        <v/>
      </c>
      <c r="H100" s="26" t="str">
        <f aca="false">IF($A100="","",IFERROR(INDEX('2. Plot &amp; Core Log'!$S$6:$S$35,MATCH($A100,'2. Plot &amp; Core Log'!$B$6:$B$35,0)),""))</f>
        <v/>
      </c>
      <c r="I100" s="16" t="str">
        <f aca="false">IF(OR($C100="",$G100=""),"",$C100*$G100)</f>
        <v/>
      </c>
      <c r="J100" s="16" t="str">
        <f aca="false">IF(OR($D100="",$G100=""),"",$D100*$G100)</f>
        <v/>
      </c>
      <c r="K100" s="16" t="str">
        <f aca="false">IF(OR($F100="",$H100=""),"",PI()*(($H100/2)^2)*$F100)</f>
        <v/>
      </c>
      <c r="L100" s="27"/>
      <c r="M100" s="27"/>
      <c r="N100" s="27"/>
      <c r="O100" s="27"/>
      <c r="P100" s="16" t="str">
        <f aca="false">IF(OR($L100="",$M100="",$L100=0),"",(($L100-$M100)/$L100)*100)</f>
        <v/>
      </c>
      <c r="Q100" s="15" t="str">
        <f aca="false">IF(OR($M100="",$K100="",$K100=0),"",$M100/$K100)</f>
        <v/>
      </c>
      <c r="R100" s="15" t="str">
        <f aca="false">IF(OR($N100="",$O100=""),"",IF(UPPER($O100)="OC",$N100,IF(UPPER($O100)="LOI",IF(OR(LOI_INTERCEPT="",LOI_SLOPE=""),"",IF(LOI_INTERCEPT+LOI_SLOPE*$N100&lt;0,"",LOI_INTERCEPT+LOI_SLOPE*$N100)),"")))</f>
        <v/>
      </c>
      <c r="S100" s="18" t="str">
        <f aca="false">IF($R100="","",$R100*10)</f>
        <v/>
      </c>
      <c r="T100" s="28" t="str">
        <f aca="false">IF(OR($Q100="",$R100=""),"",$Q100*$R100/100)</f>
        <v/>
      </c>
      <c r="U100" s="29" t="str">
        <f aca="false">IF(OR($T100="",$F100=""),"",$T100*$F100)</f>
        <v/>
      </c>
      <c r="V100" s="15" t="str">
        <f aca="false">IF($U100="","",$U100*10)</f>
        <v/>
      </c>
      <c r="W100" s="15" t="str">
        <f aca="false">IF(OR($V100="",$I100="",$J100="",$J100&lt;=$I100),"",$V100*MAX(0,MIN($J100,15)-MAX($I100,0))/($J100-$I100))</f>
        <v/>
      </c>
      <c r="X100" s="15" t="str">
        <f aca="false">IF(OR($V100="",$I100="",$J100="",$J100&lt;=$I100),"",$V100*MAX(0,MIN($J100,30)-MAX($I100,15))/($J100-$I100))</f>
        <v/>
      </c>
      <c r="Y100" s="15" t="str">
        <f aca="false">IF(OR($V100="",$I100="",$J100="",$J100&lt;=$I100),"",$V100*MAX(0,MIN($J100,50)-MAX($I100,30))/($J100-$I100))</f>
        <v/>
      </c>
      <c r="Z100" s="15" t="str">
        <f aca="false">IF(OR($V100="",$I100="",$J100="",$J100&lt;=$I100),"",$V100*MAX(0,MIN($J100,100)-MAX($I100,50))/($J100-$I100))</f>
        <v/>
      </c>
      <c r="AA100" s="16" t="str">
        <f aca="false">IF($A100="","",IF(OR($C100="",$D100="",$D100&lt;=$C100),"CHECK: depths missing, or bottom not below top",IF(COUNTIFS($A$6:$A$205,$A100,$C$6:$C$205,$C100)&gt;1,"DUPLICATE slice",IF(COUNTIFS($A$6:$A$205,$A100,$C$6:$C$205,"&lt;"&amp;$D100,$D$6:$D$205,"&gt;"&amp;$C100)&gt;1,"OVERLAP with another slice",IF(AND($C100&gt;0,COUNTIFS($A$6:$A$205,$A100,$D$6:$D$205,$C100)=0),"GAP above this slice",IF(OR($G100="",$H100=""),"CHECK: Core ID not in Core Log, or its compaction / diameter missing",IF(AND(IF(COUNTIFS('2. Plot &amp; Core Log'!$B$6:$B$35,$A100,'2. Plot &amp; Core Log'!$L$6:$L$35,"&gt;0")=0,"",SUMIFS('2. Plot &amp; Core Log'!$L$6:$L$35,'2. Plot &amp; Core Log'!$B$6:$B$35,$A100))&lt;&gt;"",$D100&gt;IF(COUNTIFS('2. Plot &amp; Core Log'!$B$6:$B$35,$A100,'2. Plot &amp; Core Log'!$L$6:$L$35,"&gt;0")=0,"",SUMIFS('2. Plot &amp; Core Log'!$L$6:$L$35,'2. Plot &amp; Core Log'!$B$6:$B$35,$A100))),"CHECK: slice deeper than the core length on Sheet 2",IF(OR($M100="",$N100="",$O100=""),"AWAITING LAB (dry weight, carbon value or type)",IF(AND(UPPER($O100)&lt;&gt;"OC",UPPER($O100)&lt;&gt;"LOI"),IF(UPPER($O100)="TC","TC is not organic carbon — ask the lab for OC or IC","CHECK: type must be OC, TC or LOI"),IF($R100="",IF(AND(LOI_INTERCEPT&lt;&gt;"",LOI_SLOPE&lt;&gt;""),"CHECK: LOI below the range of the conversion equation (OC would be &lt; 0)","CHECK: LOI conversion not set (Instructions tab)"),IF(OR($Q100&lt;=0,$Q100&gt;2.65,$R100&gt;50),"CHECK: bulk density outside 0–2.65 g/cm3 or OC &gt; 50%","OK")))))))))))</f>
        <v/>
      </c>
    </row>
    <row r="101" customFormat="false" ht="15.75" hidden="false" customHeight="true" outlineLevel="0" collapsed="false">
      <c r="A101" s="14"/>
      <c r="B101" s="14"/>
      <c r="C101" s="24"/>
      <c r="D101" s="24"/>
      <c r="E101" s="14"/>
      <c r="F101" s="16" t="str">
        <f aca="false">IF(OR($C101="",$D101=""),"",$D101-$C101)</f>
        <v/>
      </c>
      <c r="G101" s="25" t="str">
        <f aca="false">IF($A101="","",IFERROR(INDEX('2. Plot &amp; Core Log'!$M$6:$M$35,MATCH($A101,'2. Plot &amp; Core Log'!$B$6:$B$35,0)),""))</f>
        <v/>
      </c>
      <c r="H101" s="26" t="str">
        <f aca="false">IF($A101="","",IFERROR(INDEX('2. Plot &amp; Core Log'!$S$6:$S$35,MATCH($A101,'2. Plot &amp; Core Log'!$B$6:$B$35,0)),""))</f>
        <v/>
      </c>
      <c r="I101" s="16" t="str">
        <f aca="false">IF(OR($C101="",$G101=""),"",$C101*$G101)</f>
        <v/>
      </c>
      <c r="J101" s="16" t="str">
        <f aca="false">IF(OR($D101="",$G101=""),"",$D101*$G101)</f>
        <v/>
      </c>
      <c r="K101" s="16" t="str">
        <f aca="false">IF(OR($F101="",$H101=""),"",PI()*(($H101/2)^2)*$F101)</f>
        <v/>
      </c>
      <c r="L101" s="27"/>
      <c r="M101" s="27"/>
      <c r="N101" s="27"/>
      <c r="O101" s="27"/>
      <c r="P101" s="16" t="str">
        <f aca="false">IF(OR($L101="",$M101="",$L101=0),"",(($L101-$M101)/$L101)*100)</f>
        <v/>
      </c>
      <c r="Q101" s="15" t="str">
        <f aca="false">IF(OR($M101="",$K101="",$K101=0),"",$M101/$K101)</f>
        <v/>
      </c>
      <c r="R101" s="15" t="str">
        <f aca="false">IF(OR($N101="",$O101=""),"",IF(UPPER($O101)="OC",$N101,IF(UPPER($O101)="LOI",IF(OR(LOI_INTERCEPT="",LOI_SLOPE=""),"",IF(LOI_INTERCEPT+LOI_SLOPE*$N101&lt;0,"",LOI_INTERCEPT+LOI_SLOPE*$N101)),"")))</f>
        <v/>
      </c>
      <c r="S101" s="18" t="str">
        <f aca="false">IF($R101="","",$R101*10)</f>
        <v/>
      </c>
      <c r="T101" s="28" t="str">
        <f aca="false">IF(OR($Q101="",$R101=""),"",$Q101*$R101/100)</f>
        <v/>
      </c>
      <c r="U101" s="29" t="str">
        <f aca="false">IF(OR($T101="",$F101=""),"",$T101*$F101)</f>
        <v/>
      </c>
      <c r="V101" s="15" t="str">
        <f aca="false">IF($U101="","",$U101*10)</f>
        <v/>
      </c>
      <c r="W101" s="15" t="str">
        <f aca="false">IF(OR($V101="",$I101="",$J101="",$J101&lt;=$I101),"",$V101*MAX(0,MIN($J101,15)-MAX($I101,0))/($J101-$I101))</f>
        <v/>
      </c>
      <c r="X101" s="15" t="str">
        <f aca="false">IF(OR($V101="",$I101="",$J101="",$J101&lt;=$I101),"",$V101*MAX(0,MIN($J101,30)-MAX($I101,15))/($J101-$I101))</f>
        <v/>
      </c>
      <c r="Y101" s="15" t="str">
        <f aca="false">IF(OR($V101="",$I101="",$J101="",$J101&lt;=$I101),"",$V101*MAX(0,MIN($J101,50)-MAX($I101,30))/($J101-$I101))</f>
        <v/>
      </c>
      <c r="Z101" s="15" t="str">
        <f aca="false">IF(OR($V101="",$I101="",$J101="",$J101&lt;=$I101),"",$V101*MAX(0,MIN($J101,100)-MAX($I101,50))/($J101-$I101))</f>
        <v/>
      </c>
      <c r="AA101" s="16" t="str">
        <f aca="false">IF($A101="","",IF(OR($C101="",$D101="",$D101&lt;=$C101),"CHECK: depths missing, or bottom not below top",IF(COUNTIFS($A$6:$A$205,$A101,$C$6:$C$205,$C101)&gt;1,"DUPLICATE slice",IF(COUNTIFS($A$6:$A$205,$A101,$C$6:$C$205,"&lt;"&amp;$D101,$D$6:$D$205,"&gt;"&amp;$C101)&gt;1,"OVERLAP with another slice",IF(AND($C101&gt;0,COUNTIFS($A$6:$A$205,$A101,$D$6:$D$205,$C101)=0),"GAP above this slice",IF(OR($G101="",$H101=""),"CHECK: Core ID not in Core Log, or its compaction / diameter missing",IF(AND(IF(COUNTIFS('2. Plot &amp; Core Log'!$B$6:$B$35,$A101,'2. Plot &amp; Core Log'!$L$6:$L$35,"&gt;0")=0,"",SUMIFS('2. Plot &amp; Core Log'!$L$6:$L$35,'2. Plot &amp; Core Log'!$B$6:$B$35,$A101))&lt;&gt;"",$D101&gt;IF(COUNTIFS('2. Plot &amp; Core Log'!$B$6:$B$35,$A101,'2. Plot &amp; Core Log'!$L$6:$L$35,"&gt;0")=0,"",SUMIFS('2. Plot &amp; Core Log'!$L$6:$L$35,'2. Plot &amp; Core Log'!$B$6:$B$35,$A101))),"CHECK: slice deeper than the core length on Sheet 2",IF(OR($M101="",$N101="",$O101=""),"AWAITING LAB (dry weight, carbon value or type)",IF(AND(UPPER($O101)&lt;&gt;"OC",UPPER($O101)&lt;&gt;"LOI"),IF(UPPER($O101)="TC","TC is not organic carbon — ask the lab for OC or IC","CHECK: type must be OC, TC or LOI"),IF($R101="",IF(AND(LOI_INTERCEPT&lt;&gt;"",LOI_SLOPE&lt;&gt;""),"CHECK: LOI below the range of the conversion equation (OC would be &lt; 0)","CHECK: LOI conversion not set (Instructions tab)"),IF(OR($Q101&lt;=0,$Q101&gt;2.65,$R101&gt;50),"CHECK: bulk density outside 0–2.65 g/cm3 or OC &gt; 50%","OK")))))))))))</f>
        <v/>
      </c>
    </row>
    <row r="102" customFormat="false" ht="15.75" hidden="false" customHeight="true" outlineLevel="0" collapsed="false">
      <c r="A102" s="14"/>
      <c r="B102" s="14"/>
      <c r="C102" s="24"/>
      <c r="D102" s="24"/>
      <c r="E102" s="14"/>
      <c r="F102" s="16" t="str">
        <f aca="false">IF(OR($C102="",$D102=""),"",$D102-$C102)</f>
        <v/>
      </c>
      <c r="G102" s="25" t="str">
        <f aca="false">IF($A102="","",IFERROR(INDEX('2. Plot &amp; Core Log'!$M$6:$M$35,MATCH($A102,'2. Plot &amp; Core Log'!$B$6:$B$35,0)),""))</f>
        <v/>
      </c>
      <c r="H102" s="26" t="str">
        <f aca="false">IF($A102="","",IFERROR(INDEX('2. Plot &amp; Core Log'!$S$6:$S$35,MATCH($A102,'2. Plot &amp; Core Log'!$B$6:$B$35,0)),""))</f>
        <v/>
      </c>
      <c r="I102" s="16" t="str">
        <f aca="false">IF(OR($C102="",$G102=""),"",$C102*$G102)</f>
        <v/>
      </c>
      <c r="J102" s="16" t="str">
        <f aca="false">IF(OR($D102="",$G102=""),"",$D102*$G102)</f>
        <v/>
      </c>
      <c r="K102" s="16" t="str">
        <f aca="false">IF(OR($F102="",$H102=""),"",PI()*(($H102/2)^2)*$F102)</f>
        <v/>
      </c>
      <c r="L102" s="27"/>
      <c r="M102" s="27"/>
      <c r="N102" s="27"/>
      <c r="O102" s="27"/>
      <c r="P102" s="16" t="str">
        <f aca="false">IF(OR($L102="",$M102="",$L102=0),"",(($L102-$M102)/$L102)*100)</f>
        <v/>
      </c>
      <c r="Q102" s="15" t="str">
        <f aca="false">IF(OR($M102="",$K102="",$K102=0),"",$M102/$K102)</f>
        <v/>
      </c>
      <c r="R102" s="15" t="str">
        <f aca="false">IF(OR($N102="",$O102=""),"",IF(UPPER($O102)="OC",$N102,IF(UPPER($O102)="LOI",IF(OR(LOI_INTERCEPT="",LOI_SLOPE=""),"",IF(LOI_INTERCEPT+LOI_SLOPE*$N102&lt;0,"",LOI_INTERCEPT+LOI_SLOPE*$N102)),"")))</f>
        <v/>
      </c>
      <c r="S102" s="18" t="str">
        <f aca="false">IF($R102="","",$R102*10)</f>
        <v/>
      </c>
      <c r="T102" s="28" t="str">
        <f aca="false">IF(OR($Q102="",$R102=""),"",$Q102*$R102/100)</f>
        <v/>
      </c>
      <c r="U102" s="29" t="str">
        <f aca="false">IF(OR($T102="",$F102=""),"",$T102*$F102)</f>
        <v/>
      </c>
      <c r="V102" s="15" t="str">
        <f aca="false">IF($U102="","",$U102*10)</f>
        <v/>
      </c>
      <c r="W102" s="15" t="str">
        <f aca="false">IF(OR($V102="",$I102="",$J102="",$J102&lt;=$I102),"",$V102*MAX(0,MIN($J102,15)-MAX($I102,0))/($J102-$I102))</f>
        <v/>
      </c>
      <c r="X102" s="15" t="str">
        <f aca="false">IF(OR($V102="",$I102="",$J102="",$J102&lt;=$I102),"",$V102*MAX(0,MIN($J102,30)-MAX($I102,15))/($J102-$I102))</f>
        <v/>
      </c>
      <c r="Y102" s="15" t="str">
        <f aca="false">IF(OR($V102="",$I102="",$J102="",$J102&lt;=$I102),"",$V102*MAX(0,MIN($J102,50)-MAX($I102,30))/($J102-$I102))</f>
        <v/>
      </c>
      <c r="Z102" s="15" t="str">
        <f aca="false">IF(OR($V102="",$I102="",$J102="",$J102&lt;=$I102),"",$V102*MAX(0,MIN($J102,100)-MAX($I102,50))/($J102-$I102))</f>
        <v/>
      </c>
      <c r="AA102" s="16" t="str">
        <f aca="false">IF($A102="","",IF(OR($C102="",$D102="",$D102&lt;=$C102),"CHECK: depths missing, or bottom not below top",IF(COUNTIFS($A$6:$A$205,$A102,$C$6:$C$205,$C102)&gt;1,"DUPLICATE slice",IF(COUNTIFS($A$6:$A$205,$A102,$C$6:$C$205,"&lt;"&amp;$D102,$D$6:$D$205,"&gt;"&amp;$C102)&gt;1,"OVERLAP with another slice",IF(AND($C102&gt;0,COUNTIFS($A$6:$A$205,$A102,$D$6:$D$205,$C102)=0),"GAP above this slice",IF(OR($G102="",$H102=""),"CHECK: Core ID not in Core Log, or its compaction / diameter missing",IF(AND(IF(COUNTIFS('2. Plot &amp; Core Log'!$B$6:$B$35,$A102,'2. Plot &amp; Core Log'!$L$6:$L$35,"&gt;0")=0,"",SUMIFS('2. Plot &amp; Core Log'!$L$6:$L$35,'2. Plot &amp; Core Log'!$B$6:$B$35,$A102))&lt;&gt;"",$D102&gt;IF(COUNTIFS('2. Plot &amp; Core Log'!$B$6:$B$35,$A102,'2. Plot &amp; Core Log'!$L$6:$L$35,"&gt;0")=0,"",SUMIFS('2. Plot &amp; Core Log'!$L$6:$L$35,'2. Plot &amp; Core Log'!$B$6:$B$35,$A102))),"CHECK: slice deeper than the core length on Sheet 2",IF(OR($M102="",$N102="",$O102=""),"AWAITING LAB (dry weight, carbon value or type)",IF(AND(UPPER($O102)&lt;&gt;"OC",UPPER($O102)&lt;&gt;"LOI"),IF(UPPER($O102)="TC","TC is not organic carbon — ask the lab for OC or IC","CHECK: type must be OC, TC or LOI"),IF($R102="",IF(AND(LOI_INTERCEPT&lt;&gt;"",LOI_SLOPE&lt;&gt;""),"CHECK: LOI below the range of the conversion equation (OC would be &lt; 0)","CHECK: LOI conversion not set (Instructions tab)"),IF(OR($Q102&lt;=0,$Q102&gt;2.65,$R102&gt;50),"CHECK: bulk density outside 0–2.65 g/cm3 or OC &gt; 50%","OK")))))))))))</f>
        <v/>
      </c>
    </row>
    <row r="103" customFormat="false" ht="15.75" hidden="false" customHeight="true" outlineLevel="0" collapsed="false">
      <c r="A103" s="14"/>
      <c r="B103" s="14"/>
      <c r="C103" s="24"/>
      <c r="D103" s="24"/>
      <c r="E103" s="14"/>
      <c r="F103" s="16" t="str">
        <f aca="false">IF(OR($C103="",$D103=""),"",$D103-$C103)</f>
        <v/>
      </c>
      <c r="G103" s="25" t="str">
        <f aca="false">IF($A103="","",IFERROR(INDEX('2. Plot &amp; Core Log'!$M$6:$M$35,MATCH($A103,'2. Plot &amp; Core Log'!$B$6:$B$35,0)),""))</f>
        <v/>
      </c>
      <c r="H103" s="26" t="str">
        <f aca="false">IF($A103="","",IFERROR(INDEX('2. Plot &amp; Core Log'!$S$6:$S$35,MATCH($A103,'2. Plot &amp; Core Log'!$B$6:$B$35,0)),""))</f>
        <v/>
      </c>
      <c r="I103" s="16" t="str">
        <f aca="false">IF(OR($C103="",$G103=""),"",$C103*$G103)</f>
        <v/>
      </c>
      <c r="J103" s="16" t="str">
        <f aca="false">IF(OR($D103="",$G103=""),"",$D103*$G103)</f>
        <v/>
      </c>
      <c r="K103" s="16" t="str">
        <f aca="false">IF(OR($F103="",$H103=""),"",PI()*(($H103/2)^2)*$F103)</f>
        <v/>
      </c>
      <c r="L103" s="27"/>
      <c r="M103" s="27"/>
      <c r="N103" s="27"/>
      <c r="O103" s="27"/>
      <c r="P103" s="16" t="str">
        <f aca="false">IF(OR($L103="",$M103="",$L103=0),"",(($L103-$M103)/$L103)*100)</f>
        <v/>
      </c>
      <c r="Q103" s="15" t="str">
        <f aca="false">IF(OR($M103="",$K103="",$K103=0),"",$M103/$K103)</f>
        <v/>
      </c>
      <c r="R103" s="15" t="str">
        <f aca="false">IF(OR($N103="",$O103=""),"",IF(UPPER($O103)="OC",$N103,IF(UPPER($O103)="LOI",IF(OR(LOI_INTERCEPT="",LOI_SLOPE=""),"",IF(LOI_INTERCEPT+LOI_SLOPE*$N103&lt;0,"",LOI_INTERCEPT+LOI_SLOPE*$N103)),"")))</f>
        <v/>
      </c>
      <c r="S103" s="18" t="str">
        <f aca="false">IF($R103="","",$R103*10)</f>
        <v/>
      </c>
      <c r="T103" s="28" t="str">
        <f aca="false">IF(OR($Q103="",$R103=""),"",$Q103*$R103/100)</f>
        <v/>
      </c>
      <c r="U103" s="29" t="str">
        <f aca="false">IF(OR($T103="",$F103=""),"",$T103*$F103)</f>
        <v/>
      </c>
      <c r="V103" s="15" t="str">
        <f aca="false">IF($U103="","",$U103*10)</f>
        <v/>
      </c>
      <c r="W103" s="15" t="str">
        <f aca="false">IF(OR($V103="",$I103="",$J103="",$J103&lt;=$I103),"",$V103*MAX(0,MIN($J103,15)-MAX($I103,0))/($J103-$I103))</f>
        <v/>
      </c>
      <c r="X103" s="15" t="str">
        <f aca="false">IF(OR($V103="",$I103="",$J103="",$J103&lt;=$I103),"",$V103*MAX(0,MIN($J103,30)-MAX($I103,15))/($J103-$I103))</f>
        <v/>
      </c>
      <c r="Y103" s="15" t="str">
        <f aca="false">IF(OR($V103="",$I103="",$J103="",$J103&lt;=$I103),"",$V103*MAX(0,MIN($J103,50)-MAX($I103,30))/($J103-$I103))</f>
        <v/>
      </c>
      <c r="Z103" s="15" t="str">
        <f aca="false">IF(OR($V103="",$I103="",$J103="",$J103&lt;=$I103),"",$V103*MAX(0,MIN($J103,100)-MAX($I103,50))/($J103-$I103))</f>
        <v/>
      </c>
      <c r="AA103" s="16" t="str">
        <f aca="false">IF($A103="","",IF(OR($C103="",$D103="",$D103&lt;=$C103),"CHECK: depths missing, or bottom not below top",IF(COUNTIFS($A$6:$A$205,$A103,$C$6:$C$205,$C103)&gt;1,"DUPLICATE slice",IF(COUNTIFS($A$6:$A$205,$A103,$C$6:$C$205,"&lt;"&amp;$D103,$D$6:$D$205,"&gt;"&amp;$C103)&gt;1,"OVERLAP with another slice",IF(AND($C103&gt;0,COUNTIFS($A$6:$A$205,$A103,$D$6:$D$205,$C103)=0),"GAP above this slice",IF(OR($G103="",$H103=""),"CHECK: Core ID not in Core Log, or its compaction / diameter missing",IF(AND(IF(COUNTIFS('2. Plot &amp; Core Log'!$B$6:$B$35,$A103,'2. Plot &amp; Core Log'!$L$6:$L$35,"&gt;0")=0,"",SUMIFS('2. Plot &amp; Core Log'!$L$6:$L$35,'2. Plot &amp; Core Log'!$B$6:$B$35,$A103))&lt;&gt;"",$D103&gt;IF(COUNTIFS('2. Plot &amp; Core Log'!$B$6:$B$35,$A103,'2. Plot &amp; Core Log'!$L$6:$L$35,"&gt;0")=0,"",SUMIFS('2. Plot &amp; Core Log'!$L$6:$L$35,'2. Plot &amp; Core Log'!$B$6:$B$35,$A103))),"CHECK: slice deeper than the core length on Sheet 2",IF(OR($M103="",$N103="",$O103=""),"AWAITING LAB (dry weight, carbon value or type)",IF(AND(UPPER($O103)&lt;&gt;"OC",UPPER($O103)&lt;&gt;"LOI"),IF(UPPER($O103)="TC","TC is not organic carbon — ask the lab for OC or IC","CHECK: type must be OC, TC or LOI"),IF($R103="",IF(AND(LOI_INTERCEPT&lt;&gt;"",LOI_SLOPE&lt;&gt;""),"CHECK: LOI below the range of the conversion equation (OC would be &lt; 0)","CHECK: LOI conversion not set (Instructions tab)"),IF(OR($Q103&lt;=0,$Q103&gt;2.65,$R103&gt;50),"CHECK: bulk density outside 0–2.65 g/cm3 or OC &gt; 50%","OK")))))))))))</f>
        <v/>
      </c>
    </row>
    <row r="104" customFormat="false" ht="15.75" hidden="false" customHeight="true" outlineLevel="0" collapsed="false">
      <c r="A104" s="14"/>
      <c r="B104" s="14"/>
      <c r="C104" s="24"/>
      <c r="D104" s="24"/>
      <c r="E104" s="14"/>
      <c r="F104" s="16" t="str">
        <f aca="false">IF(OR($C104="",$D104=""),"",$D104-$C104)</f>
        <v/>
      </c>
      <c r="G104" s="25" t="str">
        <f aca="false">IF($A104="","",IFERROR(INDEX('2. Plot &amp; Core Log'!$M$6:$M$35,MATCH($A104,'2. Plot &amp; Core Log'!$B$6:$B$35,0)),""))</f>
        <v/>
      </c>
      <c r="H104" s="26" t="str">
        <f aca="false">IF($A104="","",IFERROR(INDEX('2. Plot &amp; Core Log'!$S$6:$S$35,MATCH($A104,'2. Plot &amp; Core Log'!$B$6:$B$35,0)),""))</f>
        <v/>
      </c>
      <c r="I104" s="16" t="str">
        <f aca="false">IF(OR($C104="",$G104=""),"",$C104*$G104)</f>
        <v/>
      </c>
      <c r="J104" s="16" t="str">
        <f aca="false">IF(OR($D104="",$G104=""),"",$D104*$G104)</f>
        <v/>
      </c>
      <c r="K104" s="16" t="str">
        <f aca="false">IF(OR($F104="",$H104=""),"",PI()*(($H104/2)^2)*$F104)</f>
        <v/>
      </c>
      <c r="L104" s="27"/>
      <c r="M104" s="27"/>
      <c r="N104" s="27"/>
      <c r="O104" s="27"/>
      <c r="P104" s="16" t="str">
        <f aca="false">IF(OR($L104="",$M104="",$L104=0),"",(($L104-$M104)/$L104)*100)</f>
        <v/>
      </c>
      <c r="Q104" s="15" t="str">
        <f aca="false">IF(OR($M104="",$K104="",$K104=0),"",$M104/$K104)</f>
        <v/>
      </c>
      <c r="R104" s="15" t="str">
        <f aca="false">IF(OR($N104="",$O104=""),"",IF(UPPER($O104)="OC",$N104,IF(UPPER($O104)="LOI",IF(OR(LOI_INTERCEPT="",LOI_SLOPE=""),"",IF(LOI_INTERCEPT+LOI_SLOPE*$N104&lt;0,"",LOI_INTERCEPT+LOI_SLOPE*$N104)),"")))</f>
        <v/>
      </c>
      <c r="S104" s="18" t="str">
        <f aca="false">IF($R104="","",$R104*10)</f>
        <v/>
      </c>
      <c r="T104" s="28" t="str">
        <f aca="false">IF(OR($Q104="",$R104=""),"",$Q104*$R104/100)</f>
        <v/>
      </c>
      <c r="U104" s="29" t="str">
        <f aca="false">IF(OR($T104="",$F104=""),"",$T104*$F104)</f>
        <v/>
      </c>
      <c r="V104" s="15" t="str">
        <f aca="false">IF($U104="","",$U104*10)</f>
        <v/>
      </c>
      <c r="W104" s="15" t="str">
        <f aca="false">IF(OR($V104="",$I104="",$J104="",$J104&lt;=$I104),"",$V104*MAX(0,MIN($J104,15)-MAX($I104,0))/($J104-$I104))</f>
        <v/>
      </c>
      <c r="X104" s="15" t="str">
        <f aca="false">IF(OR($V104="",$I104="",$J104="",$J104&lt;=$I104),"",$V104*MAX(0,MIN($J104,30)-MAX($I104,15))/($J104-$I104))</f>
        <v/>
      </c>
      <c r="Y104" s="15" t="str">
        <f aca="false">IF(OR($V104="",$I104="",$J104="",$J104&lt;=$I104),"",$V104*MAX(0,MIN($J104,50)-MAX($I104,30))/($J104-$I104))</f>
        <v/>
      </c>
      <c r="Z104" s="15" t="str">
        <f aca="false">IF(OR($V104="",$I104="",$J104="",$J104&lt;=$I104),"",$V104*MAX(0,MIN($J104,100)-MAX($I104,50))/($J104-$I104))</f>
        <v/>
      </c>
      <c r="AA104" s="16" t="str">
        <f aca="false">IF($A104="","",IF(OR($C104="",$D104="",$D104&lt;=$C104),"CHECK: depths missing, or bottom not below top",IF(COUNTIFS($A$6:$A$205,$A104,$C$6:$C$205,$C104)&gt;1,"DUPLICATE slice",IF(COUNTIFS($A$6:$A$205,$A104,$C$6:$C$205,"&lt;"&amp;$D104,$D$6:$D$205,"&gt;"&amp;$C104)&gt;1,"OVERLAP with another slice",IF(AND($C104&gt;0,COUNTIFS($A$6:$A$205,$A104,$D$6:$D$205,$C104)=0),"GAP above this slice",IF(OR($G104="",$H104=""),"CHECK: Core ID not in Core Log, or its compaction / diameter missing",IF(AND(IF(COUNTIFS('2. Plot &amp; Core Log'!$B$6:$B$35,$A104,'2. Plot &amp; Core Log'!$L$6:$L$35,"&gt;0")=0,"",SUMIFS('2. Plot &amp; Core Log'!$L$6:$L$35,'2. Plot &amp; Core Log'!$B$6:$B$35,$A104))&lt;&gt;"",$D104&gt;IF(COUNTIFS('2. Plot &amp; Core Log'!$B$6:$B$35,$A104,'2. Plot &amp; Core Log'!$L$6:$L$35,"&gt;0")=0,"",SUMIFS('2. Plot &amp; Core Log'!$L$6:$L$35,'2. Plot &amp; Core Log'!$B$6:$B$35,$A104))),"CHECK: slice deeper than the core length on Sheet 2",IF(OR($M104="",$N104="",$O104=""),"AWAITING LAB (dry weight, carbon value or type)",IF(AND(UPPER($O104)&lt;&gt;"OC",UPPER($O104)&lt;&gt;"LOI"),IF(UPPER($O104)="TC","TC is not organic carbon — ask the lab for OC or IC","CHECK: type must be OC, TC or LOI"),IF($R104="",IF(AND(LOI_INTERCEPT&lt;&gt;"",LOI_SLOPE&lt;&gt;""),"CHECK: LOI below the range of the conversion equation (OC would be &lt; 0)","CHECK: LOI conversion not set (Instructions tab)"),IF(OR($Q104&lt;=0,$Q104&gt;2.65,$R104&gt;50),"CHECK: bulk density outside 0–2.65 g/cm3 or OC &gt; 50%","OK")))))))))))</f>
        <v/>
      </c>
    </row>
    <row r="105" customFormat="false" ht="15.75" hidden="false" customHeight="true" outlineLevel="0" collapsed="false">
      <c r="A105" s="14"/>
      <c r="B105" s="14"/>
      <c r="C105" s="24"/>
      <c r="D105" s="24"/>
      <c r="E105" s="14"/>
      <c r="F105" s="16" t="str">
        <f aca="false">IF(OR($C105="",$D105=""),"",$D105-$C105)</f>
        <v/>
      </c>
      <c r="G105" s="25" t="str">
        <f aca="false">IF($A105="","",IFERROR(INDEX('2. Plot &amp; Core Log'!$M$6:$M$35,MATCH($A105,'2. Plot &amp; Core Log'!$B$6:$B$35,0)),""))</f>
        <v/>
      </c>
      <c r="H105" s="26" t="str">
        <f aca="false">IF($A105="","",IFERROR(INDEX('2. Plot &amp; Core Log'!$S$6:$S$35,MATCH($A105,'2. Plot &amp; Core Log'!$B$6:$B$35,0)),""))</f>
        <v/>
      </c>
      <c r="I105" s="16" t="str">
        <f aca="false">IF(OR($C105="",$G105=""),"",$C105*$G105)</f>
        <v/>
      </c>
      <c r="J105" s="16" t="str">
        <f aca="false">IF(OR($D105="",$G105=""),"",$D105*$G105)</f>
        <v/>
      </c>
      <c r="K105" s="16" t="str">
        <f aca="false">IF(OR($F105="",$H105=""),"",PI()*(($H105/2)^2)*$F105)</f>
        <v/>
      </c>
      <c r="L105" s="27"/>
      <c r="M105" s="27"/>
      <c r="N105" s="27"/>
      <c r="O105" s="27"/>
      <c r="P105" s="16" t="str">
        <f aca="false">IF(OR($L105="",$M105="",$L105=0),"",(($L105-$M105)/$L105)*100)</f>
        <v/>
      </c>
      <c r="Q105" s="15" t="str">
        <f aca="false">IF(OR($M105="",$K105="",$K105=0),"",$M105/$K105)</f>
        <v/>
      </c>
      <c r="R105" s="15" t="str">
        <f aca="false">IF(OR($N105="",$O105=""),"",IF(UPPER($O105)="OC",$N105,IF(UPPER($O105)="LOI",IF(OR(LOI_INTERCEPT="",LOI_SLOPE=""),"",IF(LOI_INTERCEPT+LOI_SLOPE*$N105&lt;0,"",LOI_INTERCEPT+LOI_SLOPE*$N105)),"")))</f>
        <v/>
      </c>
      <c r="S105" s="18" t="str">
        <f aca="false">IF($R105="","",$R105*10)</f>
        <v/>
      </c>
      <c r="T105" s="28" t="str">
        <f aca="false">IF(OR($Q105="",$R105=""),"",$Q105*$R105/100)</f>
        <v/>
      </c>
      <c r="U105" s="29" t="str">
        <f aca="false">IF(OR($T105="",$F105=""),"",$T105*$F105)</f>
        <v/>
      </c>
      <c r="V105" s="15" t="str">
        <f aca="false">IF($U105="","",$U105*10)</f>
        <v/>
      </c>
      <c r="W105" s="15" t="str">
        <f aca="false">IF(OR($V105="",$I105="",$J105="",$J105&lt;=$I105),"",$V105*MAX(0,MIN($J105,15)-MAX($I105,0))/($J105-$I105))</f>
        <v/>
      </c>
      <c r="X105" s="15" t="str">
        <f aca="false">IF(OR($V105="",$I105="",$J105="",$J105&lt;=$I105),"",$V105*MAX(0,MIN($J105,30)-MAX($I105,15))/($J105-$I105))</f>
        <v/>
      </c>
      <c r="Y105" s="15" t="str">
        <f aca="false">IF(OR($V105="",$I105="",$J105="",$J105&lt;=$I105),"",$V105*MAX(0,MIN($J105,50)-MAX($I105,30))/($J105-$I105))</f>
        <v/>
      </c>
      <c r="Z105" s="15" t="str">
        <f aca="false">IF(OR($V105="",$I105="",$J105="",$J105&lt;=$I105),"",$V105*MAX(0,MIN($J105,100)-MAX($I105,50))/($J105-$I105))</f>
        <v/>
      </c>
      <c r="AA105" s="16" t="str">
        <f aca="false">IF($A105="","",IF(OR($C105="",$D105="",$D105&lt;=$C105),"CHECK: depths missing, or bottom not below top",IF(COUNTIFS($A$6:$A$205,$A105,$C$6:$C$205,$C105)&gt;1,"DUPLICATE slice",IF(COUNTIFS($A$6:$A$205,$A105,$C$6:$C$205,"&lt;"&amp;$D105,$D$6:$D$205,"&gt;"&amp;$C105)&gt;1,"OVERLAP with another slice",IF(AND($C105&gt;0,COUNTIFS($A$6:$A$205,$A105,$D$6:$D$205,$C105)=0),"GAP above this slice",IF(OR($G105="",$H105=""),"CHECK: Core ID not in Core Log, or its compaction / diameter missing",IF(AND(IF(COUNTIFS('2. Plot &amp; Core Log'!$B$6:$B$35,$A105,'2. Plot &amp; Core Log'!$L$6:$L$35,"&gt;0")=0,"",SUMIFS('2. Plot &amp; Core Log'!$L$6:$L$35,'2. Plot &amp; Core Log'!$B$6:$B$35,$A105))&lt;&gt;"",$D105&gt;IF(COUNTIFS('2. Plot &amp; Core Log'!$B$6:$B$35,$A105,'2. Plot &amp; Core Log'!$L$6:$L$35,"&gt;0")=0,"",SUMIFS('2. Plot &amp; Core Log'!$L$6:$L$35,'2. Plot &amp; Core Log'!$B$6:$B$35,$A105))),"CHECK: slice deeper than the core length on Sheet 2",IF(OR($M105="",$N105="",$O105=""),"AWAITING LAB (dry weight, carbon value or type)",IF(AND(UPPER($O105)&lt;&gt;"OC",UPPER($O105)&lt;&gt;"LOI"),IF(UPPER($O105)="TC","TC is not organic carbon — ask the lab for OC or IC","CHECK: type must be OC, TC or LOI"),IF($R105="",IF(AND(LOI_INTERCEPT&lt;&gt;"",LOI_SLOPE&lt;&gt;""),"CHECK: LOI below the range of the conversion equation (OC would be &lt; 0)","CHECK: LOI conversion not set (Instructions tab)"),IF(OR($Q105&lt;=0,$Q105&gt;2.65,$R105&gt;50),"CHECK: bulk density outside 0–2.65 g/cm3 or OC &gt; 50%","OK")))))))))))</f>
        <v/>
      </c>
    </row>
    <row r="106" customFormat="false" ht="15.75" hidden="false" customHeight="true" outlineLevel="0" collapsed="false">
      <c r="A106" s="14"/>
      <c r="B106" s="14"/>
      <c r="C106" s="24"/>
      <c r="D106" s="24"/>
      <c r="E106" s="14"/>
      <c r="F106" s="16" t="str">
        <f aca="false">IF(OR($C106="",$D106=""),"",$D106-$C106)</f>
        <v/>
      </c>
      <c r="G106" s="25" t="str">
        <f aca="false">IF($A106="","",IFERROR(INDEX('2. Plot &amp; Core Log'!$M$6:$M$35,MATCH($A106,'2. Plot &amp; Core Log'!$B$6:$B$35,0)),""))</f>
        <v/>
      </c>
      <c r="H106" s="26" t="str">
        <f aca="false">IF($A106="","",IFERROR(INDEX('2. Plot &amp; Core Log'!$S$6:$S$35,MATCH($A106,'2. Plot &amp; Core Log'!$B$6:$B$35,0)),""))</f>
        <v/>
      </c>
      <c r="I106" s="16" t="str">
        <f aca="false">IF(OR($C106="",$G106=""),"",$C106*$G106)</f>
        <v/>
      </c>
      <c r="J106" s="16" t="str">
        <f aca="false">IF(OR($D106="",$G106=""),"",$D106*$G106)</f>
        <v/>
      </c>
      <c r="K106" s="16" t="str">
        <f aca="false">IF(OR($F106="",$H106=""),"",PI()*(($H106/2)^2)*$F106)</f>
        <v/>
      </c>
      <c r="L106" s="27"/>
      <c r="M106" s="27"/>
      <c r="N106" s="27"/>
      <c r="O106" s="27"/>
      <c r="P106" s="16" t="str">
        <f aca="false">IF(OR($L106="",$M106="",$L106=0),"",(($L106-$M106)/$L106)*100)</f>
        <v/>
      </c>
      <c r="Q106" s="15" t="str">
        <f aca="false">IF(OR($M106="",$K106="",$K106=0),"",$M106/$K106)</f>
        <v/>
      </c>
      <c r="R106" s="15" t="str">
        <f aca="false">IF(OR($N106="",$O106=""),"",IF(UPPER($O106)="OC",$N106,IF(UPPER($O106)="LOI",IF(OR(LOI_INTERCEPT="",LOI_SLOPE=""),"",IF(LOI_INTERCEPT+LOI_SLOPE*$N106&lt;0,"",LOI_INTERCEPT+LOI_SLOPE*$N106)),"")))</f>
        <v/>
      </c>
      <c r="S106" s="18" t="str">
        <f aca="false">IF($R106="","",$R106*10)</f>
        <v/>
      </c>
      <c r="T106" s="28" t="str">
        <f aca="false">IF(OR($Q106="",$R106=""),"",$Q106*$R106/100)</f>
        <v/>
      </c>
      <c r="U106" s="29" t="str">
        <f aca="false">IF(OR($T106="",$F106=""),"",$T106*$F106)</f>
        <v/>
      </c>
      <c r="V106" s="15" t="str">
        <f aca="false">IF($U106="","",$U106*10)</f>
        <v/>
      </c>
      <c r="W106" s="15" t="str">
        <f aca="false">IF(OR($V106="",$I106="",$J106="",$J106&lt;=$I106),"",$V106*MAX(0,MIN($J106,15)-MAX($I106,0))/($J106-$I106))</f>
        <v/>
      </c>
      <c r="X106" s="15" t="str">
        <f aca="false">IF(OR($V106="",$I106="",$J106="",$J106&lt;=$I106),"",$V106*MAX(0,MIN($J106,30)-MAX($I106,15))/($J106-$I106))</f>
        <v/>
      </c>
      <c r="Y106" s="15" t="str">
        <f aca="false">IF(OR($V106="",$I106="",$J106="",$J106&lt;=$I106),"",$V106*MAX(0,MIN($J106,50)-MAX($I106,30))/($J106-$I106))</f>
        <v/>
      </c>
      <c r="Z106" s="15" t="str">
        <f aca="false">IF(OR($V106="",$I106="",$J106="",$J106&lt;=$I106),"",$V106*MAX(0,MIN($J106,100)-MAX($I106,50))/($J106-$I106))</f>
        <v/>
      </c>
      <c r="AA106" s="16" t="str">
        <f aca="false">IF($A106="","",IF(OR($C106="",$D106="",$D106&lt;=$C106),"CHECK: depths missing, or bottom not below top",IF(COUNTIFS($A$6:$A$205,$A106,$C$6:$C$205,$C106)&gt;1,"DUPLICATE slice",IF(COUNTIFS($A$6:$A$205,$A106,$C$6:$C$205,"&lt;"&amp;$D106,$D$6:$D$205,"&gt;"&amp;$C106)&gt;1,"OVERLAP with another slice",IF(AND($C106&gt;0,COUNTIFS($A$6:$A$205,$A106,$D$6:$D$205,$C106)=0),"GAP above this slice",IF(OR($G106="",$H106=""),"CHECK: Core ID not in Core Log, or its compaction / diameter missing",IF(AND(IF(COUNTIFS('2. Plot &amp; Core Log'!$B$6:$B$35,$A106,'2. Plot &amp; Core Log'!$L$6:$L$35,"&gt;0")=0,"",SUMIFS('2. Plot &amp; Core Log'!$L$6:$L$35,'2. Plot &amp; Core Log'!$B$6:$B$35,$A106))&lt;&gt;"",$D106&gt;IF(COUNTIFS('2. Plot &amp; Core Log'!$B$6:$B$35,$A106,'2. Plot &amp; Core Log'!$L$6:$L$35,"&gt;0")=0,"",SUMIFS('2. Plot &amp; Core Log'!$L$6:$L$35,'2. Plot &amp; Core Log'!$B$6:$B$35,$A106))),"CHECK: slice deeper than the core length on Sheet 2",IF(OR($M106="",$N106="",$O106=""),"AWAITING LAB (dry weight, carbon value or type)",IF(AND(UPPER($O106)&lt;&gt;"OC",UPPER($O106)&lt;&gt;"LOI"),IF(UPPER($O106)="TC","TC is not organic carbon — ask the lab for OC or IC","CHECK: type must be OC, TC or LOI"),IF($R106="",IF(AND(LOI_INTERCEPT&lt;&gt;"",LOI_SLOPE&lt;&gt;""),"CHECK: LOI below the range of the conversion equation (OC would be &lt; 0)","CHECK: LOI conversion not set (Instructions tab)"),IF(OR($Q106&lt;=0,$Q106&gt;2.65,$R106&gt;50),"CHECK: bulk density outside 0–2.65 g/cm3 or OC &gt; 50%","OK")))))))))))</f>
        <v/>
      </c>
    </row>
    <row r="107" customFormat="false" ht="15.75" hidden="false" customHeight="true" outlineLevel="0" collapsed="false">
      <c r="A107" s="14"/>
      <c r="B107" s="14"/>
      <c r="C107" s="24"/>
      <c r="D107" s="24"/>
      <c r="E107" s="14"/>
      <c r="F107" s="16" t="str">
        <f aca="false">IF(OR($C107="",$D107=""),"",$D107-$C107)</f>
        <v/>
      </c>
      <c r="G107" s="25" t="str">
        <f aca="false">IF($A107="","",IFERROR(INDEX('2. Plot &amp; Core Log'!$M$6:$M$35,MATCH($A107,'2. Plot &amp; Core Log'!$B$6:$B$35,0)),""))</f>
        <v/>
      </c>
      <c r="H107" s="26" t="str">
        <f aca="false">IF($A107="","",IFERROR(INDEX('2. Plot &amp; Core Log'!$S$6:$S$35,MATCH($A107,'2. Plot &amp; Core Log'!$B$6:$B$35,0)),""))</f>
        <v/>
      </c>
      <c r="I107" s="16" t="str">
        <f aca="false">IF(OR($C107="",$G107=""),"",$C107*$G107)</f>
        <v/>
      </c>
      <c r="J107" s="16" t="str">
        <f aca="false">IF(OR($D107="",$G107=""),"",$D107*$G107)</f>
        <v/>
      </c>
      <c r="K107" s="16" t="str">
        <f aca="false">IF(OR($F107="",$H107=""),"",PI()*(($H107/2)^2)*$F107)</f>
        <v/>
      </c>
      <c r="L107" s="27"/>
      <c r="M107" s="27"/>
      <c r="N107" s="27"/>
      <c r="O107" s="27"/>
      <c r="P107" s="16" t="str">
        <f aca="false">IF(OR($L107="",$M107="",$L107=0),"",(($L107-$M107)/$L107)*100)</f>
        <v/>
      </c>
      <c r="Q107" s="15" t="str">
        <f aca="false">IF(OR($M107="",$K107="",$K107=0),"",$M107/$K107)</f>
        <v/>
      </c>
      <c r="R107" s="15" t="str">
        <f aca="false">IF(OR($N107="",$O107=""),"",IF(UPPER($O107)="OC",$N107,IF(UPPER($O107)="LOI",IF(OR(LOI_INTERCEPT="",LOI_SLOPE=""),"",IF(LOI_INTERCEPT+LOI_SLOPE*$N107&lt;0,"",LOI_INTERCEPT+LOI_SLOPE*$N107)),"")))</f>
        <v/>
      </c>
      <c r="S107" s="18" t="str">
        <f aca="false">IF($R107="","",$R107*10)</f>
        <v/>
      </c>
      <c r="T107" s="28" t="str">
        <f aca="false">IF(OR($Q107="",$R107=""),"",$Q107*$R107/100)</f>
        <v/>
      </c>
      <c r="U107" s="29" t="str">
        <f aca="false">IF(OR($T107="",$F107=""),"",$T107*$F107)</f>
        <v/>
      </c>
      <c r="V107" s="15" t="str">
        <f aca="false">IF($U107="","",$U107*10)</f>
        <v/>
      </c>
      <c r="W107" s="15" t="str">
        <f aca="false">IF(OR($V107="",$I107="",$J107="",$J107&lt;=$I107),"",$V107*MAX(0,MIN($J107,15)-MAX($I107,0))/($J107-$I107))</f>
        <v/>
      </c>
      <c r="X107" s="15" t="str">
        <f aca="false">IF(OR($V107="",$I107="",$J107="",$J107&lt;=$I107),"",$V107*MAX(0,MIN($J107,30)-MAX($I107,15))/($J107-$I107))</f>
        <v/>
      </c>
      <c r="Y107" s="15" t="str">
        <f aca="false">IF(OR($V107="",$I107="",$J107="",$J107&lt;=$I107),"",$V107*MAX(0,MIN($J107,50)-MAX($I107,30))/($J107-$I107))</f>
        <v/>
      </c>
      <c r="Z107" s="15" t="str">
        <f aca="false">IF(OR($V107="",$I107="",$J107="",$J107&lt;=$I107),"",$V107*MAX(0,MIN($J107,100)-MAX($I107,50))/($J107-$I107))</f>
        <v/>
      </c>
      <c r="AA107" s="16" t="str">
        <f aca="false">IF($A107="","",IF(OR($C107="",$D107="",$D107&lt;=$C107),"CHECK: depths missing, or bottom not below top",IF(COUNTIFS($A$6:$A$205,$A107,$C$6:$C$205,$C107)&gt;1,"DUPLICATE slice",IF(COUNTIFS($A$6:$A$205,$A107,$C$6:$C$205,"&lt;"&amp;$D107,$D$6:$D$205,"&gt;"&amp;$C107)&gt;1,"OVERLAP with another slice",IF(AND($C107&gt;0,COUNTIFS($A$6:$A$205,$A107,$D$6:$D$205,$C107)=0),"GAP above this slice",IF(OR($G107="",$H107=""),"CHECK: Core ID not in Core Log, or its compaction / diameter missing",IF(AND(IF(COUNTIFS('2. Plot &amp; Core Log'!$B$6:$B$35,$A107,'2. Plot &amp; Core Log'!$L$6:$L$35,"&gt;0")=0,"",SUMIFS('2. Plot &amp; Core Log'!$L$6:$L$35,'2. Plot &amp; Core Log'!$B$6:$B$35,$A107))&lt;&gt;"",$D107&gt;IF(COUNTIFS('2. Plot &amp; Core Log'!$B$6:$B$35,$A107,'2. Plot &amp; Core Log'!$L$6:$L$35,"&gt;0")=0,"",SUMIFS('2. Plot &amp; Core Log'!$L$6:$L$35,'2. Plot &amp; Core Log'!$B$6:$B$35,$A107))),"CHECK: slice deeper than the core length on Sheet 2",IF(OR($M107="",$N107="",$O107=""),"AWAITING LAB (dry weight, carbon value or type)",IF(AND(UPPER($O107)&lt;&gt;"OC",UPPER($O107)&lt;&gt;"LOI"),IF(UPPER($O107)="TC","TC is not organic carbon — ask the lab for OC or IC","CHECK: type must be OC, TC or LOI"),IF($R107="",IF(AND(LOI_INTERCEPT&lt;&gt;"",LOI_SLOPE&lt;&gt;""),"CHECK: LOI below the range of the conversion equation (OC would be &lt; 0)","CHECK: LOI conversion not set (Instructions tab)"),IF(OR($Q107&lt;=0,$Q107&gt;2.65,$R107&gt;50),"CHECK: bulk density outside 0–2.65 g/cm3 or OC &gt; 50%","OK")))))))))))</f>
        <v/>
      </c>
    </row>
    <row r="108" customFormat="false" ht="15.75" hidden="false" customHeight="true" outlineLevel="0" collapsed="false">
      <c r="A108" s="14"/>
      <c r="B108" s="14"/>
      <c r="C108" s="24"/>
      <c r="D108" s="24"/>
      <c r="E108" s="14"/>
      <c r="F108" s="16" t="str">
        <f aca="false">IF(OR($C108="",$D108=""),"",$D108-$C108)</f>
        <v/>
      </c>
      <c r="G108" s="25" t="str">
        <f aca="false">IF($A108="","",IFERROR(INDEX('2. Plot &amp; Core Log'!$M$6:$M$35,MATCH($A108,'2. Plot &amp; Core Log'!$B$6:$B$35,0)),""))</f>
        <v/>
      </c>
      <c r="H108" s="26" t="str">
        <f aca="false">IF($A108="","",IFERROR(INDEX('2. Plot &amp; Core Log'!$S$6:$S$35,MATCH($A108,'2. Plot &amp; Core Log'!$B$6:$B$35,0)),""))</f>
        <v/>
      </c>
      <c r="I108" s="16" t="str">
        <f aca="false">IF(OR($C108="",$G108=""),"",$C108*$G108)</f>
        <v/>
      </c>
      <c r="J108" s="16" t="str">
        <f aca="false">IF(OR($D108="",$G108=""),"",$D108*$G108)</f>
        <v/>
      </c>
      <c r="K108" s="16" t="str">
        <f aca="false">IF(OR($F108="",$H108=""),"",PI()*(($H108/2)^2)*$F108)</f>
        <v/>
      </c>
      <c r="L108" s="27"/>
      <c r="M108" s="27"/>
      <c r="N108" s="27"/>
      <c r="O108" s="27"/>
      <c r="P108" s="16" t="str">
        <f aca="false">IF(OR($L108="",$M108="",$L108=0),"",(($L108-$M108)/$L108)*100)</f>
        <v/>
      </c>
      <c r="Q108" s="15" t="str">
        <f aca="false">IF(OR($M108="",$K108="",$K108=0),"",$M108/$K108)</f>
        <v/>
      </c>
      <c r="R108" s="15" t="str">
        <f aca="false">IF(OR($N108="",$O108=""),"",IF(UPPER($O108)="OC",$N108,IF(UPPER($O108)="LOI",IF(OR(LOI_INTERCEPT="",LOI_SLOPE=""),"",IF(LOI_INTERCEPT+LOI_SLOPE*$N108&lt;0,"",LOI_INTERCEPT+LOI_SLOPE*$N108)),"")))</f>
        <v/>
      </c>
      <c r="S108" s="18" t="str">
        <f aca="false">IF($R108="","",$R108*10)</f>
        <v/>
      </c>
      <c r="T108" s="28" t="str">
        <f aca="false">IF(OR($Q108="",$R108=""),"",$Q108*$R108/100)</f>
        <v/>
      </c>
      <c r="U108" s="29" t="str">
        <f aca="false">IF(OR($T108="",$F108=""),"",$T108*$F108)</f>
        <v/>
      </c>
      <c r="V108" s="15" t="str">
        <f aca="false">IF($U108="","",$U108*10)</f>
        <v/>
      </c>
      <c r="W108" s="15" t="str">
        <f aca="false">IF(OR($V108="",$I108="",$J108="",$J108&lt;=$I108),"",$V108*MAX(0,MIN($J108,15)-MAX($I108,0))/($J108-$I108))</f>
        <v/>
      </c>
      <c r="X108" s="15" t="str">
        <f aca="false">IF(OR($V108="",$I108="",$J108="",$J108&lt;=$I108),"",$V108*MAX(0,MIN($J108,30)-MAX($I108,15))/($J108-$I108))</f>
        <v/>
      </c>
      <c r="Y108" s="15" t="str">
        <f aca="false">IF(OR($V108="",$I108="",$J108="",$J108&lt;=$I108),"",$V108*MAX(0,MIN($J108,50)-MAX($I108,30))/($J108-$I108))</f>
        <v/>
      </c>
      <c r="Z108" s="15" t="str">
        <f aca="false">IF(OR($V108="",$I108="",$J108="",$J108&lt;=$I108),"",$V108*MAX(0,MIN($J108,100)-MAX($I108,50))/($J108-$I108))</f>
        <v/>
      </c>
      <c r="AA108" s="16" t="str">
        <f aca="false">IF($A108="","",IF(OR($C108="",$D108="",$D108&lt;=$C108),"CHECK: depths missing, or bottom not below top",IF(COUNTIFS($A$6:$A$205,$A108,$C$6:$C$205,$C108)&gt;1,"DUPLICATE slice",IF(COUNTIFS($A$6:$A$205,$A108,$C$6:$C$205,"&lt;"&amp;$D108,$D$6:$D$205,"&gt;"&amp;$C108)&gt;1,"OVERLAP with another slice",IF(AND($C108&gt;0,COUNTIFS($A$6:$A$205,$A108,$D$6:$D$205,$C108)=0),"GAP above this slice",IF(OR($G108="",$H108=""),"CHECK: Core ID not in Core Log, or its compaction / diameter missing",IF(AND(IF(COUNTIFS('2. Plot &amp; Core Log'!$B$6:$B$35,$A108,'2. Plot &amp; Core Log'!$L$6:$L$35,"&gt;0")=0,"",SUMIFS('2. Plot &amp; Core Log'!$L$6:$L$35,'2. Plot &amp; Core Log'!$B$6:$B$35,$A108))&lt;&gt;"",$D108&gt;IF(COUNTIFS('2. Plot &amp; Core Log'!$B$6:$B$35,$A108,'2. Plot &amp; Core Log'!$L$6:$L$35,"&gt;0")=0,"",SUMIFS('2. Plot &amp; Core Log'!$L$6:$L$35,'2. Plot &amp; Core Log'!$B$6:$B$35,$A108))),"CHECK: slice deeper than the core length on Sheet 2",IF(OR($M108="",$N108="",$O108=""),"AWAITING LAB (dry weight, carbon value or type)",IF(AND(UPPER($O108)&lt;&gt;"OC",UPPER($O108)&lt;&gt;"LOI"),IF(UPPER($O108)="TC","TC is not organic carbon — ask the lab for OC or IC","CHECK: type must be OC, TC or LOI"),IF($R108="",IF(AND(LOI_INTERCEPT&lt;&gt;"",LOI_SLOPE&lt;&gt;""),"CHECK: LOI below the range of the conversion equation (OC would be &lt; 0)","CHECK: LOI conversion not set (Instructions tab)"),IF(OR($Q108&lt;=0,$Q108&gt;2.65,$R108&gt;50),"CHECK: bulk density outside 0–2.65 g/cm3 or OC &gt; 50%","OK")))))))))))</f>
        <v/>
      </c>
    </row>
    <row r="109" customFormat="false" ht="15.75" hidden="false" customHeight="true" outlineLevel="0" collapsed="false">
      <c r="A109" s="14"/>
      <c r="B109" s="14"/>
      <c r="C109" s="24"/>
      <c r="D109" s="24"/>
      <c r="E109" s="14"/>
      <c r="F109" s="16" t="str">
        <f aca="false">IF(OR($C109="",$D109=""),"",$D109-$C109)</f>
        <v/>
      </c>
      <c r="G109" s="25" t="str">
        <f aca="false">IF($A109="","",IFERROR(INDEX('2. Plot &amp; Core Log'!$M$6:$M$35,MATCH($A109,'2. Plot &amp; Core Log'!$B$6:$B$35,0)),""))</f>
        <v/>
      </c>
      <c r="H109" s="26" t="str">
        <f aca="false">IF($A109="","",IFERROR(INDEX('2. Plot &amp; Core Log'!$S$6:$S$35,MATCH($A109,'2. Plot &amp; Core Log'!$B$6:$B$35,0)),""))</f>
        <v/>
      </c>
      <c r="I109" s="16" t="str">
        <f aca="false">IF(OR($C109="",$G109=""),"",$C109*$G109)</f>
        <v/>
      </c>
      <c r="J109" s="16" t="str">
        <f aca="false">IF(OR($D109="",$G109=""),"",$D109*$G109)</f>
        <v/>
      </c>
      <c r="K109" s="16" t="str">
        <f aca="false">IF(OR($F109="",$H109=""),"",PI()*(($H109/2)^2)*$F109)</f>
        <v/>
      </c>
      <c r="L109" s="27"/>
      <c r="M109" s="27"/>
      <c r="N109" s="27"/>
      <c r="O109" s="27"/>
      <c r="P109" s="16" t="str">
        <f aca="false">IF(OR($L109="",$M109="",$L109=0),"",(($L109-$M109)/$L109)*100)</f>
        <v/>
      </c>
      <c r="Q109" s="15" t="str">
        <f aca="false">IF(OR($M109="",$K109="",$K109=0),"",$M109/$K109)</f>
        <v/>
      </c>
      <c r="R109" s="15" t="str">
        <f aca="false">IF(OR($N109="",$O109=""),"",IF(UPPER($O109)="OC",$N109,IF(UPPER($O109)="LOI",IF(OR(LOI_INTERCEPT="",LOI_SLOPE=""),"",IF(LOI_INTERCEPT+LOI_SLOPE*$N109&lt;0,"",LOI_INTERCEPT+LOI_SLOPE*$N109)),"")))</f>
        <v/>
      </c>
      <c r="S109" s="18" t="str">
        <f aca="false">IF($R109="","",$R109*10)</f>
        <v/>
      </c>
      <c r="T109" s="28" t="str">
        <f aca="false">IF(OR($Q109="",$R109=""),"",$Q109*$R109/100)</f>
        <v/>
      </c>
      <c r="U109" s="29" t="str">
        <f aca="false">IF(OR($T109="",$F109=""),"",$T109*$F109)</f>
        <v/>
      </c>
      <c r="V109" s="15" t="str">
        <f aca="false">IF($U109="","",$U109*10)</f>
        <v/>
      </c>
      <c r="W109" s="15" t="str">
        <f aca="false">IF(OR($V109="",$I109="",$J109="",$J109&lt;=$I109),"",$V109*MAX(0,MIN($J109,15)-MAX($I109,0))/($J109-$I109))</f>
        <v/>
      </c>
      <c r="X109" s="15" t="str">
        <f aca="false">IF(OR($V109="",$I109="",$J109="",$J109&lt;=$I109),"",$V109*MAX(0,MIN($J109,30)-MAX($I109,15))/($J109-$I109))</f>
        <v/>
      </c>
      <c r="Y109" s="15" t="str">
        <f aca="false">IF(OR($V109="",$I109="",$J109="",$J109&lt;=$I109),"",$V109*MAX(0,MIN($J109,50)-MAX($I109,30))/($J109-$I109))</f>
        <v/>
      </c>
      <c r="Z109" s="15" t="str">
        <f aca="false">IF(OR($V109="",$I109="",$J109="",$J109&lt;=$I109),"",$V109*MAX(0,MIN($J109,100)-MAX($I109,50))/($J109-$I109))</f>
        <v/>
      </c>
      <c r="AA109" s="16" t="str">
        <f aca="false">IF($A109="","",IF(OR($C109="",$D109="",$D109&lt;=$C109),"CHECK: depths missing, or bottom not below top",IF(COUNTIFS($A$6:$A$205,$A109,$C$6:$C$205,$C109)&gt;1,"DUPLICATE slice",IF(COUNTIFS($A$6:$A$205,$A109,$C$6:$C$205,"&lt;"&amp;$D109,$D$6:$D$205,"&gt;"&amp;$C109)&gt;1,"OVERLAP with another slice",IF(AND($C109&gt;0,COUNTIFS($A$6:$A$205,$A109,$D$6:$D$205,$C109)=0),"GAP above this slice",IF(OR($G109="",$H109=""),"CHECK: Core ID not in Core Log, or its compaction / diameter missing",IF(AND(IF(COUNTIFS('2. Plot &amp; Core Log'!$B$6:$B$35,$A109,'2. Plot &amp; Core Log'!$L$6:$L$35,"&gt;0")=0,"",SUMIFS('2. Plot &amp; Core Log'!$L$6:$L$35,'2. Plot &amp; Core Log'!$B$6:$B$35,$A109))&lt;&gt;"",$D109&gt;IF(COUNTIFS('2. Plot &amp; Core Log'!$B$6:$B$35,$A109,'2. Plot &amp; Core Log'!$L$6:$L$35,"&gt;0")=0,"",SUMIFS('2. Plot &amp; Core Log'!$L$6:$L$35,'2. Plot &amp; Core Log'!$B$6:$B$35,$A109))),"CHECK: slice deeper than the core length on Sheet 2",IF(OR($M109="",$N109="",$O109=""),"AWAITING LAB (dry weight, carbon value or type)",IF(AND(UPPER($O109)&lt;&gt;"OC",UPPER($O109)&lt;&gt;"LOI"),IF(UPPER($O109)="TC","TC is not organic carbon — ask the lab for OC or IC","CHECK: type must be OC, TC or LOI"),IF($R109="",IF(AND(LOI_INTERCEPT&lt;&gt;"",LOI_SLOPE&lt;&gt;""),"CHECK: LOI below the range of the conversion equation (OC would be &lt; 0)","CHECK: LOI conversion not set (Instructions tab)"),IF(OR($Q109&lt;=0,$Q109&gt;2.65,$R109&gt;50),"CHECK: bulk density outside 0–2.65 g/cm3 or OC &gt; 50%","OK")))))))))))</f>
        <v/>
      </c>
    </row>
    <row r="110" customFormat="false" ht="15.75" hidden="false" customHeight="true" outlineLevel="0" collapsed="false">
      <c r="A110" s="14"/>
      <c r="B110" s="14"/>
      <c r="C110" s="24"/>
      <c r="D110" s="24"/>
      <c r="E110" s="14"/>
      <c r="F110" s="16" t="str">
        <f aca="false">IF(OR($C110="",$D110=""),"",$D110-$C110)</f>
        <v/>
      </c>
      <c r="G110" s="25" t="str">
        <f aca="false">IF($A110="","",IFERROR(INDEX('2. Plot &amp; Core Log'!$M$6:$M$35,MATCH($A110,'2. Plot &amp; Core Log'!$B$6:$B$35,0)),""))</f>
        <v/>
      </c>
      <c r="H110" s="26" t="str">
        <f aca="false">IF($A110="","",IFERROR(INDEX('2. Plot &amp; Core Log'!$S$6:$S$35,MATCH($A110,'2. Plot &amp; Core Log'!$B$6:$B$35,0)),""))</f>
        <v/>
      </c>
      <c r="I110" s="16" t="str">
        <f aca="false">IF(OR($C110="",$G110=""),"",$C110*$G110)</f>
        <v/>
      </c>
      <c r="J110" s="16" t="str">
        <f aca="false">IF(OR($D110="",$G110=""),"",$D110*$G110)</f>
        <v/>
      </c>
      <c r="K110" s="16" t="str">
        <f aca="false">IF(OR($F110="",$H110=""),"",PI()*(($H110/2)^2)*$F110)</f>
        <v/>
      </c>
      <c r="L110" s="27"/>
      <c r="M110" s="27"/>
      <c r="N110" s="27"/>
      <c r="O110" s="27"/>
      <c r="P110" s="16" t="str">
        <f aca="false">IF(OR($L110="",$M110="",$L110=0),"",(($L110-$M110)/$L110)*100)</f>
        <v/>
      </c>
      <c r="Q110" s="15" t="str">
        <f aca="false">IF(OR($M110="",$K110="",$K110=0),"",$M110/$K110)</f>
        <v/>
      </c>
      <c r="R110" s="15" t="str">
        <f aca="false">IF(OR($N110="",$O110=""),"",IF(UPPER($O110)="OC",$N110,IF(UPPER($O110)="LOI",IF(OR(LOI_INTERCEPT="",LOI_SLOPE=""),"",IF(LOI_INTERCEPT+LOI_SLOPE*$N110&lt;0,"",LOI_INTERCEPT+LOI_SLOPE*$N110)),"")))</f>
        <v/>
      </c>
      <c r="S110" s="18" t="str">
        <f aca="false">IF($R110="","",$R110*10)</f>
        <v/>
      </c>
      <c r="T110" s="28" t="str">
        <f aca="false">IF(OR($Q110="",$R110=""),"",$Q110*$R110/100)</f>
        <v/>
      </c>
      <c r="U110" s="29" t="str">
        <f aca="false">IF(OR($T110="",$F110=""),"",$T110*$F110)</f>
        <v/>
      </c>
      <c r="V110" s="15" t="str">
        <f aca="false">IF($U110="","",$U110*10)</f>
        <v/>
      </c>
      <c r="W110" s="15" t="str">
        <f aca="false">IF(OR($V110="",$I110="",$J110="",$J110&lt;=$I110),"",$V110*MAX(0,MIN($J110,15)-MAX($I110,0))/($J110-$I110))</f>
        <v/>
      </c>
      <c r="X110" s="15" t="str">
        <f aca="false">IF(OR($V110="",$I110="",$J110="",$J110&lt;=$I110),"",$V110*MAX(0,MIN($J110,30)-MAX($I110,15))/($J110-$I110))</f>
        <v/>
      </c>
      <c r="Y110" s="15" t="str">
        <f aca="false">IF(OR($V110="",$I110="",$J110="",$J110&lt;=$I110),"",$V110*MAX(0,MIN($J110,50)-MAX($I110,30))/($J110-$I110))</f>
        <v/>
      </c>
      <c r="Z110" s="15" t="str">
        <f aca="false">IF(OR($V110="",$I110="",$J110="",$J110&lt;=$I110),"",$V110*MAX(0,MIN($J110,100)-MAX($I110,50))/($J110-$I110))</f>
        <v/>
      </c>
      <c r="AA110" s="16" t="str">
        <f aca="false">IF($A110="","",IF(OR($C110="",$D110="",$D110&lt;=$C110),"CHECK: depths missing, or bottom not below top",IF(COUNTIFS($A$6:$A$205,$A110,$C$6:$C$205,$C110)&gt;1,"DUPLICATE slice",IF(COUNTIFS($A$6:$A$205,$A110,$C$6:$C$205,"&lt;"&amp;$D110,$D$6:$D$205,"&gt;"&amp;$C110)&gt;1,"OVERLAP with another slice",IF(AND($C110&gt;0,COUNTIFS($A$6:$A$205,$A110,$D$6:$D$205,$C110)=0),"GAP above this slice",IF(OR($G110="",$H110=""),"CHECK: Core ID not in Core Log, or its compaction / diameter missing",IF(AND(IF(COUNTIFS('2. Plot &amp; Core Log'!$B$6:$B$35,$A110,'2. Plot &amp; Core Log'!$L$6:$L$35,"&gt;0")=0,"",SUMIFS('2. Plot &amp; Core Log'!$L$6:$L$35,'2. Plot &amp; Core Log'!$B$6:$B$35,$A110))&lt;&gt;"",$D110&gt;IF(COUNTIFS('2. Plot &amp; Core Log'!$B$6:$B$35,$A110,'2. Plot &amp; Core Log'!$L$6:$L$35,"&gt;0")=0,"",SUMIFS('2. Plot &amp; Core Log'!$L$6:$L$35,'2. Plot &amp; Core Log'!$B$6:$B$35,$A110))),"CHECK: slice deeper than the core length on Sheet 2",IF(OR($M110="",$N110="",$O110=""),"AWAITING LAB (dry weight, carbon value or type)",IF(AND(UPPER($O110)&lt;&gt;"OC",UPPER($O110)&lt;&gt;"LOI"),IF(UPPER($O110)="TC","TC is not organic carbon — ask the lab for OC or IC","CHECK: type must be OC, TC or LOI"),IF($R110="",IF(AND(LOI_INTERCEPT&lt;&gt;"",LOI_SLOPE&lt;&gt;""),"CHECK: LOI below the range of the conversion equation (OC would be &lt; 0)","CHECK: LOI conversion not set (Instructions tab)"),IF(OR($Q110&lt;=0,$Q110&gt;2.65,$R110&gt;50),"CHECK: bulk density outside 0–2.65 g/cm3 or OC &gt; 50%","OK")))))))))))</f>
        <v/>
      </c>
    </row>
    <row r="111" customFormat="false" ht="15.75" hidden="false" customHeight="true" outlineLevel="0" collapsed="false">
      <c r="A111" s="14"/>
      <c r="B111" s="14"/>
      <c r="C111" s="24"/>
      <c r="D111" s="24"/>
      <c r="E111" s="14"/>
      <c r="F111" s="16" t="str">
        <f aca="false">IF(OR($C111="",$D111=""),"",$D111-$C111)</f>
        <v/>
      </c>
      <c r="G111" s="25" t="str">
        <f aca="false">IF($A111="","",IFERROR(INDEX('2. Plot &amp; Core Log'!$M$6:$M$35,MATCH($A111,'2. Plot &amp; Core Log'!$B$6:$B$35,0)),""))</f>
        <v/>
      </c>
      <c r="H111" s="26" t="str">
        <f aca="false">IF($A111="","",IFERROR(INDEX('2. Plot &amp; Core Log'!$S$6:$S$35,MATCH($A111,'2. Plot &amp; Core Log'!$B$6:$B$35,0)),""))</f>
        <v/>
      </c>
      <c r="I111" s="16" t="str">
        <f aca="false">IF(OR($C111="",$G111=""),"",$C111*$G111)</f>
        <v/>
      </c>
      <c r="J111" s="16" t="str">
        <f aca="false">IF(OR($D111="",$G111=""),"",$D111*$G111)</f>
        <v/>
      </c>
      <c r="K111" s="16" t="str">
        <f aca="false">IF(OR($F111="",$H111=""),"",PI()*(($H111/2)^2)*$F111)</f>
        <v/>
      </c>
      <c r="L111" s="27"/>
      <c r="M111" s="27"/>
      <c r="N111" s="27"/>
      <c r="O111" s="27"/>
      <c r="P111" s="16" t="str">
        <f aca="false">IF(OR($L111="",$M111="",$L111=0),"",(($L111-$M111)/$L111)*100)</f>
        <v/>
      </c>
      <c r="Q111" s="15" t="str">
        <f aca="false">IF(OR($M111="",$K111="",$K111=0),"",$M111/$K111)</f>
        <v/>
      </c>
      <c r="R111" s="15" t="str">
        <f aca="false">IF(OR($N111="",$O111=""),"",IF(UPPER($O111)="OC",$N111,IF(UPPER($O111)="LOI",IF(OR(LOI_INTERCEPT="",LOI_SLOPE=""),"",IF(LOI_INTERCEPT+LOI_SLOPE*$N111&lt;0,"",LOI_INTERCEPT+LOI_SLOPE*$N111)),"")))</f>
        <v/>
      </c>
      <c r="S111" s="18" t="str">
        <f aca="false">IF($R111="","",$R111*10)</f>
        <v/>
      </c>
      <c r="T111" s="28" t="str">
        <f aca="false">IF(OR($Q111="",$R111=""),"",$Q111*$R111/100)</f>
        <v/>
      </c>
      <c r="U111" s="29" t="str">
        <f aca="false">IF(OR($T111="",$F111=""),"",$T111*$F111)</f>
        <v/>
      </c>
      <c r="V111" s="15" t="str">
        <f aca="false">IF($U111="","",$U111*10)</f>
        <v/>
      </c>
      <c r="W111" s="15" t="str">
        <f aca="false">IF(OR($V111="",$I111="",$J111="",$J111&lt;=$I111),"",$V111*MAX(0,MIN($J111,15)-MAX($I111,0))/($J111-$I111))</f>
        <v/>
      </c>
      <c r="X111" s="15" t="str">
        <f aca="false">IF(OR($V111="",$I111="",$J111="",$J111&lt;=$I111),"",$V111*MAX(0,MIN($J111,30)-MAX($I111,15))/($J111-$I111))</f>
        <v/>
      </c>
      <c r="Y111" s="15" t="str">
        <f aca="false">IF(OR($V111="",$I111="",$J111="",$J111&lt;=$I111),"",$V111*MAX(0,MIN($J111,50)-MAX($I111,30))/($J111-$I111))</f>
        <v/>
      </c>
      <c r="Z111" s="15" t="str">
        <f aca="false">IF(OR($V111="",$I111="",$J111="",$J111&lt;=$I111),"",$V111*MAX(0,MIN($J111,100)-MAX($I111,50))/($J111-$I111))</f>
        <v/>
      </c>
      <c r="AA111" s="16" t="str">
        <f aca="false">IF($A111="","",IF(OR($C111="",$D111="",$D111&lt;=$C111),"CHECK: depths missing, or bottom not below top",IF(COUNTIFS($A$6:$A$205,$A111,$C$6:$C$205,$C111)&gt;1,"DUPLICATE slice",IF(COUNTIFS($A$6:$A$205,$A111,$C$6:$C$205,"&lt;"&amp;$D111,$D$6:$D$205,"&gt;"&amp;$C111)&gt;1,"OVERLAP with another slice",IF(AND($C111&gt;0,COUNTIFS($A$6:$A$205,$A111,$D$6:$D$205,$C111)=0),"GAP above this slice",IF(OR($G111="",$H111=""),"CHECK: Core ID not in Core Log, or its compaction / diameter missing",IF(AND(IF(COUNTIFS('2. Plot &amp; Core Log'!$B$6:$B$35,$A111,'2. Plot &amp; Core Log'!$L$6:$L$35,"&gt;0")=0,"",SUMIFS('2. Plot &amp; Core Log'!$L$6:$L$35,'2. Plot &amp; Core Log'!$B$6:$B$35,$A111))&lt;&gt;"",$D111&gt;IF(COUNTIFS('2. Plot &amp; Core Log'!$B$6:$B$35,$A111,'2. Plot &amp; Core Log'!$L$6:$L$35,"&gt;0")=0,"",SUMIFS('2. Plot &amp; Core Log'!$L$6:$L$35,'2. Plot &amp; Core Log'!$B$6:$B$35,$A111))),"CHECK: slice deeper than the core length on Sheet 2",IF(OR($M111="",$N111="",$O111=""),"AWAITING LAB (dry weight, carbon value or type)",IF(AND(UPPER($O111)&lt;&gt;"OC",UPPER($O111)&lt;&gt;"LOI"),IF(UPPER($O111)="TC","TC is not organic carbon — ask the lab for OC or IC","CHECK: type must be OC, TC or LOI"),IF($R111="",IF(AND(LOI_INTERCEPT&lt;&gt;"",LOI_SLOPE&lt;&gt;""),"CHECK: LOI below the range of the conversion equation (OC would be &lt; 0)","CHECK: LOI conversion not set (Instructions tab)"),IF(OR($Q111&lt;=0,$Q111&gt;2.65,$R111&gt;50),"CHECK: bulk density outside 0–2.65 g/cm3 or OC &gt; 50%","OK")))))))))))</f>
        <v/>
      </c>
    </row>
    <row r="112" customFormat="false" ht="15.75" hidden="false" customHeight="true" outlineLevel="0" collapsed="false">
      <c r="A112" s="14"/>
      <c r="B112" s="14"/>
      <c r="C112" s="24"/>
      <c r="D112" s="24"/>
      <c r="E112" s="14"/>
      <c r="F112" s="16" t="str">
        <f aca="false">IF(OR($C112="",$D112=""),"",$D112-$C112)</f>
        <v/>
      </c>
      <c r="G112" s="25" t="str">
        <f aca="false">IF($A112="","",IFERROR(INDEX('2. Plot &amp; Core Log'!$M$6:$M$35,MATCH($A112,'2. Plot &amp; Core Log'!$B$6:$B$35,0)),""))</f>
        <v/>
      </c>
      <c r="H112" s="26" t="str">
        <f aca="false">IF($A112="","",IFERROR(INDEX('2. Plot &amp; Core Log'!$S$6:$S$35,MATCH($A112,'2. Plot &amp; Core Log'!$B$6:$B$35,0)),""))</f>
        <v/>
      </c>
      <c r="I112" s="16" t="str">
        <f aca="false">IF(OR($C112="",$G112=""),"",$C112*$G112)</f>
        <v/>
      </c>
      <c r="J112" s="16" t="str">
        <f aca="false">IF(OR($D112="",$G112=""),"",$D112*$G112)</f>
        <v/>
      </c>
      <c r="K112" s="16" t="str">
        <f aca="false">IF(OR($F112="",$H112=""),"",PI()*(($H112/2)^2)*$F112)</f>
        <v/>
      </c>
      <c r="L112" s="27"/>
      <c r="M112" s="27"/>
      <c r="N112" s="27"/>
      <c r="O112" s="27"/>
      <c r="P112" s="16" t="str">
        <f aca="false">IF(OR($L112="",$M112="",$L112=0),"",(($L112-$M112)/$L112)*100)</f>
        <v/>
      </c>
      <c r="Q112" s="15" t="str">
        <f aca="false">IF(OR($M112="",$K112="",$K112=0),"",$M112/$K112)</f>
        <v/>
      </c>
      <c r="R112" s="15" t="str">
        <f aca="false">IF(OR($N112="",$O112=""),"",IF(UPPER($O112)="OC",$N112,IF(UPPER($O112)="LOI",IF(OR(LOI_INTERCEPT="",LOI_SLOPE=""),"",IF(LOI_INTERCEPT+LOI_SLOPE*$N112&lt;0,"",LOI_INTERCEPT+LOI_SLOPE*$N112)),"")))</f>
        <v/>
      </c>
      <c r="S112" s="18" t="str">
        <f aca="false">IF($R112="","",$R112*10)</f>
        <v/>
      </c>
      <c r="T112" s="28" t="str">
        <f aca="false">IF(OR($Q112="",$R112=""),"",$Q112*$R112/100)</f>
        <v/>
      </c>
      <c r="U112" s="29" t="str">
        <f aca="false">IF(OR($T112="",$F112=""),"",$T112*$F112)</f>
        <v/>
      </c>
      <c r="V112" s="15" t="str">
        <f aca="false">IF($U112="","",$U112*10)</f>
        <v/>
      </c>
      <c r="W112" s="15" t="str">
        <f aca="false">IF(OR($V112="",$I112="",$J112="",$J112&lt;=$I112),"",$V112*MAX(0,MIN($J112,15)-MAX($I112,0))/($J112-$I112))</f>
        <v/>
      </c>
      <c r="X112" s="15" t="str">
        <f aca="false">IF(OR($V112="",$I112="",$J112="",$J112&lt;=$I112),"",$V112*MAX(0,MIN($J112,30)-MAX($I112,15))/($J112-$I112))</f>
        <v/>
      </c>
      <c r="Y112" s="15" t="str">
        <f aca="false">IF(OR($V112="",$I112="",$J112="",$J112&lt;=$I112),"",$V112*MAX(0,MIN($J112,50)-MAX($I112,30))/($J112-$I112))</f>
        <v/>
      </c>
      <c r="Z112" s="15" t="str">
        <f aca="false">IF(OR($V112="",$I112="",$J112="",$J112&lt;=$I112),"",$V112*MAX(0,MIN($J112,100)-MAX($I112,50))/($J112-$I112))</f>
        <v/>
      </c>
      <c r="AA112" s="16" t="str">
        <f aca="false">IF($A112="","",IF(OR($C112="",$D112="",$D112&lt;=$C112),"CHECK: depths missing, or bottom not below top",IF(COUNTIFS($A$6:$A$205,$A112,$C$6:$C$205,$C112)&gt;1,"DUPLICATE slice",IF(COUNTIFS($A$6:$A$205,$A112,$C$6:$C$205,"&lt;"&amp;$D112,$D$6:$D$205,"&gt;"&amp;$C112)&gt;1,"OVERLAP with another slice",IF(AND($C112&gt;0,COUNTIFS($A$6:$A$205,$A112,$D$6:$D$205,$C112)=0),"GAP above this slice",IF(OR($G112="",$H112=""),"CHECK: Core ID not in Core Log, or its compaction / diameter missing",IF(AND(IF(COUNTIFS('2. Plot &amp; Core Log'!$B$6:$B$35,$A112,'2. Plot &amp; Core Log'!$L$6:$L$35,"&gt;0")=0,"",SUMIFS('2. Plot &amp; Core Log'!$L$6:$L$35,'2. Plot &amp; Core Log'!$B$6:$B$35,$A112))&lt;&gt;"",$D112&gt;IF(COUNTIFS('2. Plot &amp; Core Log'!$B$6:$B$35,$A112,'2. Plot &amp; Core Log'!$L$6:$L$35,"&gt;0")=0,"",SUMIFS('2. Plot &amp; Core Log'!$L$6:$L$35,'2. Plot &amp; Core Log'!$B$6:$B$35,$A112))),"CHECK: slice deeper than the core length on Sheet 2",IF(OR($M112="",$N112="",$O112=""),"AWAITING LAB (dry weight, carbon value or type)",IF(AND(UPPER($O112)&lt;&gt;"OC",UPPER($O112)&lt;&gt;"LOI"),IF(UPPER($O112)="TC","TC is not organic carbon — ask the lab for OC or IC","CHECK: type must be OC, TC or LOI"),IF($R112="",IF(AND(LOI_INTERCEPT&lt;&gt;"",LOI_SLOPE&lt;&gt;""),"CHECK: LOI below the range of the conversion equation (OC would be &lt; 0)","CHECK: LOI conversion not set (Instructions tab)"),IF(OR($Q112&lt;=0,$Q112&gt;2.65,$R112&gt;50),"CHECK: bulk density outside 0–2.65 g/cm3 or OC &gt; 50%","OK")))))))))))</f>
        <v/>
      </c>
    </row>
    <row r="113" customFormat="false" ht="15.75" hidden="false" customHeight="true" outlineLevel="0" collapsed="false">
      <c r="A113" s="14"/>
      <c r="B113" s="14"/>
      <c r="C113" s="24"/>
      <c r="D113" s="24"/>
      <c r="E113" s="14"/>
      <c r="F113" s="16" t="str">
        <f aca="false">IF(OR($C113="",$D113=""),"",$D113-$C113)</f>
        <v/>
      </c>
      <c r="G113" s="25" t="str">
        <f aca="false">IF($A113="","",IFERROR(INDEX('2. Plot &amp; Core Log'!$M$6:$M$35,MATCH($A113,'2. Plot &amp; Core Log'!$B$6:$B$35,0)),""))</f>
        <v/>
      </c>
      <c r="H113" s="26" t="str">
        <f aca="false">IF($A113="","",IFERROR(INDEX('2. Plot &amp; Core Log'!$S$6:$S$35,MATCH($A113,'2. Plot &amp; Core Log'!$B$6:$B$35,0)),""))</f>
        <v/>
      </c>
      <c r="I113" s="16" t="str">
        <f aca="false">IF(OR($C113="",$G113=""),"",$C113*$G113)</f>
        <v/>
      </c>
      <c r="J113" s="16" t="str">
        <f aca="false">IF(OR($D113="",$G113=""),"",$D113*$G113)</f>
        <v/>
      </c>
      <c r="K113" s="16" t="str">
        <f aca="false">IF(OR($F113="",$H113=""),"",PI()*(($H113/2)^2)*$F113)</f>
        <v/>
      </c>
      <c r="L113" s="27"/>
      <c r="M113" s="27"/>
      <c r="N113" s="27"/>
      <c r="O113" s="27"/>
      <c r="P113" s="16" t="str">
        <f aca="false">IF(OR($L113="",$M113="",$L113=0),"",(($L113-$M113)/$L113)*100)</f>
        <v/>
      </c>
      <c r="Q113" s="15" t="str">
        <f aca="false">IF(OR($M113="",$K113="",$K113=0),"",$M113/$K113)</f>
        <v/>
      </c>
      <c r="R113" s="15" t="str">
        <f aca="false">IF(OR($N113="",$O113=""),"",IF(UPPER($O113)="OC",$N113,IF(UPPER($O113)="LOI",IF(OR(LOI_INTERCEPT="",LOI_SLOPE=""),"",IF(LOI_INTERCEPT+LOI_SLOPE*$N113&lt;0,"",LOI_INTERCEPT+LOI_SLOPE*$N113)),"")))</f>
        <v/>
      </c>
      <c r="S113" s="18" t="str">
        <f aca="false">IF($R113="","",$R113*10)</f>
        <v/>
      </c>
      <c r="T113" s="28" t="str">
        <f aca="false">IF(OR($Q113="",$R113=""),"",$Q113*$R113/100)</f>
        <v/>
      </c>
      <c r="U113" s="29" t="str">
        <f aca="false">IF(OR($T113="",$F113=""),"",$T113*$F113)</f>
        <v/>
      </c>
      <c r="V113" s="15" t="str">
        <f aca="false">IF($U113="","",$U113*10)</f>
        <v/>
      </c>
      <c r="W113" s="15" t="str">
        <f aca="false">IF(OR($V113="",$I113="",$J113="",$J113&lt;=$I113),"",$V113*MAX(0,MIN($J113,15)-MAX($I113,0))/($J113-$I113))</f>
        <v/>
      </c>
      <c r="X113" s="15" t="str">
        <f aca="false">IF(OR($V113="",$I113="",$J113="",$J113&lt;=$I113),"",$V113*MAX(0,MIN($J113,30)-MAX($I113,15))/($J113-$I113))</f>
        <v/>
      </c>
      <c r="Y113" s="15" t="str">
        <f aca="false">IF(OR($V113="",$I113="",$J113="",$J113&lt;=$I113),"",$V113*MAX(0,MIN($J113,50)-MAX($I113,30))/($J113-$I113))</f>
        <v/>
      </c>
      <c r="Z113" s="15" t="str">
        <f aca="false">IF(OR($V113="",$I113="",$J113="",$J113&lt;=$I113),"",$V113*MAX(0,MIN($J113,100)-MAX($I113,50))/($J113-$I113))</f>
        <v/>
      </c>
      <c r="AA113" s="16" t="str">
        <f aca="false">IF($A113="","",IF(OR($C113="",$D113="",$D113&lt;=$C113),"CHECK: depths missing, or bottom not below top",IF(COUNTIFS($A$6:$A$205,$A113,$C$6:$C$205,$C113)&gt;1,"DUPLICATE slice",IF(COUNTIFS($A$6:$A$205,$A113,$C$6:$C$205,"&lt;"&amp;$D113,$D$6:$D$205,"&gt;"&amp;$C113)&gt;1,"OVERLAP with another slice",IF(AND($C113&gt;0,COUNTIFS($A$6:$A$205,$A113,$D$6:$D$205,$C113)=0),"GAP above this slice",IF(OR($G113="",$H113=""),"CHECK: Core ID not in Core Log, or its compaction / diameter missing",IF(AND(IF(COUNTIFS('2. Plot &amp; Core Log'!$B$6:$B$35,$A113,'2. Plot &amp; Core Log'!$L$6:$L$35,"&gt;0")=0,"",SUMIFS('2. Plot &amp; Core Log'!$L$6:$L$35,'2. Plot &amp; Core Log'!$B$6:$B$35,$A113))&lt;&gt;"",$D113&gt;IF(COUNTIFS('2. Plot &amp; Core Log'!$B$6:$B$35,$A113,'2. Plot &amp; Core Log'!$L$6:$L$35,"&gt;0")=0,"",SUMIFS('2. Plot &amp; Core Log'!$L$6:$L$35,'2. Plot &amp; Core Log'!$B$6:$B$35,$A113))),"CHECK: slice deeper than the core length on Sheet 2",IF(OR($M113="",$N113="",$O113=""),"AWAITING LAB (dry weight, carbon value or type)",IF(AND(UPPER($O113)&lt;&gt;"OC",UPPER($O113)&lt;&gt;"LOI"),IF(UPPER($O113)="TC","TC is not organic carbon — ask the lab for OC or IC","CHECK: type must be OC, TC or LOI"),IF($R113="",IF(AND(LOI_INTERCEPT&lt;&gt;"",LOI_SLOPE&lt;&gt;""),"CHECK: LOI below the range of the conversion equation (OC would be &lt; 0)","CHECK: LOI conversion not set (Instructions tab)"),IF(OR($Q113&lt;=0,$Q113&gt;2.65,$R113&gt;50),"CHECK: bulk density outside 0–2.65 g/cm3 or OC &gt; 50%","OK")))))))))))</f>
        <v/>
      </c>
    </row>
    <row r="114" customFormat="false" ht="15.75" hidden="false" customHeight="true" outlineLevel="0" collapsed="false">
      <c r="A114" s="14"/>
      <c r="B114" s="14"/>
      <c r="C114" s="24"/>
      <c r="D114" s="24"/>
      <c r="E114" s="14"/>
      <c r="F114" s="16" t="str">
        <f aca="false">IF(OR($C114="",$D114=""),"",$D114-$C114)</f>
        <v/>
      </c>
      <c r="G114" s="25" t="str">
        <f aca="false">IF($A114="","",IFERROR(INDEX('2. Plot &amp; Core Log'!$M$6:$M$35,MATCH($A114,'2. Plot &amp; Core Log'!$B$6:$B$35,0)),""))</f>
        <v/>
      </c>
      <c r="H114" s="26" t="str">
        <f aca="false">IF($A114="","",IFERROR(INDEX('2. Plot &amp; Core Log'!$S$6:$S$35,MATCH($A114,'2. Plot &amp; Core Log'!$B$6:$B$35,0)),""))</f>
        <v/>
      </c>
      <c r="I114" s="16" t="str">
        <f aca="false">IF(OR($C114="",$G114=""),"",$C114*$G114)</f>
        <v/>
      </c>
      <c r="J114" s="16" t="str">
        <f aca="false">IF(OR($D114="",$G114=""),"",$D114*$G114)</f>
        <v/>
      </c>
      <c r="K114" s="16" t="str">
        <f aca="false">IF(OR($F114="",$H114=""),"",PI()*(($H114/2)^2)*$F114)</f>
        <v/>
      </c>
      <c r="L114" s="27"/>
      <c r="M114" s="27"/>
      <c r="N114" s="27"/>
      <c r="O114" s="27"/>
      <c r="P114" s="16" t="str">
        <f aca="false">IF(OR($L114="",$M114="",$L114=0),"",(($L114-$M114)/$L114)*100)</f>
        <v/>
      </c>
      <c r="Q114" s="15" t="str">
        <f aca="false">IF(OR($M114="",$K114="",$K114=0),"",$M114/$K114)</f>
        <v/>
      </c>
      <c r="R114" s="15" t="str">
        <f aca="false">IF(OR($N114="",$O114=""),"",IF(UPPER($O114)="OC",$N114,IF(UPPER($O114)="LOI",IF(OR(LOI_INTERCEPT="",LOI_SLOPE=""),"",IF(LOI_INTERCEPT+LOI_SLOPE*$N114&lt;0,"",LOI_INTERCEPT+LOI_SLOPE*$N114)),"")))</f>
        <v/>
      </c>
      <c r="S114" s="18" t="str">
        <f aca="false">IF($R114="","",$R114*10)</f>
        <v/>
      </c>
      <c r="T114" s="28" t="str">
        <f aca="false">IF(OR($Q114="",$R114=""),"",$Q114*$R114/100)</f>
        <v/>
      </c>
      <c r="U114" s="29" t="str">
        <f aca="false">IF(OR($T114="",$F114=""),"",$T114*$F114)</f>
        <v/>
      </c>
      <c r="V114" s="15" t="str">
        <f aca="false">IF($U114="","",$U114*10)</f>
        <v/>
      </c>
      <c r="W114" s="15" t="str">
        <f aca="false">IF(OR($V114="",$I114="",$J114="",$J114&lt;=$I114),"",$V114*MAX(0,MIN($J114,15)-MAX($I114,0))/($J114-$I114))</f>
        <v/>
      </c>
      <c r="X114" s="15" t="str">
        <f aca="false">IF(OR($V114="",$I114="",$J114="",$J114&lt;=$I114),"",$V114*MAX(0,MIN($J114,30)-MAX($I114,15))/($J114-$I114))</f>
        <v/>
      </c>
      <c r="Y114" s="15" t="str">
        <f aca="false">IF(OR($V114="",$I114="",$J114="",$J114&lt;=$I114),"",$V114*MAX(0,MIN($J114,50)-MAX($I114,30))/($J114-$I114))</f>
        <v/>
      </c>
      <c r="Z114" s="15" t="str">
        <f aca="false">IF(OR($V114="",$I114="",$J114="",$J114&lt;=$I114),"",$V114*MAX(0,MIN($J114,100)-MAX($I114,50))/($J114-$I114))</f>
        <v/>
      </c>
      <c r="AA114" s="16" t="str">
        <f aca="false">IF($A114="","",IF(OR($C114="",$D114="",$D114&lt;=$C114),"CHECK: depths missing, or bottom not below top",IF(COUNTIFS($A$6:$A$205,$A114,$C$6:$C$205,$C114)&gt;1,"DUPLICATE slice",IF(COUNTIFS($A$6:$A$205,$A114,$C$6:$C$205,"&lt;"&amp;$D114,$D$6:$D$205,"&gt;"&amp;$C114)&gt;1,"OVERLAP with another slice",IF(AND($C114&gt;0,COUNTIFS($A$6:$A$205,$A114,$D$6:$D$205,$C114)=0),"GAP above this slice",IF(OR($G114="",$H114=""),"CHECK: Core ID not in Core Log, or its compaction / diameter missing",IF(AND(IF(COUNTIFS('2. Plot &amp; Core Log'!$B$6:$B$35,$A114,'2. Plot &amp; Core Log'!$L$6:$L$35,"&gt;0")=0,"",SUMIFS('2. Plot &amp; Core Log'!$L$6:$L$35,'2. Plot &amp; Core Log'!$B$6:$B$35,$A114))&lt;&gt;"",$D114&gt;IF(COUNTIFS('2. Plot &amp; Core Log'!$B$6:$B$35,$A114,'2. Plot &amp; Core Log'!$L$6:$L$35,"&gt;0")=0,"",SUMIFS('2. Plot &amp; Core Log'!$L$6:$L$35,'2. Plot &amp; Core Log'!$B$6:$B$35,$A114))),"CHECK: slice deeper than the core length on Sheet 2",IF(OR($M114="",$N114="",$O114=""),"AWAITING LAB (dry weight, carbon value or type)",IF(AND(UPPER($O114)&lt;&gt;"OC",UPPER($O114)&lt;&gt;"LOI"),IF(UPPER($O114)="TC","TC is not organic carbon — ask the lab for OC or IC","CHECK: type must be OC, TC or LOI"),IF($R114="",IF(AND(LOI_INTERCEPT&lt;&gt;"",LOI_SLOPE&lt;&gt;""),"CHECK: LOI below the range of the conversion equation (OC would be &lt; 0)","CHECK: LOI conversion not set (Instructions tab)"),IF(OR($Q114&lt;=0,$Q114&gt;2.65,$R114&gt;50),"CHECK: bulk density outside 0–2.65 g/cm3 or OC &gt; 50%","OK")))))))))))</f>
        <v/>
      </c>
    </row>
    <row r="115" customFormat="false" ht="15.75" hidden="false" customHeight="true" outlineLevel="0" collapsed="false">
      <c r="A115" s="14"/>
      <c r="B115" s="14"/>
      <c r="C115" s="24"/>
      <c r="D115" s="24"/>
      <c r="E115" s="14"/>
      <c r="F115" s="16" t="str">
        <f aca="false">IF(OR($C115="",$D115=""),"",$D115-$C115)</f>
        <v/>
      </c>
      <c r="G115" s="25" t="str">
        <f aca="false">IF($A115="","",IFERROR(INDEX('2. Plot &amp; Core Log'!$M$6:$M$35,MATCH($A115,'2. Plot &amp; Core Log'!$B$6:$B$35,0)),""))</f>
        <v/>
      </c>
      <c r="H115" s="26" t="str">
        <f aca="false">IF($A115="","",IFERROR(INDEX('2. Plot &amp; Core Log'!$S$6:$S$35,MATCH($A115,'2. Plot &amp; Core Log'!$B$6:$B$35,0)),""))</f>
        <v/>
      </c>
      <c r="I115" s="16" t="str">
        <f aca="false">IF(OR($C115="",$G115=""),"",$C115*$G115)</f>
        <v/>
      </c>
      <c r="J115" s="16" t="str">
        <f aca="false">IF(OR($D115="",$G115=""),"",$D115*$G115)</f>
        <v/>
      </c>
      <c r="K115" s="16" t="str">
        <f aca="false">IF(OR($F115="",$H115=""),"",PI()*(($H115/2)^2)*$F115)</f>
        <v/>
      </c>
      <c r="L115" s="27"/>
      <c r="M115" s="27"/>
      <c r="N115" s="27"/>
      <c r="O115" s="27"/>
      <c r="P115" s="16" t="str">
        <f aca="false">IF(OR($L115="",$M115="",$L115=0),"",(($L115-$M115)/$L115)*100)</f>
        <v/>
      </c>
      <c r="Q115" s="15" t="str">
        <f aca="false">IF(OR($M115="",$K115="",$K115=0),"",$M115/$K115)</f>
        <v/>
      </c>
      <c r="R115" s="15" t="str">
        <f aca="false">IF(OR($N115="",$O115=""),"",IF(UPPER($O115)="OC",$N115,IF(UPPER($O115)="LOI",IF(OR(LOI_INTERCEPT="",LOI_SLOPE=""),"",IF(LOI_INTERCEPT+LOI_SLOPE*$N115&lt;0,"",LOI_INTERCEPT+LOI_SLOPE*$N115)),"")))</f>
        <v/>
      </c>
      <c r="S115" s="18" t="str">
        <f aca="false">IF($R115="","",$R115*10)</f>
        <v/>
      </c>
      <c r="T115" s="28" t="str">
        <f aca="false">IF(OR($Q115="",$R115=""),"",$Q115*$R115/100)</f>
        <v/>
      </c>
      <c r="U115" s="29" t="str">
        <f aca="false">IF(OR($T115="",$F115=""),"",$T115*$F115)</f>
        <v/>
      </c>
      <c r="V115" s="15" t="str">
        <f aca="false">IF($U115="","",$U115*10)</f>
        <v/>
      </c>
      <c r="W115" s="15" t="str">
        <f aca="false">IF(OR($V115="",$I115="",$J115="",$J115&lt;=$I115),"",$V115*MAX(0,MIN($J115,15)-MAX($I115,0))/($J115-$I115))</f>
        <v/>
      </c>
      <c r="X115" s="15" t="str">
        <f aca="false">IF(OR($V115="",$I115="",$J115="",$J115&lt;=$I115),"",$V115*MAX(0,MIN($J115,30)-MAX($I115,15))/($J115-$I115))</f>
        <v/>
      </c>
      <c r="Y115" s="15" t="str">
        <f aca="false">IF(OR($V115="",$I115="",$J115="",$J115&lt;=$I115),"",$V115*MAX(0,MIN($J115,50)-MAX($I115,30))/($J115-$I115))</f>
        <v/>
      </c>
      <c r="Z115" s="15" t="str">
        <f aca="false">IF(OR($V115="",$I115="",$J115="",$J115&lt;=$I115),"",$V115*MAX(0,MIN($J115,100)-MAX($I115,50))/($J115-$I115))</f>
        <v/>
      </c>
      <c r="AA115" s="16" t="str">
        <f aca="false">IF($A115="","",IF(OR($C115="",$D115="",$D115&lt;=$C115),"CHECK: depths missing, or bottom not below top",IF(COUNTIFS($A$6:$A$205,$A115,$C$6:$C$205,$C115)&gt;1,"DUPLICATE slice",IF(COUNTIFS($A$6:$A$205,$A115,$C$6:$C$205,"&lt;"&amp;$D115,$D$6:$D$205,"&gt;"&amp;$C115)&gt;1,"OVERLAP with another slice",IF(AND($C115&gt;0,COUNTIFS($A$6:$A$205,$A115,$D$6:$D$205,$C115)=0),"GAP above this slice",IF(OR($G115="",$H115=""),"CHECK: Core ID not in Core Log, or its compaction / diameter missing",IF(AND(IF(COUNTIFS('2. Plot &amp; Core Log'!$B$6:$B$35,$A115,'2. Plot &amp; Core Log'!$L$6:$L$35,"&gt;0")=0,"",SUMIFS('2. Plot &amp; Core Log'!$L$6:$L$35,'2. Plot &amp; Core Log'!$B$6:$B$35,$A115))&lt;&gt;"",$D115&gt;IF(COUNTIFS('2. Plot &amp; Core Log'!$B$6:$B$35,$A115,'2. Plot &amp; Core Log'!$L$6:$L$35,"&gt;0")=0,"",SUMIFS('2. Plot &amp; Core Log'!$L$6:$L$35,'2. Plot &amp; Core Log'!$B$6:$B$35,$A115))),"CHECK: slice deeper than the core length on Sheet 2",IF(OR($M115="",$N115="",$O115=""),"AWAITING LAB (dry weight, carbon value or type)",IF(AND(UPPER($O115)&lt;&gt;"OC",UPPER($O115)&lt;&gt;"LOI"),IF(UPPER($O115)="TC","TC is not organic carbon — ask the lab for OC or IC","CHECK: type must be OC, TC or LOI"),IF($R115="",IF(AND(LOI_INTERCEPT&lt;&gt;"",LOI_SLOPE&lt;&gt;""),"CHECK: LOI below the range of the conversion equation (OC would be &lt; 0)","CHECK: LOI conversion not set (Instructions tab)"),IF(OR($Q115&lt;=0,$Q115&gt;2.65,$R115&gt;50),"CHECK: bulk density outside 0–2.65 g/cm3 or OC &gt; 50%","OK")))))))))))</f>
        <v/>
      </c>
    </row>
    <row r="116" customFormat="false" ht="15.75" hidden="false" customHeight="true" outlineLevel="0" collapsed="false">
      <c r="A116" s="14"/>
      <c r="B116" s="14"/>
      <c r="C116" s="24"/>
      <c r="D116" s="24"/>
      <c r="E116" s="14"/>
      <c r="F116" s="16" t="str">
        <f aca="false">IF(OR($C116="",$D116=""),"",$D116-$C116)</f>
        <v/>
      </c>
      <c r="G116" s="25" t="str">
        <f aca="false">IF($A116="","",IFERROR(INDEX('2. Plot &amp; Core Log'!$M$6:$M$35,MATCH($A116,'2. Plot &amp; Core Log'!$B$6:$B$35,0)),""))</f>
        <v/>
      </c>
      <c r="H116" s="26" t="str">
        <f aca="false">IF($A116="","",IFERROR(INDEX('2. Plot &amp; Core Log'!$S$6:$S$35,MATCH($A116,'2. Plot &amp; Core Log'!$B$6:$B$35,0)),""))</f>
        <v/>
      </c>
      <c r="I116" s="16" t="str">
        <f aca="false">IF(OR($C116="",$G116=""),"",$C116*$G116)</f>
        <v/>
      </c>
      <c r="J116" s="16" t="str">
        <f aca="false">IF(OR($D116="",$G116=""),"",$D116*$G116)</f>
        <v/>
      </c>
      <c r="K116" s="16" t="str">
        <f aca="false">IF(OR($F116="",$H116=""),"",PI()*(($H116/2)^2)*$F116)</f>
        <v/>
      </c>
      <c r="L116" s="27"/>
      <c r="M116" s="27"/>
      <c r="N116" s="27"/>
      <c r="O116" s="27"/>
      <c r="P116" s="16" t="str">
        <f aca="false">IF(OR($L116="",$M116="",$L116=0),"",(($L116-$M116)/$L116)*100)</f>
        <v/>
      </c>
      <c r="Q116" s="15" t="str">
        <f aca="false">IF(OR($M116="",$K116="",$K116=0),"",$M116/$K116)</f>
        <v/>
      </c>
      <c r="R116" s="15" t="str">
        <f aca="false">IF(OR($N116="",$O116=""),"",IF(UPPER($O116)="OC",$N116,IF(UPPER($O116)="LOI",IF(OR(LOI_INTERCEPT="",LOI_SLOPE=""),"",IF(LOI_INTERCEPT+LOI_SLOPE*$N116&lt;0,"",LOI_INTERCEPT+LOI_SLOPE*$N116)),"")))</f>
        <v/>
      </c>
      <c r="S116" s="18" t="str">
        <f aca="false">IF($R116="","",$R116*10)</f>
        <v/>
      </c>
      <c r="T116" s="28" t="str">
        <f aca="false">IF(OR($Q116="",$R116=""),"",$Q116*$R116/100)</f>
        <v/>
      </c>
      <c r="U116" s="29" t="str">
        <f aca="false">IF(OR($T116="",$F116=""),"",$T116*$F116)</f>
        <v/>
      </c>
      <c r="V116" s="15" t="str">
        <f aca="false">IF($U116="","",$U116*10)</f>
        <v/>
      </c>
      <c r="W116" s="15" t="str">
        <f aca="false">IF(OR($V116="",$I116="",$J116="",$J116&lt;=$I116),"",$V116*MAX(0,MIN($J116,15)-MAX($I116,0))/($J116-$I116))</f>
        <v/>
      </c>
      <c r="X116" s="15" t="str">
        <f aca="false">IF(OR($V116="",$I116="",$J116="",$J116&lt;=$I116),"",$V116*MAX(0,MIN($J116,30)-MAX($I116,15))/($J116-$I116))</f>
        <v/>
      </c>
      <c r="Y116" s="15" t="str">
        <f aca="false">IF(OR($V116="",$I116="",$J116="",$J116&lt;=$I116),"",$V116*MAX(0,MIN($J116,50)-MAX($I116,30))/($J116-$I116))</f>
        <v/>
      </c>
      <c r="Z116" s="15" t="str">
        <f aca="false">IF(OR($V116="",$I116="",$J116="",$J116&lt;=$I116),"",$V116*MAX(0,MIN($J116,100)-MAX($I116,50))/($J116-$I116))</f>
        <v/>
      </c>
      <c r="AA116" s="16" t="str">
        <f aca="false">IF($A116="","",IF(OR($C116="",$D116="",$D116&lt;=$C116),"CHECK: depths missing, or bottom not below top",IF(COUNTIFS($A$6:$A$205,$A116,$C$6:$C$205,$C116)&gt;1,"DUPLICATE slice",IF(COUNTIFS($A$6:$A$205,$A116,$C$6:$C$205,"&lt;"&amp;$D116,$D$6:$D$205,"&gt;"&amp;$C116)&gt;1,"OVERLAP with another slice",IF(AND($C116&gt;0,COUNTIFS($A$6:$A$205,$A116,$D$6:$D$205,$C116)=0),"GAP above this slice",IF(OR($G116="",$H116=""),"CHECK: Core ID not in Core Log, or its compaction / diameter missing",IF(AND(IF(COUNTIFS('2. Plot &amp; Core Log'!$B$6:$B$35,$A116,'2. Plot &amp; Core Log'!$L$6:$L$35,"&gt;0")=0,"",SUMIFS('2. Plot &amp; Core Log'!$L$6:$L$35,'2. Plot &amp; Core Log'!$B$6:$B$35,$A116))&lt;&gt;"",$D116&gt;IF(COUNTIFS('2. Plot &amp; Core Log'!$B$6:$B$35,$A116,'2. Plot &amp; Core Log'!$L$6:$L$35,"&gt;0")=0,"",SUMIFS('2. Plot &amp; Core Log'!$L$6:$L$35,'2. Plot &amp; Core Log'!$B$6:$B$35,$A116))),"CHECK: slice deeper than the core length on Sheet 2",IF(OR($M116="",$N116="",$O116=""),"AWAITING LAB (dry weight, carbon value or type)",IF(AND(UPPER($O116)&lt;&gt;"OC",UPPER($O116)&lt;&gt;"LOI"),IF(UPPER($O116)="TC","TC is not organic carbon — ask the lab for OC or IC","CHECK: type must be OC, TC or LOI"),IF($R116="",IF(AND(LOI_INTERCEPT&lt;&gt;"",LOI_SLOPE&lt;&gt;""),"CHECK: LOI below the range of the conversion equation (OC would be &lt; 0)","CHECK: LOI conversion not set (Instructions tab)"),IF(OR($Q116&lt;=0,$Q116&gt;2.65,$R116&gt;50),"CHECK: bulk density outside 0–2.65 g/cm3 or OC &gt; 50%","OK")))))))))))</f>
        <v/>
      </c>
    </row>
    <row r="117" customFormat="false" ht="15.75" hidden="false" customHeight="true" outlineLevel="0" collapsed="false">
      <c r="A117" s="14"/>
      <c r="B117" s="14"/>
      <c r="C117" s="24"/>
      <c r="D117" s="24"/>
      <c r="E117" s="14"/>
      <c r="F117" s="16" t="str">
        <f aca="false">IF(OR($C117="",$D117=""),"",$D117-$C117)</f>
        <v/>
      </c>
      <c r="G117" s="25" t="str">
        <f aca="false">IF($A117="","",IFERROR(INDEX('2. Plot &amp; Core Log'!$M$6:$M$35,MATCH($A117,'2. Plot &amp; Core Log'!$B$6:$B$35,0)),""))</f>
        <v/>
      </c>
      <c r="H117" s="26" t="str">
        <f aca="false">IF($A117="","",IFERROR(INDEX('2. Plot &amp; Core Log'!$S$6:$S$35,MATCH($A117,'2. Plot &amp; Core Log'!$B$6:$B$35,0)),""))</f>
        <v/>
      </c>
      <c r="I117" s="16" t="str">
        <f aca="false">IF(OR($C117="",$G117=""),"",$C117*$G117)</f>
        <v/>
      </c>
      <c r="J117" s="16" t="str">
        <f aca="false">IF(OR($D117="",$G117=""),"",$D117*$G117)</f>
        <v/>
      </c>
      <c r="K117" s="16" t="str">
        <f aca="false">IF(OR($F117="",$H117=""),"",PI()*(($H117/2)^2)*$F117)</f>
        <v/>
      </c>
      <c r="L117" s="27"/>
      <c r="M117" s="27"/>
      <c r="N117" s="27"/>
      <c r="O117" s="27"/>
      <c r="P117" s="16" t="str">
        <f aca="false">IF(OR($L117="",$M117="",$L117=0),"",(($L117-$M117)/$L117)*100)</f>
        <v/>
      </c>
      <c r="Q117" s="15" t="str">
        <f aca="false">IF(OR($M117="",$K117="",$K117=0),"",$M117/$K117)</f>
        <v/>
      </c>
      <c r="R117" s="15" t="str">
        <f aca="false">IF(OR($N117="",$O117=""),"",IF(UPPER($O117)="OC",$N117,IF(UPPER($O117)="LOI",IF(OR(LOI_INTERCEPT="",LOI_SLOPE=""),"",IF(LOI_INTERCEPT+LOI_SLOPE*$N117&lt;0,"",LOI_INTERCEPT+LOI_SLOPE*$N117)),"")))</f>
        <v/>
      </c>
      <c r="S117" s="18" t="str">
        <f aca="false">IF($R117="","",$R117*10)</f>
        <v/>
      </c>
      <c r="T117" s="28" t="str">
        <f aca="false">IF(OR($Q117="",$R117=""),"",$Q117*$R117/100)</f>
        <v/>
      </c>
      <c r="U117" s="29" t="str">
        <f aca="false">IF(OR($T117="",$F117=""),"",$T117*$F117)</f>
        <v/>
      </c>
      <c r="V117" s="15" t="str">
        <f aca="false">IF($U117="","",$U117*10)</f>
        <v/>
      </c>
      <c r="W117" s="15" t="str">
        <f aca="false">IF(OR($V117="",$I117="",$J117="",$J117&lt;=$I117),"",$V117*MAX(0,MIN($J117,15)-MAX($I117,0))/($J117-$I117))</f>
        <v/>
      </c>
      <c r="X117" s="15" t="str">
        <f aca="false">IF(OR($V117="",$I117="",$J117="",$J117&lt;=$I117),"",$V117*MAX(0,MIN($J117,30)-MAX($I117,15))/($J117-$I117))</f>
        <v/>
      </c>
      <c r="Y117" s="15" t="str">
        <f aca="false">IF(OR($V117="",$I117="",$J117="",$J117&lt;=$I117),"",$V117*MAX(0,MIN($J117,50)-MAX($I117,30))/($J117-$I117))</f>
        <v/>
      </c>
      <c r="Z117" s="15" t="str">
        <f aca="false">IF(OR($V117="",$I117="",$J117="",$J117&lt;=$I117),"",$V117*MAX(0,MIN($J117,100)-MAX($I117,50))/($J117-$I117))</f>
        <v/>
      </c>
      <c r="AA117" s="16" t="str">
        <f aca="false">IF($A117="","",IF(OR($C117="",$D117="",$D117&lt;=$C117),"CHECK: depths missing, or bottom not below top",IF(COUNTIFS($A$6:$A$205,$A117,$C$6:$C$205,$C117)&gt;1,"DUPLICATE slice",IF(COUNTIFS($A$6:$A$205,$A117,$C$6:$C$205,"&lt;"&amp;$D117,$D$6:$D$205,"&gt;"&amp;$C117)&gt;1,"OVERLAP with another slice",IF(AND($C117&gt;0,COUNTIFS($A$6:$A$205,$A117,$D$6:$D$205,$C117)=0),"GAP above this slice",IF(OR($G117="",$H117=""),"CHECK: Core ID not in Core Log, or its compaction / diameter missing",IF(AND(IF(COUNTIFS('2. Plot &amp; Core Log'!$B$6:$B$35,$A117,'2. Plot &amp; Core Log'!$L$6:$L$35,"&gt;0")=0,"",SUMIFS('2. Plot &amp; Core Log'!$L$6:$L$35,'2. Plot &amp; Core Log'!$B$6:$B$35,$A117))&lt;&gt;"",$D117&gt;IF(COUNTIFS('2. Plot &amp; Core Log'!$B$6:$B$35,$A117,'2. Plot &amp; Core Log'!$L$6:$L$35,"&gt;0")=0,"",SUMIFS('2. Plot &amp; Core Log'!$L$6:$L$35,'2. Plot &amp; Core Log'!$B$6:$B$35,$A117))),"CHECK: slice deeper than the core length on Sheet 2",IF(OR($M117="",$N117="",$O117=""),"AWAITING LAB (dry weight, carbon value or type)",IF(AND(UPPER($O117)&lt;&gt;"OC",UPPER($O117)&lt;&gt;"LOI"),IF(UPPER($O117)="TC","TC is not organic carbon — ask the lab for OC or IC","CHECK: type must be OC, TC or LOI"),IF($R117="",IF(AND(LOI_INTERCEPT&lt;&gt;"",LOI_SLOPE&lt;&gt;""),"CHECK: LOI below the range of the conversion equation (OC would be &lt; 0)","CHECK: LOI conversion not set (Instructions tab)"),IF(OR($Q117&lt;=0,$Q117&gt;2.65,$R117&gt;50),"CHECK: bulk density outside 0–2.65 g/cm3 or OC &gt; 50%","OK")))))))))))</f>
        <v/>
      </c>
    </row>
    <row r="118" customFormat="false" ht="15.75" hidden="false" customHeight="true" outlineLevel="0" collapsed="false">
      <c r="A118" s="14"/>
      <c r="B118" s="14"/>
      <c r="C118" s="24"/>
      <c r="D118" s="24"/>
      <c r="E118" s="14"/>
      <c r="F118" s="16" t="str">
        <f aca="false">IF(OR($C118="",$D118=""),"",$D118-$C118)</f>
        <v/>
      </c>
      <c r="G118" s="25" t="str">
        <f aca="false">IF($A118="","",IFERROR(INDEX('2. Plot &amp; Core Log'!$M$6:$M$35,MATCH($A118,'2. Plot &amp; Core Log'!$B$6:$B$35,0)),""))</f>
        <v/>
      </c>
      <c r="H118" s="26" t="str">
        <f aca="false">IF($A118="","",IFERROR(INDEX('2. Plot &amp; Core Log'!$S$6:$S$35,MATCH($A118,'2. Plot &amp; Core Log'!$B$6:$B$35,0)),""))</f>
        <v/>
      </c>
      <c r="I118" s="16" t="str">
        <f aca="false">IF(OR($C118="",$G118=""),"",$C118*$G118)</f>
        <v/>
      </c>
      <c r="J118" s="16" t="str">
        <f aca="false">IF(OR($D118="",$G118=""),"",$D118*$G118)</f>
        <v/>
      </c>
      <c r="K118" s="16" t="str">
        <f aca="false">IF(OR($F118="",$H118=""),"",PI()*(($H118/2)^2)*$F118)</f>
        <v/>
      </c>
      <c r="L118" s="27"/>
      <c r="M118" s="27"/>
      <c r="N118" s="27"/>
      <c r="O118" s="27"/>
      <c r="P118" s="16" t="str">
        <f aca="false">IF(OR($L118="",$M118="",$L118=0),"",(($L118-$M118)/$L118)*100)</f>
        <v/>
      </c>
      <c r="Q118" s="15" t="str">
        <f aca="false">IF(OR($M118="",$K118="",$K118=0),"",$M118/$K118)</f>
        <v/>
      </c>
      <c r="R118" s="15" t="str">
        <f aca="false">IF(OR($N118="",$O118=""),"",IF(UPPER($O118)="OC",$N118,IF(UPPER($O118)="LOI",IF(OR(LOI_INTERCEPT="",LOI_SLOPE=""),"",IF(LOI_INTERCEPT+LOI_SLOPE*$N118&lt;0,"",LOI_INTERCEPT+LOI_SLOPE*$N118)),"")))</f>
        <v/>
      </c>
      <c r="S118" s="18" t="str">
        <f aca="false">IF($R118="","",$R118*10)</f>
        <v/>
      </c>
      <c r="T118" s="28" t="str">
        <f aca="false">IF(OR($Q118="",$R118=""),"",$Q118*$R118/100)</f>
        <v/>
      </c>
      <c r="U118" s="29" t="str">
        <f aca="false">IF(OR($T118="",$F118=""),"",$T118*$F118)</f>
        <v/>
      </c>
      <c r="V118" s="15" t="str">
        <f aca="false">IF($U118="","",$U118*10)</f>
        <v/>
      </c>
      <c r="W118" s="15" t="str">
        <f aca="false">IF(OR($V118="",$I118="",$J118="",$J118&lt;=$I118),"",$V118*MAX(0,MIN($J118,15)-MAX($I118,0))/($J118-$I118))</f>
        <v/>
      </c>
      <c r="X118" s="15" t="str">
        <f aca="false">IF(OR($V118="",$I118="",$J118="",$J118&lt;=$I118),"",$V118*MAX(0,MIN($J118,30)-MAX($I118,15))/($J118-$I118))</f>
        <v/>
      </c>
      <c r="Y118" s="15" t="str">
        <f aca="false">IF(OR($V118="",$I118="",$J118="",$J118&lt;=$I118),"",$V118*MAX(0,MIN($J118,50)-MAX($I118,30))/($J118-$I118))</f>
        <v/>
      </c>
      <c r="Z118" s="15" t="str">
        <f aca="false">IF(OR($V118="",$I118="",$J118="",$J118&lt;=$I118),"",$V118*MAX(0,MIN($J118,100)-MAX($I118,50))/($J118-$I118))</f>
        <v/>
      </c>
      <c r="AA118" s="16" t="str">
        <f aca="false">IF($A118="","",IF(OR($C118="",$D118="",$D118&lt;=$C118),"CHECK: depths missing, or bottom not below top",IF(COUNTIFS($A$6:$A$205,$A118,$C$6:$C$205,$C118)&gt;1,"DUPLICATE slice",IF(COUNTIFS($A$6:$A$205,$A118,$C$6:$C$205,"&lt;"&amp;$D118,$D$6:$D$205,"&gt;"&amp;$C118)&gt;1,"OVERLAP with another slice",IF(AND($C118&gt;0,COUNTIFS($A$6:$A$205,$A118,$D$6:$D$205,$C118)=0),"GAP above this slice",IF(OR($G118="",$H118=""),"CHECK: Core ID not in Core Log, or its compaction / diameter missing",IF(AND(IF(COUNTIFS('2. Plot &amp; Core Log'!$B$6:$B$35,$A118,'2. Plot &amp; Core Log'!$L$6:$L$35,"&gt;0")=0,"",SUMIFS('2. Plot &amp; Core Log'!$L$6:$L$35,'2. Plot &amp; Core Log'!$B$6:$B$35,$A118))&lt;&gt;"",$D118&gt;IF(COUNTIFS('2. Plot &amp; Core Log'!$B$6:$B$35,$A118,'2. Plot &amp; Core Log'!$L$6:$L$35,"&gt;0")=0,"",SUMIFS('2. Plot &amp; Core Log'!$L$6:$L$35,'2. Plot &amp; Core Log'!$B$6:$B$35,$A118))),"CHECK: slice deeper than the core length on Sheet 2",IF(OR($M118="",$N118="",$O118=""),"AWAITING LAB (dry weight, carbon value or type)",IF(AND(UPPER($O118)&lt;&gt;"OC",UPPER($O118)&lt;&gt;"LOI"),IF(UPPER($O118)="TC","TC is not organic carbon — ask the lab for OC or IC","CHECK: type must be OC, TC or LOI"),IF($R118="",IF(AND(LOI_INTERCEPT&lt;&gt;"",LOI_SLOPE&lt;&gt;""),"CHECK: LOI below the range of the conversion equation (OC would be &lt; 0)","CHECK: LOI conversion not set (Instructions tab)"),IF(OR($Q118&lt;=0,$Q118&gt;2.65,$R118&gt;50),"CHECK: bulk density outside 0–2.65 g/cm3 or OC &gt; 50%","OK")))))))))))</f>
        <v/>
      </c>
    </row>
    <row r="119" customFormat="false" ht="15.75" hidden="false" customHeight="true" outlineLevel="0" collapsed="false">
      <c r="A119" s="14"/>
      <c r="B119" s="14"/>
      <c r="C119" s="24"/>
      <c r="D119" s="24"/>
      <c r="E119" s="14"/>
      <c r="F119" s="16" t="str">
        <f aca="false">IF(OR($C119="",$D119=""),"",$D119-$C119)</f>
        <v/>
      </c>
      <c r="G119" s="25" t="str">
        <f aca="false">IF($A119="","",IFERROR(INDEX('2. Plot &amp; Core Log'!$M$6:$M$35,MATCH($A119,'2. Plot &amp; Core Log'!$B$6:$B$35,0)),""))</f>
        <v/>
      </c>
      <c r="H119" s="26" t="str">
        <f aca="false">IF($A119="","",IFERROR(INDEX('2. Plot &amp; Core Log'!$S$6:$S$35,MATCH($A119,'2. Plot &amp; Core Log'!$B$6:$B$35,0)),""))</f>
        <v/>
      </c>
      <c r="I119" s="16" t="str">
        <f aca="false">IF(OR($C119="",$G119=""),"",$C119*$G119)</f>
        <v/>
      </c>
      <c r="J119" s="16" t="str">
        <f aca="false">IF(OR($D119="",$G119=""),"",$D119*$G119)</f>
        <v/>
      </c>
      <c r="K119" s="16" t="str">
        <f aca="false">IF(OR($F119="",$H119=""),"",PI()*(($H119/2)^2)*$F119)</f>
        <v/>
      </c>
      <c r="L119" s="27"/>
      <c r="M119" s="27"/>
      <c r="N119" s="27"/>
      <c r="O119" s="27"/>
      <c r="P119" s="16" t="str">
        <f aca="false">IF(OR($L119="",$M119="",$L119=0),"",(($L119-$M119)/$L119)*100)</f>
        <v/>
      </c>
      <c r="Q119" s="15" t="str">
        <f aca="false">IF(OR($M119="",$K119="",$K119=0),"",$M119/$K119)</f>
        <v/>
      </c>
      <c r="R119" s="15" t="str">
        <f aca="false">IF(OR($N119="",$O119=""),"",IF(UPPER($O119)="OC",$N119,IF(UPPER($O119)="LOI",IF(OR(LOI_INTERCEPT="",LOI_SLOPE=""),"",IF(LOI_INTERCEPT+LOI_SLOPE*$N119&lt;0,"",LOI_INTERCEPT+LOI_SLOPE*$N119)),"")))</f>
        <v/>
      </c>
      <c r="S119" s="18" t="str">
        <f aca="false">IF($R119="","",$R119*10)</f>
        <v/>
      </c>
      <c r="T119" s="28" t="str">
        <f aca="false">IF(OR($Q119="",$R119=""),"",$Q119*$R119/100)</f>
        <v/>
      </c>
      <c r="U119" s="29" t="str">
        <f aca="false">IF(OR($T119="",$F119=""),"",$T119*$F119)</f>
        <v/>
      </c>
      <c r="V119" s="15" t="str">
        <f aca="false">IF($U119="","",$U119*10)</f>
        <v/>
      </c>
      <c r="W119" s="15" t="str">
        <f aca="false">IF(OR($V119="",$I119="",$J119="",$J119&lt;=$I119),"",$V119*MAX(0,MIN($J119,15)-MAX($I119,0))/($J119-$I119))</f>
        <v/>
      </c>
      <c r="X119" s="15" t="str">
        <f aca="false">IF(OR($V119="",$I119="",$J119="",$J119&lt;=$I119),"",$V119*MAX(0,MIN($J119,30)-MAX($I119,15))/($J119-$I119))</f>
        <v/>
      </c>
      <c r="Y119" s="15" t="str">
        <f aca="false">IF(OR($V119="",$I119="",$J119="",$J119&lt;=$I119),"",$V119*MAX(0,MIN($J119,50)-MAX($I119,30))/($J119-$I119))</f>
        <v/>
      </c>
      <c r="Z119" s="15" t="str">
        <f aca="false">IF(OR($V119="",$I119="",$J119="",$J119&lt;=$I119),"",$V119*MAX(0,MIN($J119,100)-MAX($I119,50))/($J119-$I119))</f>
        <v/>
      </c>
      <c r="AA119" s="16" t="str">
        <f aca="false">IF($A119="","",IF(OR($C119="",$D119="",$D119&lt;=$C119),"CHECK: depths missing, or bottom not below top",IF(COUNTIFS($A$6:$A$205,$A119,$C$6:$C$205,$C119)&gt;1,"DUPLICATE slice",IF(COUNTIFS($A$6:$A$205,$A119,$C$6:$C$205,"&lt;"&amp;$D119,$D$6:$D$205,"&gt;"&amp;$C119)&gt;1,"OVERLAP with another slice",IF(AND($C119&gt;0,COUNTIFS($A$6:$A$205,$A119,$D$6:$D$205,$C119)=0),"GAP above this slice",IF(OR($G119="",$H119=""),"CHECK: Core ID not in Core Log, or its compaction / diameter missing",IF(AND(IF(COUNTIFS('2. Plot &amp; Core Log'!$B$6:$B$35,$A119,'2. Plot &amp; Core Log'!$L$6:$L$35,"&gt;0")=0,"",SUMIFS('2. Plot &amp; Core Log'!$L$6:$L$35,'2. Plot &amp; Core Log'!$B$6:$B$35,$A119))&lt;&gt;"",$D119&gt;IF(COUNTIFS('2. Plot &amp; Core Log'!$B$6:$B$35,$A119,'2. Plot &amp; Core Log'!$L$6:$L$35,"&gt;0")=0,"",SUMIFS('2. Plot &amp; Core Log'!$L$6:$L$35,'2. Plot &amp; Core Log'!$B$6:$B$35,$A119))),"CHECK: slice deeper than the core length on Sheet 2",IF(OR($M119="",$N119="",$O119=""),"AWAITING LAB (dry weight, carbon value or type)",IF(AND(UPPER($O119)&lt;&gt;"OC",UPPER($O119)&lt;&gt;"LOI"),IF(UPPER($O119)="TC","TC is not organic carbon — ask the lab for OC or IC","CHECK: type must be OC, TC or LOI"),IF($R119="",IF(AND(LOI_INTERCEPT&lt;&gt;"",LOI_SLOPE&lt;&gt;""),"CHECK: LOI below the range of the conversion equation (OC would be &lt; 0)","CHECK: LOI conversion not set (Instructions tab)"),IF(OR($Q119&lt;=0,$Q119&gt;2.65,$R119&gt;50),"CHECK: bulk density outside 0–2.65 g/cm3 or OC &gt; 50%","OK")))))))))))</f>
        <v/>
      </c>
    </row>
    <row r="120" customFormat="false" ht="15.75" hidden="false" customHeight="true" outlineLevel="0" collapsed="false">
      <c r="A120" s="14"/>
      <c r="B120" s="14"/>
      <c r="C120" s="24"/>
      <c r="D120" s="24"/>
      <c r="E120" s="14"/>
      <c r="F120" s="16" t="str">
        <f aca="false">IF(OR($C120="",$D120=""),"",$D120-$C120)</f>
        <v/>
      </c>
      <c r="G120" s="25" t="str">
        <f aca="false">IF($A120="","",IFERROR(INDEX('2. Plot &amp; Core Log'!$M$6:$M$35,MATCH($A120,'2. Plot &amp; Core Log'!$B$6:$B$35,0)),""))</f>
        <v/>
      </c>
      <c r="H120" s="26" t="str">
        <f aca="false">IF($A120="","",IFERROR(INDEX('2. Plot &amp; Core Log'!$S$6:$S$35,MATCH($A120,'2. Plot &amp; Core Log'!$B$6:$B$35,0)),""))</f>
        <v/>
      </c>
      <c r="I120" s="16" t="str">
        <f aca="false">IF(OR($C120="",$G120=""),"",$C120*$G120)</f>
        <v/>
      </c>
      <c r="J120" s="16" t="str">
        <f aca="false">IF(OR($D120="",$G120=""),"",$D120*$G120)</f>
        <v/>
      </c>
      <c r="K120" s="16" t="str">
        <f aca="false">IF(OR($F120="",$H120=""),"",PI()*(($H120/2)^2)*$F120)</f>
        <v/>
      </c>
      <c r="L120" s="27"/>
      <c r="M120" s="27"/>
      <c r="N120" s="27"/>
      <c r="O120" s="27"/>
      <c r="P120" s="16" t="str">
        <f aca="false">IF(OR($L120="",$M120="",$L120=0),"",(($L120-$M120)/$L120)*100)</f>
        <v/>
      </c>
      <c r="Q120" s="15" t="str">
        <f aca="false">IF(OR($M120="",$K120="",$K120=0),"",$M120/$K120)</f>
        <v/>
      </c>
      <c r="R120" s="15" t="str">
        <f aca="false">IF(OR($N120="",$O120=""),"",IF(UPPER($O120)="OC",$N120,IF(UPPER($O120)="LOI",IF(OR(LOI_INTERCEPT="",LOI_SLOPE=""),"",IF(LOI_INTERCEPT+LOI_SLOPE*$N120&lt;0,"",LOI_INTERCEPT+LOI_SLOPE*$N120)),"")))</f>
        <v/>
      </c>
      <c r="S120" s="18" t="str">
        <f aca="false">IF($R120="","",$R120*10)</f>
        <v/>
      </c>
      <c r="T120" s="28" t="str">
        <f aca="false">IF(OR($Q120="",$R120=""),"",$Q120*$R120/100)</f>
        <v/>
      </c>
      <c r="U120" s="29" t="str">
        <f aca="false">IF(OR($T120="",$F120=""),"",$T120*$F120)</f>
        <v/>
      </c>
      <c r="V120" s="15" t="str">
        <f aca="false">IF($U120="","",$U120*10)</f>
        <v/>
      </c>
      <c r="W120" s="15" t="str">
        <f aca="false">IF(OR($V120="",$I120="",$J120="",$J120&lt;=$I120),"",$V120*MAX(0,MIN($J120,15)-MAX($I120,0))/($J120-$I120))</f>
        <v/>
      </c>
      <c r="X120" s="15" t="str">
        <f aca="false">IF(OR($V120="",$I120="",$J120="",$J120&lt;=$I120),"",$V120*MAX(0,MIN($J120,30)-MAX($I120,15))/($J120-$I120))</f>
        <v/>
      </c>
      <c r="Y120" s="15" t="str">
        <f aca="false">IF(OR($V120="",$I120="",$J120="",$J120&lt;=$I120),"",$V120*MAX(0,MIN($J120,50)-MAX($I120,30))/($J120-$I120))</f>
        <v/>
      </c>
      <c r="Z120" s="15" t="str">
        <f aca="false">IF(OR($V120="",$I120="",$J120="",$J120&lt;=$I120),"",$V120*MAX(0,MIN($J120,100)-MAX($I120,50))/($J120-$I120))</f>
        <v/>
      </c>
      <c r="AA120" s="16" t="str">
        <f aca="false">IF($A120="","",IF(OR($C120="",$D120="",$D120&lt;=$C120),"CHECK: depths missing, or bottom not below top",IF(COUNTIFS($A$6:$A$205,$A120,$C$6:$C$205,$C120)&gt;1,"DUPLICATE slice",IF(COUNTIFS($A$6:$A$205,$A120,$C$6:$C$205,"&lt;"&amp;$D120,$D$6:$D$205,"&gt;"&amp;$C120)&gt;1,"OVERLAP with another slice",IF(AND($C120&gt;0,COUNTIFS($A$6:$A$205,$A120,$D$6:$D$205,$C120)=0),"GAP above this slice",IF(OR($G120="",$H120=""),"CHECK: Core ID not in Core Log, or its compaction / diameter missing",IF(AND(IF(COUNTIFS('2. Plot &amp; Core Log'!$B$6:$B$35,$A120,'2. Plot &amp; Core Log'!$L$6:$L$35,"&gt;0")=0,"",SUMIFS('2. Plot &amp; Core Log'!$L$6:$L$35,'2. Plot &amp; Core Log'!$B$6:$B$35,$A120))&lt;&gt;"",$D120&gt;IF(COUNTIFS('2. Plot &amp; Core Log'!$B$6:$B$35,$A120,'2. Plot &amp; Core Log'!$L$6:$L$35,"&gt;0")=0,"",SUMIFS('2. Plot &amp; Core Log'!$L$6:$L$35,'2. Plot &amp; Core Log'!$B$6:$B$35,$A120))),"CHECK: slice deeper than the core length on Sheet 2",IF(OR($M120="",$N120="",$O120=""),"AWAITING LAB (dry weight, carbon value or type)",IF(AND(UPPER($O120)&lt;&gt;"OC",UPPER($O120)&lt;&gt;"LOI"),IF(UPPER($O120)="TC","TC is not organic carbon — ask the lab for OC or IC","CHECK: type must be OC, TC or LOI"),IF($R120="",IF(AND(LOI_INTERCEPT&lt;&gt;"",LOI_SLOPE&lt;&gt;""),"CHECK: LOI below the range of the conversion equation (OC would be &lt; 0)","CHECK: LOI conversion not set (Instructions tab)"),IF(OR($Q120&lt;=0,$Q120&gt;2.65,$R120&gt;50),"CHECK: bulk density outside 0–2.65 g/cm3 or OC &gt; 50%","OK")))))))))))</f>
        <v/>
      </c>
    </row>
    <row r="121" customFormat="false" ht="15.75" hidden="false" customHeight="true" outlineLevel="0" collapsed="false">
      <c r="A121" s="14"/>
      <c r="B121" s="14"/>
      <c r="C121" s="24"/>
      <c r="D121" s="24"/>
      <c r="E121" s="14"/>
      <c r="F121" s="16" t="str">
        <f aca="false">IF(OR($C121="",$D121=""),"",$D121-$C121)</f>
        <v/>
      </c>
      <c r="G121" s="25" t="str">
        <f aca="false">IF($A121="","",IFERROR(INDEX('2. Plot &amp; Core Log'!$M$6:$M$35,MATCH($A121,'2. Plot &amp; Core Log'!$B$6:$B$35,0)),""))</f>
        <v/>
      </c>
      <c r="H121" s="26" t="str">
        <f aca="false">IF($A121="","",IFERROR(INDEX('2. Plot &amp; Core Log'!$S$6:$S$35,MATCH($A121,'2. Plot &amp; Core Log'!$B$6:$B$35,0)),""))</f>
        <v/>
      </c>
      <c r="I121" s="16" t="str">
        <f aca="false">IF(OR($C121="",$G121=""),"",$C121*$G121)</f>
        <v/>
      </c>
      <c r="J121" s="16" t="str">
        <f aca="false">IF(OR($D121="",$G121=""),"",$D121*$G121)</f>
        <v/>
      </c>
      <c r="K121" s="16" t="str">
        <f aca="false">IF(OR($F121="",$H121=""),"",PI()*(($H121/2)^2)*$F121)</f>
        <v/>
      </c>
      <c r="L121" s="27"/>
      <c r="M121" s="27"/>
      <c r="N121" s="27"/>
      <c r="O121" s="27"/>
      <c r="P121" s="16" t="str">
        <f aca="false">IF(OR($L121="",$M121="",$L121=0),"",(($L121-$M121)/$L121)*100)</f>
        <v/>
      </c>
      <c r="Q121" s="15" t="str">
        <f aca="false">IF(OR($M121="",$K121="",$K121=0),"",$M121/$K121)</f>
        <v/>
      </c>
      <c r="R121" s="15" t="str">
        <f aca="false">IF(OR($N121="",$O121=""),"",IF(UPPER($O121)="OC",$N121,IF(UPPER($O121)="LOI",IF(OR(LOI_INTERCEPT="",LOI_SLOPE=""),"",IF(LOI_INTERCEPT+LOI_SLOPE*$N121&lt;0,"",LOI_INTERCEPT+LOI_SLOPE*$N121)),"")))</f>
        <v/>
      </c>
      <c r="S121" s="18" t="str">
        <f aca="false">IF($R121="","",$R121*10)</f>
        <v/>
      </c>
      <c r="T121" s="28" t="str">
        <f aca="false">IF(OR($Q121="",$R121=""),"",$Q121*$R121/100)</f>
        <v/>
      </c>
      <c r="U121" s="29" t="str">
        <f aca="false">IF(OR($T121="",$F121=""),"",$T121*$F121)</f>
        <v/>
      </c>
      <c r="V121" s="15" t="str">
        <f aca="false">IF($U121="","",$U121*10)</f>
        <v/>
      </c>
      <c r="W121" s="15" t="str">
        <f aca="false">IF(OR($V121="",$I121="",$J121="",$J121&lt;=$I121),"",$V121*MAX(0,MIN($J121,15)-MAX($I121,0))/($J121-$I121))</f>
        <v/>
      </c>
      <c r="X121" s="15" t="str">
        <f aca="false">IF(OR($V121="",$I121="",$J121="",$J121&lt;=$I121),"",$V121*MAX(0,MIN($J121,30)-MAX($I121,15))/($J121-$I121))</f>
        <v/>
      </c>
      <c r="Y121" s="15" t="str">
        <f aca="false">IF(OR($V121="",$I121="",$J121="",$J121&lt;=$I121),"",$V121*MAX(0,MIN($J121,50)-MAX($I121,30))/($J121-$I121))</f>
        <v/>
      </c>
      <c r="Z121" s="15" t="str">
        <f aca="false">IF(OR($V121="",$I121="",$J121="",$J121&lt;=$I121),"",$V121*MAX(0,MIN($J121,100)-MAX($I121,50))/($J121-$I121))</f>
        <v/>
      </c>
      <c r="AA121" s="16" t="str">
        <f aca="false">IF($A121="","",IF(OR($C121="",$D121="",$D121&lt;=$C121),"CHECK: depths missing, or bottom not below top",IF(COUNTIFS($A$6:$A$205,$A121,$C$6:$C$205,$C121)&gt;1,"DUPLICATE slice",IF(COUNTIFS($A$6:$A$205,$A121,$C$6:$C$205,"&lt;"&amp;$D121,$D$6:$D$205,"&gt;"&amp;$C121)&gt;1,"OVERLAP with another slice",IF(AND($C121&gt;0,COUNTIFS($A$6:$A$205,$A121,$D$6:$D$205,$C121)=0),"GAP above this slice",IF(OR($G121="",$H121=""),"CHECK: Core ID not in Core Log, or its compaction / diameter missing",IF(AND(IF(COUNTIFS('2. Plot &amp; Core Log'!$B$6:$B$35,$A121,'2. Plot &amp; Core Log'!$L$6:$L$35,"&gt;0")=0,"",SUMIFS('2. Plot &amp; Core Log'!$L$6:$L$35,'2. Plot &amp; Core Log'!$B$6:$B$35,$A121))&lt;&gt;"",$D121&gt;IF(COUNTIFS('2. Plot &amp; Core Log'!$B$6:$B$35,$A121,'2. Plot &amp; Core Log'!$L$6:$L$35,"&gt;0")=0,"",SUMIFS('2. Plot &amp; Core Log'!$L$6:$L$35,'2. Plot &amp; Core Log'!$B$6:$B$35,$A121))),"CHECK: slice deeper than the core length on Sheet 2",IF(OR($M121="",$N121="",$O121=""),"AWAITING LAB (dry weight, carbon value or type)",IF(AND(UPPER($O121)&lt;&gt;"OC",UPPER($O121)&lt;&gt;"LOI"),IF(UPPER($O121)="TC","TC is not organic carbon — ask the lab for OC or IC","CHECK: type must be OC, TC or LOI"),IF($R121="",IF(AND(LOI_INTERCEPT&lt;&gt;"",LOI_SLOPE&lt;&gt;""),"CHECK: LOI below the range of the conversion equation (OC would be &lt; 0)","CHECK: LOI conversion not set (Instructions tab)"),IF(OR($Q121&lt;=0,$Q121&gt;2.65,$R121&gt;50),"CHECK: bulk density outside 0–2.65 g/cm3 or OC &gt; 50%","OK")))))))))))</f>
        <v/>
      </c>
    </row>
    <row r="122" customFormat="false" ht="15.75" hidden="false" customHeight="true" outlineLevel="0" collapsed="false">
      <c r="A122" s="14"/>
      <c r="B122" s="14"/>
      <c r="C122" s="24"/>
      <c r="D122" s="24"/>
      <c r="E122" s="14"/>
      <c r="F122" s="16" t="str">
        <f aca="false">IF(OR($C122="",$D122=""),"",$D122-$C122)</f>
        <v/>
      </c>
      <c r="G122" s="25" t="str">
        <f aca="false">IF($A122="","",IFERROR(INDEX('2. Plot &amp; Core Log'!$M$6:$M$35,MATCH($A122,'2. Plot &amp; Core Log'!$B$6:$B$35,0)),""))</f>
        <v/>
      </c>
      <c r="H122" s="26" t="str">
        <f aca="false">IF($A122="","",IFERROR(INDEX('2. Plot &amp; Core Log'!$S$6:$S$35,MATCH($A122,'2. Plot &amp; Core Log'!$B$6:$B$35,0)),""))</f>
        <v/>
      </c>
      <c r="I122" s="16" t="str">
        <f aca="false">IF(OR($C122="",$G122=""),"",$C122*$G122)</f>
        <v/>
      </c>
      <c r="J122" s="16" t="str">
        <f aca="false">IF(OR($D122="",$G122=""),"",$D122*$G122)</f>
        <v/>
      </c>
      <c r="K122" s="16" t="str">
        <f aca="false">IF(OR($F122="",$H122=""),"",PI()*(($H122/2)^2)*$F122)</f>
        <v/>
      </c>
      <c r="L122" s="27"/>
      <c r="M122" s="27"/>
      <c r="N122" s="27"/>
      <c r="O122" s="27"/>
      <c r="P122" s="16" t="str">
        <f aca="false">IF(OR($L122="",$M122="",$L122=0),"",(($L122-$M122)/$L122)*100)</f>
        <v/>
      </c>
      <c r="Q122" s="15" t="str">
        <f aca="false">IF(OR($M122="",$K122="",$K122=0),"",$M122/$K122)</f>
        <v/>
      </c>
      <c r="R122" s="15" t="str">
        <f aca="false">IF(OR($N122="",$O122=""),"",IF(UPPER($O122)="OC",$N122,IF(UPPER($O122)="LOI",IF(OR(LOI_INTERCEPT="",LOI_SLOPE=""),"",IF(LOI_INTERCEPT+LOI_SLOPE*$N122&lt;0,"",LOI_INTERCEPT+LOI_SLOPE*$N122)),"")))</f>
        <v/>
      </c>
      <c r="S122" s="18" t="str">
        <f aca="false">IF($R122="","",$R122*10)</f>
        <v/>
      </c>
      <c r="T122" s="28" t="str">
        <f aca="false">IF(OR($Q122="",$R122=""),"",$Q122*$R122/100)</f>
        <v/>
      </c>
      <c r="U122" s="29" t="str">
        <f aca="false">IF(OR($T122="",$F122=""),"",$T122*$F122)</f>
        <v/>
      </c>
      <c r="V122" s="15" t="str">
        <f aca="false">IF($U122="","",$U122*10)</f>
        <v/>
      </c>
      <c r="W122" s="15" t="str">
        <f aca="false">IF(OR($V122="",$I122="",$J122="",$J122&lt;=$I122),"",$V122*MAX(0,MIN($J122,15)-MAX($I122,0))/($J122-$I122))</f>
        <v/>
      </c>
      <c r="X122" s="15" t="str">
        <f aca="false">IF(OR($V122="",$I122="",$J122="",$J122&lt;=$I122),"",$V122*MAX(0,MIN($J122,30)-MAX($I122,15))/($J122-$I122))</f>
        <v/>
      </c>
      <c r="Y122" s="15" t="str">
        <f aca="false">IF(OR($V122="",$I122="",$J122="",$J122&lt;=$I122),"",$V122*MAX(0,MIN($J122,50)-MAX($I122,30))/($J122-$I122))</f>
        <v/>
      </c>
      <c r="Z122" s="15" t="str">
        <f aca="false">IF(OR($V122="",$I122="",$J122="",$J122&lt;=$I122),"",$V122*MAX(0,MIN($J122,100)-MAX($I122,50))/($J122-$I122))</f>
        <v/>
      </c>
      <c r="AA122" s="16" t="str">
        <f aca="false">IF($A122="","",IF(OR($C122="",$D122="",$D122&lt;=$C122),"CHECK: depths missing, or bottom not below top",IF(COUNTIFS($A$6:$A$205,$A122,$C$6:$C$205,$C122)&gt;1,"DUPLICATE slice",IF(COUNTIFS($A$6:$A$205,$A122,$C$6:$C$205,"&lt;"&amp;$D122,$D$6:$D$205,"&gt;"&amp;$C122)&gt;1,"OVERLAP with another slice",IF(AND($C122&gt;0,COUNTIFS($A$6:$A$205,$A122,$D$6:$D$205,$C122)=0),"GAP above this slice",IF(OR($G122="",$H122=""),"CHECK: Core ID not in Core Log, or its compaction / diameter missing",IF(AND(IF(COUNTIFS('2. Plot &amp; Core Log'!$B$6:$B$35,$A122,'2. Plot &amp; Core Log'!$L$6:$L$35,"&gt;0")=0,"",SUMIFS('2. Plot &amp; Core Log'!$L$6:$L$35,'2. Plot &amp; Core Log'!$B$6:$B$35,$A122))&lt;&gt;"",$D122&gt;IF(COUNTIFS('2. Plot &amp; Core Log'!$B$6:$B$35,$A122,'2. Plot &amp; Core Log'!$L$6:$L$35,"&gt;0")=0,"",SUMIFS('2. Plot &amp; Core Log'!$L$6:$L$35,'2. Plot &amp; Core Log'!$B$6:$B$35,$A122))),"CHECK: slice deeper than the core length on Sheet 2",IF(OR($M122="",$N122="",$O122=""),"AWAITING LAB (dry weight, carbon value or type)",IF(AND(UPPER($O122)&lt;&gt;"OC",UPPER($O122)&lt;&gt;"LOI"),IF(UPPER($O122)="TC","TC is not organic carbon — ask the lab for OC or IC","CHECK: type must be OC, TC or LOI"),IF($R122="",IF(AND(LOI_INTERCEPT&lt;&gt;"",LOI_SLOPE&lt;&gt;""),"CHECK: LOI below the range of the conversion equation (OC would be &lt; 0)","CHECK: LOI conversion not set (Instructions tab)"),IF(OR($Q122&lt;=0,$Q122&gt;2.65,$R122&gt;50),"CHECK: bulk density outside 0–2.65 g/cm3 or OC &gt; 50%","OK")))))))))))</f>
        <v/>
      </c>
    </row>
    <row r="123" customFormat="false" ht="15.75" hidden="false" customHeight="true" outlineLevel="0" collapsed="false">
      <c r="A123" s="14"/>
      <c r="B123" s="14"/>
      <c r="C123" s="24"/>
      <c r="D123" s="24"/>
      <c r="E123" s="14"/>
      <c r="F123" s="16" t="str">
        <f aca="false">IF(OR($C123="",$D123=""),"",$D123-$C123)</f>
        <v/>
      </c>
      <c r="G123" s="25" t="str">
        <f aca="false">IF($A123="","",IFERROR(INDEX('2. Plot &amp; Core Log'!$M$6:$M$35,MATCH($A123,'2. Plot &amp; Core Log'!$B$6:$B$35,0)),""))</f>
        <v/>
      </c>
      <c r="H123" s="26" t="str">
        <f aca="false">IF($A123="","",IFERROR(INDEX('2. Plot &amp; Core Log'!$S$6:$S$35,MATCH($A123,'2. Plot &amp; Core Log'!$B$6:$B$35,0)),""))</f>
        <v/>
      </c>
      <c r="I123" s="16" t="str">
        <f aca="false">IF(OR($C123="",$G123=""),"",$C123*$G123)</f>
        <v/>
      </c>
      <c r="J123" s="16" t="str">
        <f aca="false">IF(OR($D123="",$G123=""),"",$D123*$G123)</f>
        <v/>
      </c>
      <c r="K123" s="16" t="str">
        <f aca="false">IF(OR($F123="",$H123=""),"",PI()*(($H123/2)^2)*$F123)</f>
        <v/>
      </c>
      <c r="L123" s="27"/>
      <c r="M123" s="27"/>
      <c r="N123" s="27"/>
      <c r="O123" s="27"/>
      <c r="P123" s="16" t="str">
        <f aca="false">IF(OR($L123="",$M123="",$L123=0),"",(($L123-$M123)/$L123)*100)</f>
        <v/>
      </c>
      <c r="Q123" s="15" t="str">
        <f aca="false">IF(OR($M123="",$K123="",$K123=0),"",$M123/$K123)</f>
        <v/>
      </c>
      <c r="R123" s="15" t="str">
        <f aca="false">IF(OR($N123="",$O123=""),"",IF(UPPER($O123)="OC",$N123,IF(UPPER($O123)="LOI",IF(OR(LOI_INTERCEPT="",LOI_SLOPE=""),"",IF(LOI_INTERCEPT+LOI_SLOPE*$N123&lt;0,"",LOI_INTERCEPT+LOI_SLOPE*$N123)),"")))</f>
        <v/>
      </c>
      <c r="S123" s="18" t="str">
        <f aca="false">IF($R123="","",$R123*10)</f>
        <v/>
      </c>
      <c r="T123" s="28" t="str">
        <f aca="false">IF(OR($Q123="",$R123=""),"",$Q123*$R123/100)</f>
        <v/>
      </c>
      <c r="U123" s="29" t="str">
        <f aca="false">IF(OR($T123="",$F123=""),"",$T123*$F123)</f>
        <v/>
      </c>
      <c r="V123" s="15" t="str">
        <f aca="false">IF($U123="","",$U123*10)</f>
        <v/>
      </c>
      <c r="W123" s="15" t="str">
        <f aca="false">IF(OR($V123="",$I123="",$J123="",$J123&lt;=$I123),"",$V123*MAX(0,MIN($J123,15)-MAX($I123,0))/($J123-$I123))</f>
        <v/>
      </c>
      <c r="X123" s="15" t="str">
        <f aca="false">IF(OR($V123="",$I123="",$J123="",$J123&lt;=$I123),"",$V123*MAX(0,MIN($J123,30)-MAX($I123,15))/($J123-$I123))</f>
        <v/>
      </c>
      <c r="Y123" s="15" t="str">
        <f aca="false">IF(OR($V123="",$I123="",$J123="",$J123&lt;=$I123),"",$V123*MAX(0,MIN($J123,50)-MAX($I123,30))/($J123-$I123))</f>
        <v/>
      </c>
      <c r="Z123" s="15" t="str">
        <f aca="false">IF(OR($V123="",$I123="",$J123="",$J123&lt;=$I123),"",$V123*MAX(0,MIN($J123,100)-MAX($I123,50))/($J123-$I123))</f>
        <v/>
      </c>
      <c r="AA123" s="16" t="str">
        <f aca="false">IF($A123="","",IF(OR($C123="",$D123="",$D123&lt;=$C123),"CHECK: depths missing, or bottom not below top",IF(COUNTIFS($A$6:$A$205,$A123,$C$6:$C$205,$C123)&gt;1,"DUPLICATE slice",IF(COUNTIFS($A$6:$A$205,$A123,$C$6:$C$205,"&lt;"&amp;$D123,$D$6:$D$205,"&gt;"&amp;$C123)&gt;1,"OVERLAP with another slice",IF(AND($C123&gt;0,COUNTIFS($A$6:$A$205,$A123,$D$6:$D$205,$C123)=0),"GAP above this slice",IF(OR($G123="",$H123=""),"CHECK: Core ID not in Core Log, or its compaction / diameter missing",IF(AND(IF(COUNTIFS('2. Plot &amp; Core Log'!$B$6:$B$35,$A123,'2. Plot &amp; Core Log'!$L$6:$L$35,"&gt;0")=0,"",SUMIFS('2. Plot &amp; Core Log'!$L$6:$L$35,'2. Plot &amp; Core Log'!$B$6:$B$35,$A123))&lt;&gt;"",$D123&gt;IF(COUNTIFS('2. Plot &amp; Core Log'!$B$6:$B$35,$A123,'2. Plot &amp; Core Log'!$L$6:$L$35,"&gt;0")=0,"",SUMIFS('2. Plot &amp; Core Log'!$L$6:$L$35,'2. Plot &amp; Core Log'!$B$6:$B$35,$A123))),"CHECK: slice deeper than the core length on Sheet 2",IF(OR($M123="",$N123="",$O123=""),"AWAITING LAB (dry weight, carbon value or type)",IF(AND(UPPER($O123)&lt;&gt;"OC",UPPER($O123)&lt;&gt;"LOI"),IF(UPPER($O123)="TC","TC is not organic carbon — ask the lab for OC or IC","CHECK: type must be OC, TC or LOI"),IF($R123="",IF(AND(LOI_INTERCEPT&lt;&gt;"",LOI_SLOPE&lt;&gt;""),"CHECK: LOI below the range of the conversion equation (OC would be &lt; 0)","CHECK: LOI conversion not set (Instructions tab)"),IF(OR($Q123&lt;=0,$Q123&gt;2.65,$R123&gt;50),"CHECK: bulk density outside 0–2.65 g/cm3 or OC &gt; 50%","OK")))))))))))</f>
        <v/>
      </c>
    </row>
    <row r="124" customFormat="false" ht="15.75" hidden="false" customHeight="true" outlineLevel="0" collapsed="false">
      <c r="A124" s="14"/>
      <c r="B124" s="14"/>
      <c r="C124" s="24"/>
      <c r="D124" s="24"/>
      <c r="E124" s="14"/>
      <c r="F124" s="16" t="str">
        <f aca="false">IF(OR($C124="",$D124=""),"",$D124-$C124)</f>
        <v/>
      </c>
      <c r="G124" s="25" t="str">
        <f aca="false">IF($A124="","",IFERROR(INDEX('2. Plot &amp; Core Log'!$M$6:$M$35,MATCH($A124,'2. Plot &amp; Core Log'!$B$6:$B$35,0)),""))</f>
        <v/>
      </c>
      <c r="H124" s="26" t="str">
        <f aca="false">IF($A124="","",IFERROR(INDEX('2. Plot &amp; Core Log'!$S$6:$S$35,MATCH($A124,'2. Plot &amp; Core Log'!$B$6:$B$35,0)),""))</f>
        <v/>
      </c>
      <c r="I124" s="16" t="str">
        <f aca="false">IF(OR($C124="",$G124=""),"",$C124*$G124)</f>
        <v/>
      </c>
      <c r="J124" s="16" t="str">
        <f aca="false">IF(OR($D124="",$G124=""),"",$D124*$G124)</f>
        <v/>
      </c>
      <c r="K124" s="16" t="str">
        <f aca="false">IF(OR($F124="",$H124=""),"",PI()*(($H124/2)^2)*$F124)</f>
        <v/>
      </c>
      <c r="L124" s="27"/>
      <c r="M124" s="27"/>
      <c r="N124" s="27"/>
      <c r="O124" s="27"/>
      <c r="P124" s="16" t="str">
        <f aca="false">IF(OR($L124="",$M124="",$L124=0),"",(($L124-$M124)/$L124)*100)</f>
        <v/>
      </c>
      <c r="Q124" s="15" t="str">
        <f aca="false">IF(OR($M124="",$K124="",$K124=0),"",$M124/$K124)</f>
        <v/>
      </c>
      <c r="R124" s="15" t="str">
        <f aca="false">IF(OR($N124="",$O124=""),"",IF(UPPER($O124)="OC",$N124,IF(UPPER($O124)="LOI",IF(OR(LOI_INTERCEPT="",LOI_SLOPE=""),"",IF(LOI_INTERCEPT+LOI_SLOPE*$N124&lt;0,"",LOI_INTERCEPT+LOI_SLOPE*$N124)),"")))</f>
        <v/>
      </c>
      <c r="S124" s="18" t="str">
        <f aca="false">IF($R124="","",$R124*10)</f>
        <v/>
      </c>
      <c r="T124" s="28" t="str">
        <f aca="false">IF(OR($Q124="",$R124=""),"",$Q124*$R124/100)</f>
        <v/>
      </c>
      <c r="U124" s="29" t="str">
        <f aca="false">IF(OR($T124="",$F124=""),"",$T124*$F124)</f>
        <v/>
      </c>
      <c r="V124" s="15" t="str">
        <f aca="false">IF($U124="","",$U124*10)</f>
        <v/>
      </c>
      <c r="W124" s="15" t="str">
        <f aca="false">IF(OR($V124="",$I124="",$J124="",$J124&lt;=$I124),"",$V124*MAX(0,MIN($J124,15)-MAX($I124,0))/($J124-$I124))</f>
        <v/>
      </c>
      <c r="X124" s="15" t="str">
        <f aca="false">IF(OR($V124="",$I124="",$J124="",$J124&lt;=$I124),"",$V124*MAX(0,MIN($J124,30)-MAX($I124,15))/($J124-$I124))</f>
        <v/>
      </c>
      <c r="Y124" s="15" t="str">
        <f aca="false">IF(OR($V124="",$I124="",$J124="",$J124&lt;=$I124),"",$V124*MAX(0,MIN($J124,50)-MAX($I124,30))/($J124-$I124))</f>
        <v/>
      </c>
      <c r="Z124" s="15" t="str">
        <f aca="false">IF(OR($V124="",$I124="",$J124="",$J124&lt;=$I124),"",$V124*MAX(0,MIN($J124,100)-MAX($I124,50))/($J124-$I124))</f>
        <v/>
      </c>
      <c r="AA124" s="16" t="str">
        <f aca="false">IF($A124="","",IF(OR($C124="",$D124="",$D124&lt;=$C124),"CHECK: depths missing, or bottom not below top",IF(COUNTIFS($A$6:$A$205,$A124,$C$6:$C$205,$C124)&gt;1,"DUPLICATE slice",IF(COUNTIFS($A$6:$A$205,$A124,$C$6:$C$205,"&lt;"&amp;$D124,$D$6:$D$205,"&gt;"&amp;$C124)&gt;1,"OVERLAP with another slice",IF(AND($C124&gt;0,COUNTIFS($A$6:$A$205,$A124,$D$6:$D$205,$C124)=0),"GAP above this slice",IF(OR($G124="",$H124=""),"CHECK: Core ID not in Core Log, or its compaction / diameter missing",IF(AND(IF(COUNTIFS('2. Plot &amp; Core Log'!$B$6:$B$35,$A124,'2. Plot &amp; Core Log'!$L$6:$L$35,"&gt;0")=0,"",SUMIFS('2. Plot &amp; Core Log'!$L$6:$L$35,'2. Plot &amp; Core Log'!$B$6:$B$35,$A124))&lt;&gt;"",$D124&gt;IF(COUNTIFS('2. Plot &amp; Core Log'!$B$6:$B$35,$A124,'2. Plot &amp; Core Log'!$L$6:$L$35,"&gt;0")=0,"",SUMIFS('2. Plot &amp; Core Log'!$L$6:$L$35,'2. Plot &amp; Core Log'!$B$6:$B$35,$A124))),"CHECK: slice deeper than the core length on Sheet 2",IF(OR($M124="",$N124="",$O124=""),"AWAITING LAB (dry weight, carbon value or type)",IF(AND(UPPER($O124)&lt;&gt;"OC",UPPER($O124)&lt;&gt;"LOI"),IF(UPPER($O124)="TC","TC is not organic carbon — ask the lab for OC or IC","CHECK: type must be OC, TC or LOI"),IF($R124="",IF(AND(LOI_INTERCEPT&lt;&gt;"",LOI_SLOPE&lt;&gt;""),"CHECK: LOI below the range of the conversion equation (OC would be &lt; 0)","CHECK: LOI conversion not set (Instructions tab)"),IF(OR($Q124&lt;=0,$Q124&gt;2.65,$R124&gt;50),"CHECK: bulk density outside 0–2.65 g/cm3 or OC &gt; 50%","OK")))))))))))</f>
        <v/>
      </c>
    </row>
    <row r="125" customFormat="false" ht="15.75" hidden="false" customHeight="true" outlineLevel="0" collapsed="false">
      <c r="A125" s="14"/>
      <c r="B125" s="14"/>
      <c r="C125" s="24"/>
      <c r="D125" s="24"/>
      <c r="E125" s="14"/>
      <c r="F125" s="16" t="str">
        <f aca="false">IF(OR($C125="",$D125=""),"",$D125-$C125)</f>
        <v/>
      </c>
      <c r="G125" s="25" t="str">
        <f aca="false">IF($A125="","",IFERROR(INDEX('2. Plot &amp; Core Log'!$M$6:$M$35,MATCH($A125,'2. Plot &amp; Core Log'!$B$6:$B$35,0)),""))</f>
        <v/>
      </c>
      <c r="H125" s="26" t="str">
        <f aca="false">IF($A125="","",IFERROR(INDEX('2. Plot &amp; Core Log'!$S$6:$S$35,MATCH($A125,'2. Plot &amp; Core Log'!$B$6:$B$35,0)),""))</f>
        <v/>
      </c>
      <c r="I125" s="16" t="str">
        <f aca="false">IF(OR($C125="",$G125=""),"",$C125*$G125)</f>
        <v/>
      </c>
      <c r="J125" s="16" t="str">
        <f aca="false">IF(OR($D125="",$G125=""),"",$D125*$G125)</f>
        <v/>
      </c>
      <c r="K125" s="16" t="str">
        <f aca="false">IF(OR($F125="",$H125=""),"",PI()*(($H125/2)^2)*$F125)</f>
        <v/>
      </c>
      <c r="L125" s="27"/>
      <c r="M125" s="27"/>
      <c r="N125" s="27"/>
      <c r="O125" s="27"/>
      <c r="P125" s="16" t="str">
        <f aca="false">IF(OR($L125="",$M125="",$L125=0),"",(($L125-$M125)/$L125)*100)</f>
        <v/>
      </c>
      <c r="Q125" s="15" t="str">
        <f aca="false">IF(OR($M125="",$K125="",$K125=0),"",$M125/$K125)</f>
        <v/>
      </c>
      <c r="R125" s="15" t="str">
        <f aca="false">IF(OR($N125="",$O125=""),"",IF(UPPER($O125)="OC",$N125,IF(UPPER($O125)="LOI",IF(OR(LOI_INTERCEPT="",LOI_SLOPE=""),"",IF(LOI_INTERCEPT+LOI_SLOPE*$N125&lt;0,"",LOI_INTERCEPT+LOI_SLOPE*$N125)),"")))</f>
        <v/>
      </c>
      <c r="S125" s="18" t="str">
        <f aca="false">IF($R125="","",$R125*10)</f>
        <v/>
      </c>
      <c r="T125" s="28" t="str">
        <f aca="false">IF(OR($Q125="",$R125=""),"",$Q125*$R125/100)</f>
        <v/>
      </c>
      <c r="U125" s="29" t="str">
        <f aca="false">IF(OR($T125="",$F125=""),"",$T125*$F125)</f>
        <v/>
      </c>
      <c r="V125" s="15" t="str">
        <f aca="false">IF($U125="","",$U125*10)</f>
        <v/>
      </c>
      <c r="W125" s="15" t="str">
        <f aca="false">IF(OR($V125="",$I125="",$J125="",$J125&lt;=$I125),"",$V125*MAX(0,MIN($J125,15)-MAX($I125,0))/($J125-$I125))</f>
        <v/>
      </c>
      <c r="X125" s="15" t="str">
        <f aca="false">IF(OR($V125="",$I125="",$J125="",$J125&lt;=$I125),"",$V125*MAX(0,MIN($J125,30)-MAX($I125,15))/($J125-$I125))</f>
        <v/>
      </c>
      <c r="Y125" s="15" t="str">
        <f aca="false">IF(OR($V125="",$I125="",$J125="",$J125&lt;=$I125),"",$V125*MAX(0,MIN($J125,50)-MAX($I125,30))/($J125-$I125))</f>
        <v/>
      </c>
      <c r="Z125" s="15" t="str">
        <f aca="false">IF(OR($V125="",$I125="",$J125="",$J125&lt;=$I125),"",$V125*MAX(0,MIN($J125,100)-MAX($I125,50))/($J125-$I125))</f>
        <v/>
      </c>
      <c r="AA125" s="16" t="str">
        <f aca="false">IF($A125="","",IF(OR($C125="",$D125="",$D125&lt;=$C125),"CHECK: depths missing, or bottom not below top",IF(COUNTIFS($A$6:$A$205,$A125,$C$6:$C$205,$C125)&gt;1,"DUPLICATE slice",IF(COUNTIFS($A$6:$A$205,$A125,$C$6:$C$205,"&lt;"&amp;$D125,$D$6:$D$205,"&gt;"&amp;$C125)&gt;1,"OVERLAP with another slice",IF(AND($C125&gt;0,COUNTIFS($A$6:$A$205,$A125,$D$6:$D$205,$C125)=0),"GAP above this slice",IF(OR($G125="",$H125=""),"CHECK: Core ID not in Core Log, or its compaction / diameter missing",IF(AND(IF(COUNTIFS('2. Plot &amp; Core Log'!$B$6:$B$35,$A125,'2. Plot &amp; Core Log'!$L$6:$L$35,"&gt;0")=0,"",SUMIFS('2. Plot &amp; Core Log'!$L$6:$L$35,'2. Plot &amp; Core Log'!$B$6:$B$35,$A125))&lt;&gt;"",$D125&gt;IF(COUNTIFS('2. Plot &amp; Core Log'!$B$6:$B$35,$A125,'2. Plot &amp; Core Log'!$L$6:$L$35,"&gt;0")=0,"",SUMIFS('2. Plot &amp; Core Log'!$L$6:$L$35,'2. Plot &amp; Core Log'!$B$6:$B$35,$A125))),"CHECK: slice deeper than the core length on Sheet 2",IF(OR($M125="",$N125="",$O125=""),"AWAITING LAB (dry weight, carbon value or type)",IF(AND(UPPER($O125)&lt;&gt;"OC",UPPER($O125)&lt;&gt;"LOI"),IF(UPPER($O125)="TC","TC is not organic carbon — ask the lab for OC or IC","CHECK: type must be OC, TC or LOI"),IF($R125="",IF(AND(LOI_INTERCEPT&lt;&gt;"",LOI_SLOPE&lt;&gt;""),"CHECK: LOI below the range of the conversion equation (OC would be &lt; 0)","CHECK: LOI conversion not set (Instructions tab)"),IF(OR($Q125&lt;=0,$Q125&gt;2.65,$R125&gt;50),"CHECK: bulk density outside 0–2.65 g/cm3 or OC &gt; 50%","OK")))))))))))</f>
        <v/>
      </c>
    </row>
    <row r="126" customFormat="false" ht="15.75" hidden="false" customHeight="true" outlineLevel="0" collapsed="false">
      <c r="A126" s="14"/>
      <c r="B126" s="14"/>
      <c r="C126" s="24"/>
      <c r="D126" s="24"/>
      <c r="E126" s="14"/>
      <c r="F126" s="16" t="str">
        <f aca="false">IF(OR($C126="",$D126=""),"",$D126-$C126)</f>
        <v/>
      </c>
      <c r="G126" s="25" t="str">
        <f aca="false">IF($A126="","",IFERROR(INDEX('2. Plot &amp; Core Log'!$M$6:$M$35,MATCH($A126,'2. Plot &amp; Core Log'!$B$6:$B$35,0)),""))</f>
        <v/>
      </c>
      <c r="H126" s="26" t="str">
        <f aca="false">IF($A126="","",IFERROR(INDEX('2. Plot &amp; Core Log'!$S$6:$S$35,MATCH($A126,'2. Plot &amp; Core Log'!$B$6:$B$35,0)),""))</f>
        <v/>
      </c>
      <c r="I126" s="16" t="str">
        <f aca="false">IF(OR($C126="",$G126=""),"",$C126*$G126)</f>
        <v/>
      </c>
      <c r="J126" s="16" t="str">
        <f aca="false">IF(OR($D126="",$G126=""),"",$D126*$G126)</f>
        <v/>
      </c>
      <c r="K126" s="16" t="str">
        <f aca="false">IF(OR($F126="",$H126=""),"",PI()*(($H126/2)^2)*$F126)</f>
        <v/>
      </c>
      <c r="L126" s="27"/>
      <c r="M126" s="27"/>
      <c r="N126" s="27"/>
      <c r="O126" s="27"/>
      <c r="P126" s="16" t="str">
        <f aca="false">IF(OR($L126="",$M126="",$L126=0),"",(($L126-$M126)/$L126)*100)</f>
        <v/>
      </c>
      <c r="Q126" s="15" t="str">
        <f aca="false">IF(OR($M126="",$K126="",$K126=0),"",$M126/$K126)</f>
        <v/>
      </c>
      <c r="R126" s="15" t="str">
        <f aca="false">IF(OR($N126="",$O126=""),"",IF(UPPER($O126)="OC",$N126,IF(UPPER($O126)="LOI",IF(OR(LOI_INTERCEPT="",LOI_SLOPE=""),"",IF(LOI_INTERCEPT+LOI_SLOPE*$N126&lt;0,"",LOI_INTERCEPT+LOI_SLOPE*$N126)),"")))</f>
        <v/>
      </c>
      <c r="S126" s="18" t="str">
        <f aca="false">IF($R126="","",$R126*10)</f>
        <v/>
      </c>
      <c r="T126" s="28" t="str">
        <f aca="false">IF(OR($Q126="",$R126=""),"",$Q126*$R126/100)</f>
        <v/>
      </c>
      <c r="U126" s="29" t="str">
        <f aca="false">IF(OR($T126="",$F126=""),"",$T126*$F126)</f>
        <v/>
      </c>
      <c r="V126" s="15" t="str">
        <f aca="false">IF($U126="","",$U126*10)</f>
        <v/>
      </c>
      <c r="W126" s="15" t="str">
        <f aca="false">IF(OR($V126="",$I126="",$J126="",$J126&lt;=$I126),"",$V126*MAX(0,MIN($J126,15)-MAX($I126,0))/($J126-$I126))</f>
        <v/>
      </c>
      <c r="X126" s="15" t="str">
        <f aca="false">IF(OR($V126="",$I126="",$J126="",$J126&lt;=$I126),"",$V126*MAX(0,MIN($J126,30)-MAX($I126,15))/($J126-$I126))</f>
        <v/>
      </c>
      <c r="Y126" s="15" t="str">
        <f aca="false">IF(OR($V126="",$I126="",$J126="",$J126&lt;=$I126),"",$V126*MAX(0,MIN($J126,50)-MAX($I126,30))/($J126-$I126))</f>
        <v/>
      </c>
      <c r="Z126" s="15" t="str">
        <f aca="false">IF(OR($V126="",$I126="",$J126="",$J126&lt;=$I126),"",$V126*MAX(0,MIN($J126,100)-MAX($I126,50))/($J126-$I126))</f>
        <v/>
      </c>
      <c r="AA126" s="16" t="str">
        <f aca="false">IF($A126="","",IF(OR($C126="",$D126="",$D126&lt;=$C126),"CHECK: depths missing, or bottom not below top",IF(COUNTIFS($A$6:$A$205,$A126,$C$6:$C$205,$C126)&gt;1,"DUPLICATE slice",IF(COUNTIFS($A$6:$A$205,$A126,$C$6:$C$205,"&lt;"&amp;$D126,$D$6:$D$205,"&gt;"&amp;$C126)&gt;1,"OVERLAP with another slice",IF(AND($C126&gt;0,COUNTIFS($A$6:$A$205,$A126,$D$6:$D$205,$C126)=0),"GAP above this slice",IF(OR($G126="",$H126=""),"CHECK: Core ID not in Core Log, or its compaction / diameter missing",IF(AND(IF(COUNTIFS('2. Plot &amp; Core Log'!$B$6:$B$35,$A126,'2. Plot &amp; Core Log'!$L$6:$L$35,"&gt;0")=0,"",SUMIFS('2. Plot &amp; Core Log'!$L$6:$L$35,'2. Plot &amp; Core Log'!$B$6:$B$35,$A126))&lt;&gt;"",$D126&gt;IF(COUNTIFS('2. Plot &amp; Core Log'!$B$6:$B$35,$A126,'2. Plot &amp; Core Log'!$L$6:$L$35,"&gt;0")=0,"",SUMIFS('2. Plot &amp; Core Log'!$L$6:$L$35,'2. Plot &amp; Core Log'!$B$6:$B$35,$A126))),"CHECK: slice deeper than the core length on Sheet 2",IF(OR($M126="",$N126="",$O126=""),"AWAITING LAB (dry weight, carbon value or type)",IF(AND(UPPER($O126)&lt;&gt;"OC",UPPER($O126)&lt;&gt;"LOI"),IF(UPPER($O126)="TC","TC is not organic carbon — ask the lab for OC or IC","CHECK: type must be OC, TC or LOI"),IF($R126="",IF(AND(LOI_INTERCEPT&lt;&gt;"",LOI_SLOPE&lt;&gt;""),"CHECK: LOI below the range of the conversion equation (OC would be &lt; 0)","CHECK: LOI conversion not set (Instructions tab)"),IF(OR($Q126&lt;=0,$Q126&gt;2.65,$R126&gt;50),"CHECK: bulk density outside 0–2.65 g/cm3 or OC &gt; 50%","OK")))))))))))</f>
        <v/>
      </c>
    </row>
    <row r="127" customFormat="false" ht="15.75" hidden="false" customHeight="true" outlineLevel="0" collapsed="false">
      <c r="A127" s="14"/>
      <c r="B127" s="14"/>
      <c r="C127" s="24"/>
      <c r="D127" s="24"/>
      <c r="E127" s="14"/>
      <c r="F127" s="16" t="str">
        <f aca="false">IF(OR($C127="",$D127=""),"",$D127-$C127)</f>
        <v/>
      </c>
      <c r="G127" s="25" t="str">
        <f aca="false">IF($A127="","",IFERROR(INDEX('2. Plot &amp; Core Log'!$M$6:$M$35,MATCH($A127,'2. Plot &amp; Core Log'!$B$6:$B$35,0)),""))</f>
        <v/>
      </c>
      <c r="H127" s="26" t="str">
        <f aca="false">IF($A127="","",IFERROR(INDEX('2. Plot &amp; Core Log'!$S$6:$S$35,MATCH($A127,'2. Plot &amp; Core Log'!$B$6:$B$35,0)),""))</f>
        <v/>
      </c>
      <c r="I127" s="16" t="str">
        <f aca="false">IF(OR($C127="",$G127=""),"",$C127*$G127)</f>
        <v/>
      </c>
      <c r="J127" s="16" t="str">
        <f aca="false">IF(OR($D127="",$G127=""),"",$D127*$G127)</f>
        <v/>
      </c>
      <c r="K127" s="16" t="str">
        <f aca="false">IF(OR($F127="",$H127=""),"",PI()*(($H127/2)^2)*$F127)</f>
        <v/>
      </c>
      <c r="L127" s="27"/>
      <c r="M127" s="27"/>
      <c r="N127" s="27"/>
      <c r="O127" s="27"/>
      <c r="P127" s="16" t="str">
        <f aca="false">IF(OR($L127="",$M127="",$L127=0),"",(($L127-$M127)/$L127)*100)</f>
        <v/>
      </c>
      <c r="Q127" s="15" t="str">
        <f aca="false">IF(OR($M127="",$K127="",$K127=0),"",$M127/$K127)</f>
        <v/>
      </c>
      <c r="R127" s="15" t="str">
        <f aca="false">IF(OR($N127="",$O127=""),"",IF(UPPER($O127)="OC",$N127,IF(UPPER($O127)="LOI",IF(OR(LOI_INTERCEPT="",LOI_SLOPE=""),"",IF(LOI_INTERCEPT+LOI_SLOPE*$N127&lt;0,"",LOI_INTERCEPT+LOI_SLOPE*$N127)),"")))</f>
        <v/>
      </c>
      <c r="S127" s="18" t="str">
        <f aca="false">IF($R127="","",$R127*10)</f>
        <v/>
      </c>
      <c r="T127" s="28" t="str">
        <f aca="false">IF(OR($Q127="",$R127=""),"",$Q127*$R127/100)</f>
        <v/>
      </c>
      <c r="U127" s="29" t="str">
        <f aca="false">IF(OR($T127="",$F127=""),"",$T127*$F127)</f>
        <v/>
      </c>
      <c r="V127" s="15" t="str">
        <f aca="false">IF($U127="","",$U127*10)</f>
        <v/>
      </c>
      <c r="W127" s="15" t="str">
        <f aca="false">IF(OR($V127="",$I127="",$J127="",$J127&lt;=$I127),"",$V127*MAX(0,MIN($J127,15)-MAX($I127,0))/($J127-$I127))</f>
        <v/>
      </c>
      <c r="X127" s="15" t="str">
        <f aca="false">IF(OR($V127="",$I127="",$J127="",$J127&lt;=$I127),"",$V127*MAX(0,MIN($J127,30)-MAX($I127,15))/($J127-$I127))</f>
        <v/>
      </c>
      <c r="Y127" s="15" t="str">
        <f aca="false">IF(OR($V127="",$I127="",$J127="",$J127&lt;=$I127),"",$V127*MAX(0,MIN($J127,50)-MAX($I127,30))/($J127-$I127))</f>
        <v/>
      </c>
      <c r="Z127" s="15" t="str">
        <f aca="false">IF(OR($V127="",$I127="",$J127="",$J127&lt;=$I127),"",$V127*MAX(0,MIN($J127,100)-MAX($I127,50))/($J127-$I127))</f>
        <v/>
      </c>
      <c r="AA127" s="16" t="str">
        <f aca="false">IF($A127="","",IF(OR($C127="",$D127="",$D127&lt;=$C127),"CHECK: depths missing, or bottom not below top",IF(COUNTIFS($A$6:$A$205,$A127,$C$6:$C$205,$C127)&gt;1,"DUPLICATE slice",IF(COUNTIFS($A$6:$A$205,$A127,$C$6:$C$205,"&lt;"&amp;$D127,$D$6:$D$205,"&gt;"&amp;$C127)&gt;1,"OVERLAP with another slice",IF(AND($C127&gt;0,COUNTIFS($A$6:$A$205,$A127,$D$6:$D$205,$C127)=0),"GAP above this slice",IF(OR($G127="",$H127=""),"CHECK: Core ID not in Core Log, or its compaction / diameter missing",IF(AND(IF(COUNTIFS('2. Plot &amp; Core Log'!$B$6:$B$35,$A127,'2. Plot &amp; Core Log'!$L$6:$L$35,"&gt;0")=0,"",SUMIFS('2. Plot &amp; Core Log'!$L$6:$L$35,'2. Plot &amp; Core Log'!$B$6:$B$35,$A127))&lt;&gt;"",$D127&gt;IF(COUNTIFS('2. Plot &amp; Core Log'!$B$6:$B$35,$A127,'2. Plot &amp; Core Log'!$L$6:$L$35,"&gt;0")=0,"",SUMIFS('2. Plot &amp; Core Log'!$L$6:$L$35,'2. Plot &amp; Core Log'!$B$6:$B$35,$A127))),"CHECK: slice deeper than the core length on Sheet 2",IF(OR($M127="",$N127="",$O127=""),"AWAITING LAB (dry weight, carbon value or type)",IF(AND(UPPER($O127)&lt;&gt;"OC",UPPER($O127)&lt;&gt;"LOI"),IF(UPPER($O127)="TC","TC is not organic carbon — ask the lab for OC or IC","CHECK: type must be OC, TC or LOI"),IF($R127="",IF(AND(LOI_INTERCEPT&lt;&gt;"",LOI_SLOPE&lt;&gt;""),"CHECK: LOI below the range of the conversion equation (OC would be &lt; 0)","CHECK: LOI conversion not set (Instructions tab)"),IF(OR($Q127&lt;=0,$Q127&gt;2.65,$R127&gt;50),"CHECK: bulk density outside 0–2.65 g/cm3 or OC &gt; 50%","OK")))))))))))</f>
        <v/>
      </c>
    </row>
    <row r="128" customFormat="false" ht="15.75" hidden="false" customHeight="true" outlineLevel="0" collapsed="false">
      <c r="A128" s="14"/>
      <c r="B128" s="14"/>
      <c r="C128" s="24"/>
      <c r="D128" s="24"/>
      <c r="E128" s="14"/>
      <c r="F128" s="16" t="str">
        <f aca="false">IF(OR($C128="",$D128=""),"",$D128-$C128)</f>
        <v/>
      </c>
      <c r="G128" s="25" t="str">
        <f aca="false">IF($A128="","",IFERROR(INDEX('2. Plot &amp; Core Log'!$M$6:$M$35,MATCH($A128,'2. Plot &amp; Core Log'!$B$6:$B$35,0)),""))</f>
        <v/>
      </c>
      <c r="H128" s="26" t="str">
        <f aca="false">IF($A128="","",IFERROR(INDEX('2. Plot &amp; Core Log'!$S$6:$S$35,MATCH($A128,'2. Plot &amp; Core Log'!$B$6:$B$35,0)),""))</f>
        <v/>
      </c>
      <c r="I128" s="16" t="str">
        <f aca="false">IF(OR($C128="",$G128=""),"",$C128*$G128)</f>
        <v/>
      </c>
      <c r="J128" s="16" t="str">
        <f aca="false">IF(OR($D128="",$G128=""),"",$D128*$G128)</f>
        <v/>
      </c>
      <c r="K128" s="16" t="str">
        <f aca="false">IF(OR($F128="",$H128=""),"",PI()*(($H128/2)^2)*$F128)</f>
        <v/>
      </c>
      <c r="L128" s="27"/>
      <c r="M128" s="27"/>
      <c r="N128" s="27"/>
      <c r="O128" s="27"/>
      <c r="P128" s="16" t="str">
        <f aca="false">IF(OR($L128="",$M128="",$L128=0),"",(($L128-$M128)/$L128)*100)</f>
        <v/>
      </c>
      <c r="Q128" s="15" t="str">
        <f aca="false">IF(OR($M128="",$K128="",$K128=0),"",$M128/$K128)</f>
        <v/>
      </c>
      <c r="R128" s="15" t="str">
        <f aca="false">IF(OR($N128="",$O128=""),"",IF(UPPER($O128)="OC",$N128,IF(UPPER($O128)="LOI",IF(OR(LOI_INTERCEPT="",LOI_SLOPE=""),"",IF(LOI_INTERCEPT+LOI_SLOPE*$N128&lt;0,"",LOI_INTERCEPT+LOI_SLOPE*$N128)),"")))</f>
        <v/>
      </c>
      <c r="S128" s="18" t="str">
        <f aca="false">IF($R128="","",$R128*10)</f>
        <v/>
      </c>
      <c r="T128" s="28" t="str">
        <f aca="false">IF(OR($Q128="",$R128=""),"",$Q128*$R128/100)</f>
        <v/>
      </c>
      <c r="U128" s="29" t="str">
        <f aca="false">IF(OR($T128="",$F128=""),"",$T128*$F128)</f>
        <v/>
      </c>
      <c r="V128" s="15" t="str">
        <f aca="false">IF($U128="","",$U128*10)</f>
        <v/>
      </c>
      <c r="W128" s="15" t="str">
        <f aca="false">IF(OR($V128="",$I128="",$J128="",$J128&lt;=$I128),"",$V128*MAX(0,MIN($J128,15)-MAX($I128,0))/($J128-$I128))</f>
        <v/>
      </c>
      <c r="X128" s="15" t="str">
        <f aca="false">IF(OR($V128="",$I128="",$J128="",$J128&lt;=$I128),"",$V128*MAX(0,MIN($J128,30)-MAX($I128,15))/($J128-$I128))</f>
        <v/>
      </c>
      <c r="Y128" s="15" t="str">
        <f aca="false">IF(OR($V128="",$I128="",$J128="",$J128&lt;=$I128),"",$V128*MAX(0,MIN($J128,50)-MAX($I128,30))/($J128-$I128))</f>
        <v/>
      </c>
      <c r="Z128" s="15" t="str">
        <f aca="false">IF(OR($V128="",$I128="",$J128="",$J128&lt;=$I128),"",$V128*MAX(0,MIN($J128,100)-MAX($I128,50))/($J128-$I128))</f>
        <v/>
      </c>
      <c r="AA128" s="16" t="str">
        <f aca="false">IF($A128="","",IF(OR($C128="",$D128="",$D128&lt;=$C128),"CHECK: depths missing, or bottom not below top",IF(COUNTIFS($A$6:$A$205,$A128,$C$6:$C$205,$C128)&gt;1,"DUPLICATE slice",IF(COUNTIFS($A$6:$A$205,$A128,$C$6:$C$205,"&lt;"&amp;$D128,$D$6:$D$205,"&gt;"&amp;$C128)&gt;1,"OVERLAP with another slice",IF(AND($C128&gt;0,COUNTIFS($A$6:$A$205,$A128,$D$6:$D$205,$C128)=0),"GAP above this slice",IF(OR($G128="",$H128=""),"CHECK: Core ID not in Core Log, or its compaction / diameter missing",IF(AND(IF(COUNTIFS('2. Plot &amp; Core Log'!$B$6:$B$35,$A128,'2. Plot &amp; Core Log'!$L$6:$L$35,"&gt;0")=0,"",SUMIFS('2. Plot &amp; Core Log'!$L$6:$L$35,'2. Plot &amp; Core Log'!$B$6:$B$35,$A128))&lt;&gt;"",$D128&gt;IF(COUNTIFS('2. Plot &amp; Core Log'!$B$6:$B$35,$A128,'2. Plot &amp; Core Log'!$L$6:$L$35,"&gt;0")=0,"",SUMIFS('2. Plot &amp; Core Log'!$L$6:$L$35,'2. Plot &amp; Core Log'!$B$6:$B$35,$A128))),"CHECK: slice deeper than the core length on Sheet 2",IF(OR($M128="",$N128="",$O128=""),"AWAITING LAB (dry weight, carbon value or type)",IF(AND(UPPER($O128)&lt;&gt;"OC",UPPER($O128)&lt;&gt;"LOI"),IF(UPPER($O128)="TC","TC is not organic carbon — ask the lab for OC or IC","CHECK: type must be OC, TC or LOI"),IF($R128="",IF(AND(LOI_INTERCEPT&lt;&gt;"",LOI_SLOPE&lt;&gt;""),"CHECK: LOI below the range of the conversion equation (OC would be &lt; 0)","CHECK: LOI conversion not set (Instructions tab)"),IF(OR($Q128&lt;=0,$Q128&gt;2.65,$R128&gt;50),"CHECK: bulk density outside 0–2.65 g/cm3 or OC &gt; 50%","OK")))))))))))</f>
        <v/>
      </c>
    </row>
    <row r="129" customFormat="false" ht="15.75" hidden="false" customHeight="true" outlineLevel="0" collapsed="false">
      <c r="A129" s="14"/>
      <c r="B129" s="14"/>
      <c r="C129" s="24"/>
      <c r="D129" s="24"/>
      <c r="E129" s="14"/>
      <c r="F129" s="16" t="str">
        <f aca="false">IF(OR($C129="",$D129=""),"",$D129-$C129)</f>
        <v/>
      </c>
      <c r="G129" s="25" t="str">
        <f aca="false">IF($A129="","",IFERROR(INDEX('2. Plot &amp; Core Log'!$M$6:$M$35,MATCH($A129,'2. Plot &amp; Core Log'!$B$6:$B$35,0)),""))</f>
        <v/>
      </c>
      <c r="H129" s="26" t="str">
        <f aca="false">IF($A129="","",IFERROR(INDEX('2. Plot &amp; Core Log'!$S$6:$S$35,MATCH($A129,'2. Plot &amp; Core Log'!$B$6:$B$35,0)),""))</f>
        <v/>
      </c>
      <c r="I129" s="16" t="str">
        <f aca="false">IF(OR($C129="",$G129=""),"",$C129*$G129)</f>
        <v/>
      </c>
      <c r="J129" s="16" t="str">
        <f aca="false">IF(OR($D129="",$G129=""),"",$D129*$G129)</f>
        <v/>
      </c>
      <c r="K129" s="16" t="str">
        <f aca="false">IF(OR($F129="",$H129=""),"",PI()*(($H129/2)^2)*$F129)</f>
        <v/>
      </c>
      <c r="L129" s="27"/>
      <c r="M129" s="27"/>
      <c r="N129" s="27"/>
      <c r="O129" s="27"/>
      <c r="P129" s="16" t="str">
        <f aca="false">IF(OR($L129="",$M129="",$L129=0),"",(($L129-$M129)/$L129)*100)</f>
        <v/>
      </c>
      <c r="Q129" s="15" t="str">
        <f aca="false">IF(OR($M129="",$K129="",$K129=0),"",$M129/$K129)</f>
        <v/>
      </c>
      <c r="R129" s="15" t="str">
        <f aca="false">IF(OR($N129="",$O129=""),"",IF(UPPER($O129)="OC",$N129,IF(UPPER($O129)="LOI",IF(OR(LOI_INTERCEPT="",LOI_SLOPE=""),"",IF(LOI_INTERCEPT+LOI_SLOPE*$N129&lt;0,"",LOI_INTERCEPT+LOI_SLOPE*$N129)),"")))</f>
        <v/>
      </c>
      <c r="S129" s="18" t="str">
        <f aca="false">IF($R129="","",$R129*10)</f>
        <v/>
      </c>
      <c r="T129" s="28" t="str">
        <f aca="false">IF(OR($Q129="",$R129=""),"",$Q129*$R129/100)</f>
        <v/>
      </c>
      <c r="U129" s="29" t="str">
        <f aca="false">IF(OR($T129="",$F129=""),"",$T129*$F129)</f>
        <v/>
      </c>
      <c r="V129" s="15" t="str">
        <f aca="false">IF($U129="","",$U129*10)</f>
        <v/>
      </c>
      <c r="W129" s="15" t="str">
        <f aca="false">IF(OR($V129="",$I129="",$J129="",$J129&lt;=$I129),"",$V129*MAX(0,MIN($J129,15)-MAX($I129,0))/($J129-$I129))</f>
        <v/>
      </c>
      <c r="X129" s="15" t="str">
        <f aca="false">IF(OR($V129="",$I129="",$J129="",$J129&lt;=$I129),"",$V129*MAX(0,MIN($J129,30)-MAX($I129,15))/($J129-$I129))</f>
        <v/>
      </c>
      <c r="Y129" s="15" t="str">
        <f aca="false">IF(OR($V129="",$I129="",$J129="",$J129&lt;=$I129),"",$V129*MAX(0,MIN($J129,50)-MAX($I129,30))/($J129-$I129))</f>
        <v/>
      </c>
      <c r="Z129" s="15" t="str">
        <f aca="false">IF(OR($V129="",$I129="",$J129="",$J129&lt;=$I129),"",$V129*MAX(0,MIN($J129,100)-MAX($I129,50))/($J129-$I129))</f>
        <v/>
      </c>
      <c r="AA129" s="16" t="str">
        <f aca="false">IF($A129="","",IF(OR($C129="",$D129="",$D129&lt;=$C129),"CHECK: depths missing, or bottom not below top",IF(COUNTIFS($A$6:$A$205,$A129,$C$6:$C$205,$C129)&gt;1,"DUPLICATE slice",IF(COUNTIFS($A$6:$A$205,$A129,$C$6:$C$205,"&lt;"&amp;$D129,$D$6:$D$205,"&gt;"&amp;$C129)&gt;1,"OVERLAP with another slice",IF(AND($C129&gt;0,COUNTIFS($A$6:$A$205,$A129,$D$6:$D$205,$C129)=0),"GAP above this slice",IF(OR($G129="",$H129=""),"CHECK: Core ID not in Core Log, or its compaction / diameter missing",IF(AND(IF(COUNTIFS('2. Plot &amp; Core Log'!$B$6:$B$35,$A129,'2. Plot &amp; Core Log'!$L$6:$L$35,"&gt;0")=0,"",SUMIFS('2. Plot &amp; Core Log'!$L$6:$L$35,'2. Plot &amp; Core Log'!$B$6:$B$35,$A129))&lt;&gt;"",$D129&gt;IF(COUNTIFS('2. Plot &amp; Core Log'!$B$6:$B$35,$A129,'2. Plot &amp; Core Log'!$L$6:$L$35,"&gt;0")=0,"",SUMIFS('2. Plot &amp; Core Log'!$L$6:$L$35,'2. Plot &amp; Core Log'!$B$6:$B$35,$A129))),"CHECK: slice deeper than the core length on Sheet 2",IF(OR($M129="",$N129="",$O129=""),"AWAITING LAB (dry weight, carbon value or type)",IF(AND(UPPER($O129)&lt;&gt;"OC",UPPER($O129)&lt;&gt;"LOI"),IF(UPPER($O129)="TC","TC is not organic carbon — ask the lab for OC or IC","CHECK: type must be OC, TC or LOI"),IF($R129="",IF(AND(LOI_INTERCEPT&lt;&gt;"",LOI_SLOPE&lt;&gt;""),"CHECK: LOI below the range of the conversion equation (OC would be &lt; 0)","CHECK: LOI conversion not set (Instructions tab)"),IF(OR($Q129&lt;=0,$Q129&gt;2.65,$R129&gt;50),"CHECK: bulk density outside 0–2.65 g/cm3 or OC &gt; 50%","OK")))))))))))</f>
        <v/>
      </c>
    </row>
    <row r="130" customFormat="false" ht="15.75" hidden="false" customHeight="true" outlineLevel="0" collapsed="false">
      <c r="A130" s="14"/>
      <c r="B130" s="14"/>
      <c r="C130" s="24"/>
      <c r="D130" s="24"/>
      <c r="E130" s="14"/>
      <c r="F130" s="16" t="str">
        <f aca="false">IF(OR($C130="",$D130=""),"",$D130-$C130)</f>
        <v/>
      </c>
      <c r="G130" s="25" t="str">
        <f aca="false">IF($A130="","",IFERROR(INDEX('2. Plot &amp; Core Log'!$M$6:$M$35,MATCH($A130,'2. Plot &amp; Core Log'!$B$6:$B$35,0)),""))</f>
        <v/>
      </c>
      <c r="H130" s="26" t="str">
        <f aca="false">IF($A130="","",IFERROR(INDEX('2. Plot &amp; Core Log'!$S$6:$S$35,MATCH($A130,'2. Plot &amp; Core Log'!$B$6:$B$35,0)),""))</f>
        <v/>
      </c>
      <c r="I130" s="16" t="str">
        <f aca="false">IF(OR($C130="",$G130=""),"",$C130*$G130)</f>
        <v/>
      </c>
      <c r="J130" s="16" t="str">
        <f aca="false">IF(OR($D130="",$G130=""),"",$D130*$G130)</f>
        <v/>
      </c>
      <c r="K130" s="16" t="str">
        <f aca="false">IF(OR($F130="",$H130=""),"",PI()*(($H130/2)^2)*$F130)</f>
        <v/>
      </c>
      <c r="L130" s="27"/>
      <c r="M130" s="27"/>
      <c r="N130" s="27"/>
      <c r="O130" s="27"/>
      <c r="P130" s="16" t="str">
        <f aca="false">IF(OR($L130="",$M130="",$L130=0),"",(($L130-$M130)/$L130)*100)</f>
        <v/>
      </c>
      <c r="Q130" s="15" t="str">
        <f aca="false">IF(OR($M130="",$K130="",$K130=0),"",$M130/$K130)</f>
        <v/>
      </c>
      <c r="R130" s="15" t="str">
        <f aca="false">IF(OR($N130="",$O130=""),"",IF(UPPER($O130)="OC",$N130,IF(UPPER($O130)="LOI",IF(OR(LOI_INTERCEPT="",LOI_SLOPE=""),"",IF(LOI_INTERCEPT+LOI_SLOPE*$N130&lt;0,"",LOI_INTERCEPT+LOI_SLOPE*$N130)),"")))</f>
        <v/>
      </c>
      <c r="S130" s="18" t="str">
        <f aca="false">IF($R130="","",$R130*10)</f>
        <v/>
      </c>
      <c r="T130" s="28" t="str">
        <f aca="false">IF(OR($Q130="",$R130=""),"",$Q130*$R130/100)</f>
        <v/>
      </c>
      <c r="U130" s="29" t="str">
        <f aca="false">IF(OR($T130="",$F130=""),"",$T130*$F130)</f>
        <v/>
      </c>
      <c r="V130" s="15" t="str">
        <f aca="false">IF($U130="","",$U130*10)</f>
        <v/>
      </c>
      <c r="W130" s="15" t="str">
        <f aca="false">IF(OR($V130="",$I130="",$J130="",$J130&lt;=$I130),"",$V130*MAX(0,MIN($J130,15)-MAX($I130,0))/($J130-$I130))</f>
        <v/>
      </c>
      <c r="X130" s="15" t="str">
        <f aca="false">IF(OR($V130="",$I130="",$J130="",$J130&lt;=$I130),"",$V130*MAX(0,MIN($J130,30)-MAX($I130,15))/($J130-$I130))</f>
        <v/>
      </c>
      <c r="Y130" s="15" t="str">
        <f aca="false">IF(OR($V130="",$I130="",$J130="",$J130&lt;=$I130),"",$V130*MAX(0,MIN($J130,50)-MAX($I130,30))/($J130-$I130))</f>
        <v/>
      </c>
      <c r="Z130" s="15" t="str">
        <f aca="false">IF(OR($V130="",$I130="",$J130="",$J130&lt;=$I130),"",$V130*MAX(0,MIN($J130,100)-MAX($I130,50))/($J130-$I130))</f>
        <v/>
      </c>
      <c r="AA130" s="16" t="str">
        <f aca="false">IF($A130="","",IF(OR($C130="",$D130="",$D130&lt;=$C130),"CHECK: depths missing, or bottom not below top",IF(COUNTIFS($A$6:$A$205,$A130,$C$6:$C$205,$C130)&gt;1,"DUPLICATE slice",IF(COUNTIFS($A$6:$A$205,$A130,$C$6:$C$205,"&lt;"&amp;$D130,$D$6:$D$205,"&gt;"&amp;$C130)&gt;1,"OVERLAP with another slice",IF(AND($C130&gt;0,COUNTIFS($A$6:$A$205,$A130,$D$6:$D$205,$C130)=0),"GAP above this slice",IF(OR($G130="",$H130=""),"CHECK: Core ID not in Core Log, or its compaction / diameter missing",IF(AND(IF(COUNTIFS('2. Plot &amp; Core Log'!$B$6:$B$35,$A130,'2. Plot &amp; Core Log'!$L$6:$L$35,"&gt;0")=0,"",SUMIFS('2. Plot &amp; Core Log'!$L$6:$L$35,'2. Plot &amp; Core Log'!$B$6:$B$35,$A130))&lt;&gt;"",$D130&gt;IF(COUNTIFS('2. Plot &amp; Core Log'!$B$6:$B$35,$A130,'2. Plot &amp; Core Log'!$L$6:$L$35,"&gt;0")=0,"",SUMIFS('2. Plot &amp; Core Log'!$L$6:$L$35,'2. Plot &amp; Core Log'!$B$6:$B$35,$A130))),"CHECK: slice deeper than the core length on Sheet 2",IF(OR($M130="",$N130="",$O130=""),"AWAITING LAB (dry weight, carbon value or type)",IF(AND(UPPER($O130)&lt;&gt;"OC",UPPER($O130)&lt;&gt;"LOI"),IF(UPPER($O130)="TC","TC is not organic carbon — ask the lab for OC or IC","CHECK: type must be OC, TC or LOI"),IF($R130="",IF(AND(LOI_INTERCEPT&lt;&gt;"",LOI_SLOPE&lt;&gt;""),"CHECK: LOI below the range of the conversion equation (OC would be &lt; 0)","CHECK: LOI conversion not set (Instructions tab)"),IF(OR($Q130&lt;=0,$Q130&gt;2.65,$R130&gt;50),"CHECK: bulk density outside 0–2.65 g/cm3 or OC &gt; 50%","OK")))))))))))</f>
        <v/>
      </c>
    </row>
    <row r="131" customFormat="false" ht="15.75" hidden="false" customHeight="true" outlineLevel="0" collapsed="false">
      <c r="A131" s="14"/>
      <c r="B131" s="14"/>
      <c r="C131" s="24"/>
      <c r="D131" s="24"/>
      <c r="E131" s="14"/>
      <c r="F131" s="16" t="str">
        <f aca="false">IF(OR($C131="",$D131=""),"",$D131-$C131)</f>
        <v/>
      </c>
      <c r="G131" s="25" t="str">
        <f aca="false">IF($A131="","",IFERROR(INDEX('2. Plot &amp; Core Log'!$M$6:$M$35,MATCH($A131,'2. Plot &amp; Core Log'!$B$6:$B$35,0)),""))</f>
        <v/>
      </c>
      <c r="H131" s="26" t="str">
        <f aca="false">IF($A131="","",IFERROR(INDEX('2. Plot &amp; Core Log'!$S$6:$S$35,MATCH($A131,'2. Plot &amp; Core Log'!$B$6:$B$35,0)),""))</f>
        <v/>
      </c>
      <c r="I131" s="16" t="str">
        <f aca="false">IF(OR($C131="",$G131=""),"",$C131*$G131)</f>
        <v/>
      </c>
      <c r="J131" s="16" t="str">
        <f aca="false">IF(OR($D131="",$G131=""),"",$D131*$G131)</f>
        <v/>
      </c>
      <c r="K131" s="16" t="str">
        <f aca="false">IF(OR($F131="",$H131=""),"",PI()*(($H131/2)^2)*$F131)</f>
        <v/>
      </c>
      <c r="L131" s="27"/>
      <c r="M131" s="27"/>
      <c r="N131" s="27"/>
      <c r="O131" s="27"/>
      <c r="P131" s="16" t="str">
        <f aca="false">IF(OR($L131="",$M131="",$L131=0),"",(($L131-$M131)/$L131)*100)</f>
        <v/>
      </c>
      <c r="Q131" s="15" t="str">
        <f aca="false">IF(OR($M131="",$K131="",$K131=0),"",$M131/$K131)</f>
        <v/>
      </c>
      <c r="R131" s="15" t="str">
        <f aca="false">IF(OR($N131="",$O131=""),"",IF(UPPER($O131)="OC",$N131,IF(UPPER($O131)="LOI",IF(OR(LOI_INTERCEPT="",LOI_SLOPE=""),"",IF(LOI_INTERCEPT+LOI_SLOPE*$N131&lt;0,"",LOI_INTERCEPT+LOI_SLOPE*$N131)),"")))</f>
        <v/>
      </c>
      <c r="S131" s="18" t="str">
        <f aca="false">IF($R131="","",$R131*10)</f>
        <v/>
      </c>
      <c r="T131" s="28" t="str">
        <f aca="false">IF(OR($Q131="",$R131=""),"",$Q131*$R131/100)</f>
        <v/>
      </c>
      <c r="U131" s="29" t="str">
        <f aca="false">IF(OR($T131="",$F131=""),"",$T131*$F131)</f>
        <v/>
      </c>
      <c r="V131" s="15" t="str">
        <f aca="false">IF($U131="","",$U131*10)</f>
        <v/>
      </c>
      <c r="W131" s="15" t="str">
        <f aca="false">IF(OR($V131="",$I131="",$J131="",$J131&lt;=$I131),"",$V131*MAX(0,MIN($J131,15)-MAX($I131,0))/($J131-$I131))</f>
        <v/>
      </c>
      <c r="X131" s="15" t="str">
        <f aca="false">IF(OR($V131="",$I131="",$J131="",$J131&lt;=$I131),"",$V131*MAX(0,MIN($J131,30)-MAX($I131,15))/($J131-$I131))</f>
        <v/>
      </c>
      <c r="Y131" s="15" t="str">
        <f aca="false">IF(OR($V131="",$I131="",$J131="",$J131&lt;=$I131),"",$V131*MAX(0,MIN($J131,50)-MAX($I131,30))/($J131-$I131))</f>
        <v/>
      </c>
      <c r="Z131" s="15" t="str">
        <f aca="false">IF(OR($V131="",$I131="",$J131="",$J131&lt;=$I131),"",$V131*MAX(0,MIN($J131,100)-MAX($I131,50))/($J131-$I131))</f>
        <v/>
      </c>
      <c r="AA131" s="16" t="str">
        <f aca="false">IF($A131="","",IF(OR($C131="",$D131="",$D131&lt;=$C131),"CHECK: depths missing, or bottom not below top",IF(COUNTIFS($A$6:$A$205,$A131,$C$6:$C$205,$C131)&gt;1,"DUPLICATE slice",IF(COUNTIFS($A$6:$A$205,$A131,$C$6:$C$205,"&lt;"&amp;$D131,$D$6:$D$205,"&gt;"&amp;$C131)&gt;1,"OVERLAP with another slice",IF(AND($C131&gt;0,COUNTIFS($A$6:$A$205,$A131,$D$6:$D$205,$C131)=0),"GAP above this slice",IF(OR($G131="",$H131=""),"CHECK: Core ID not in Core Log, or its compaction / diameter missing",IF(AND(IF(COUNTIFS('2. Plot &amp; Core Log'!$B$6:$B$35,$A131,'2. Plot &amp; Core Log'!$L$6:$L$35,"&gt;0")=0,"",SUMIFS('2. Plot &amp; Core Log'!$L$6:$L$35,'2. Plot &amp; Core Log'!$B$6:$B$35,$A131))&lt;&gt;"",$D131&gt;IF(COUNTIFS('2. Plot &amp; Core Log'!$B$6:$B$35,$A131,'2. Plot &amp; Core Log'!$L$6:$L$35,"&gt;0")=0,"",SUMIFS('2. Plot &amp; Core Log'!$L$6:$L$35,'2. Plot &amp; Core Log'!$B$6:$B$35,$A131))),"CHECK: slice deeper than the core length on Sheet 2",IF(OR($M131="",$N131="",$O131=""),"AWAITING LAB (dry weight, carbon value or type)",IF(AND(UPPER($O131)&lt;&gt;"OC",UPPER($O131)&lt;&gt;"LOI"),IF(UPPER($O131)="TC","TC is not organic carbon — ask the lab for OC or IC","CHECK: type must be OC, TC or LOI"),IF($R131="",IF(AND(LOI_INTERCEPT&lt;&gt;"",LOI_SLOPE&lt;&gt;""),"CHECK: LOI below the range of the conversion equation (OC would be &lt; 0)","CHECK: LOI conversion not set (Instructions tab)"),IF(OR($Q131&lt;=0,$Q131&gt;2.65,$R131&gt;50),"CHECK: bulk density outside 0–2.65 g/cm3 or OC &gt; 50%","OK")))))))))))</f>
        <v/>
      </c>
    </row>
    <row r="132" customFormat="false" ht="15.75" hidden="false" customHeight="true" outlineLevel="0" collapsed="false">
      <c r="A132" s="14"/>
      <c r="B132" s="14"/>
      <c r="C132" s="24"/>
      <c r="D132" s="24"/>
      <c r="E132" s="14"/>
      <c r="F132" s="16" t="str">
        <f aca="false">IF(OR($C132="",$D132=""),"",$D132-$C132)</f>
        <v/>
      </c>
      <c r="G132" s="25" t="str">
        <f aca="false">IF($A132="","",IFERROR(INDEX('2. Plot &amp; Core Log'!$M$6:$M$35,MATCH($A132,'2. Plot &amp; Core Log'!$B$6:$B$35,0)),""))</f>
        <v/>
      </c>
      <c r="H132" s="26" t="str">
        <f aca="false">IF($A132="","",IFERROR(INDEX('2. Plot &amp; Core Log'!$S$6:$S$35,MATCH($A132,'2. Plot &amp; Core Log'!$B$6:$B$35,0)),""))</f>
        <v/>
      </c>
      <c r="I132" s="16" t="str">
        <f aca="false">IF(OR($C132="",$G132=""),"",$C132*$G132)</f>
        <v/>
      </c>
      <c r="J132" s="16" t="str">
        <f aca="false">IF(OR($D132="",$G132=""),"",$D132*$G132)</f>
        <v/>
      </c>
      <c r="K132" s="16" t="str">
        <f aca="false">IF(OR($F132="",$H132=""),"",PI()*(($H132/2)^2)*$F132)</f>
        <v/>
      </c>
      <c r="L132" s="27"/>
      <c r="M132" s="27"/>
      <c r="N132" s="27"/>
      <c r="O132" s="27"/>
      <c r="P132" s="16" t="str">
        <f aca="false">IF(OR($L132="",$M132="",$L132=0),"",(($L132-$M132)/$L132)*100)</f>
        <v/>
      </c>
      <c r="Q132" s="15" t="str">
        <f aca="false">IF(OR($M132="",$K132="",$K132=0),"",$M132/$K132)</f>
        <v/>
      </c>
      <c r="R132" s="15" t="str">
        <f aca="false">IF(OR($N132="",$O132=""),"",IF(UPPER($O132)="OC",$N132,IF(UPPER($O132)="LOI",IF(OR(LOI_INTERCEPT="",LOI_SLOPE=""),"",IF(LOI_INTERCEPT+LOI_SLOPE*$N132&lt;0,"",LOI_INTERCEPT+LOI_SLOPE*$N132)),"")))</f>
        <v/>
      </c>
      <c r="S132" s="18" t="str">
        <f aca="false">IF($R132="","",$R132*10)</f>
        <v/>
      </c>
      <c r="T132" s="28" t="str">
        <f aca="false">IF(OR($Q132="",$R132=""),"",$Q132*$R132/100)</f>
        <v/>
      </c>
      <c r="U132" s="29" t="str">
        <f aca="false">IF(OR($T132="",$F132=""),"",$T132*$F132)</f>
        <v/>
      </c>
      <c r="V132" s="15" t="str">
        <f aca="false">IF($U132="","",$U132*10)</f>
        <v/>
      </c>
      <c r="W132" s="15" t="str">
        <f aca="false">IF(OR($V132="",$I132="",$J132="",$J132&lt;=$I132),"",$V132*MAX(0,MIN($J132,15)-MAX($I132,0))/($J132-$I132))</f>
        <v/>
      </c>
      <c r="X132" s="15" t="str">
        <f aca="false">IF(OR($V132="",$I132="",$J132="",$J132&lt;=$I132),"",$V132*MAX(0,MIN($J132,30)-MAX($I132,15))/($J132-$I132))</f>
        <v/>
      </c>
      <c r="Y132" s="15" t="str">
        <f aca="false">IF(OR($V132="",$I132="",$J132="",$J132&lt;=$I132),"",$V132*MAX(0,MIN($J132,50)-MAX($I132,30))/($J132-$I132))</f>
        <v/>
      </c>
      <c r="Z132" s="15" t="str">
        <f aca="false">IF(OR($V132="",$I132="",$J132="",$J132&lt;=$I132),"",$V132*MAX(0,MIN($J132,100)-MAX($I132,50))/($J132-$I132))</f>
        <v/>
      </c>
      <c r="AA132" s="16" t="str">
        <f aca="false">IF($A132="","",IF(OR($C132="",$D132="",$D132&lt;=$C132),"CHECK: depths missing, or bottom not below top",IF(COUNTIFS($A$6:$A$205,$A132,$C$6:$C$205,$C132)&gt;1,"DUPLICATE slice",IF(COUNTIFS($A$6:$A$205,$A132,$C$6:$C$205,"&lt;"&amp;$D132,$D$6:$D$205,"&gt;"&amp;$C132)&gt;1,"OVERLAP with another slice",IF(AND($C132&gt;0,COUNTIFS($A$6:$A$205,$A132,$D$6:$D$205,$C132)=0),"GAP above this slice",IF(OR($G132="",$H132=""),"CHECK: Core ID not in Core Log, or its compaction / diameter missing",IF(AND(IF(COUNTIFS('2. Plot &amp; Core Log'!$B$6:$B$35,$A132,'2. Plot &amp; Core Log'!$L$6:$L$35,"&gt;0")=0,"",SUMIFS('2. Plot &amp; Core Log'!$L$6:$L$35,'2. Plot &amp; Core Log'!$B$6:$B$35,$A132))&lt;&gt;"",$D132&gt;IF(COUNTIFS('2. Plot &amp; Core Log'!$B$6:$B$35,$A132,'2. Plot &amp; Core Log'!$L$6:$L$35,"&gt;0")=0,"",SUMIFS('2. Plot &amp; Core Log'!$L$6:$L$35,'2. Plot &amp; Core Log'!$B$6:$B$35,$A132))),"CHECK: slice deeper than the core length on Sheet 2",IF(OR($M132="",$N132="",$O132=""),"AWAITING LAB (dry weight, carbon value or type)",IF(AND(UPPER($O132)&lt;&gt;"OC",UPPER($O132)&lt;&gt;"LOI"),IF(UPPER($O132)="TC","TC is not organic carbon — ask the lab for OC or IC","CHECK: type must be OC, TC or LOI"),IF($R132="",IF(AND(LOI_INTERCEPT&lt;&gt;"",LOI_SLOPE&lt;&gt;""),"CHECK: LOI below the range of the conversion equation (OC would be &lt; 0)","CHECK: LOI conversion not set (Instructions tab)"),IF(OR($Q132&lt;=0,$Q132&gt;2.65,$R132&gt;50),"CHECK: bulk density outside 0–2.65 g/cm3 or OC &gt; 50%","OK")))))))))))</f>
        <v/>
      </c>
    </row>
    <row r="133" customFormat="false" ht="15.75" hidden="false" customHeight="true" outlineLevel="0" collapsed="false">
      <c r="A133" s="14"/>
      <c r="B133" s="14"/>
      <c r="C133" s="24"/>
      <c r="D133" s="24"/>
      <c r="E133" s="14"/>
      <c r="F133" s="16" t="str">
        <f aca="false">IF(OR($C133="",$D133=""),"",$D133-$C133)</f>
        <v/>
      </c>
      <c r="G133" s="25" t="str">
        <f aca="false">IF($A133="","",IFERROR(INDEX('2. Plot &amp; Core Log'!$M$6:$M$35,MATCH($A133,'2. Plot &amp; Core Log'!$B$6:$B$35,0)),""))</f>
        <v/>
      </c>
      <c r="H133" s="26" t="str">
        <f aca="false">IF($A133="","",IFERROR(INDEX('2. Plot &amp; Core Log'!$S$6:$S$35,MATCH($A133,'2. Plot &amp; Core Log'!$B$6:$B$35,0)),""))</f>
        <v/>
      </c>
      <c r="I133" s="16" t="str">
        <f aca="false">IF(OR($C133="",$G133=""),"",$C133*$G133)</f>
        <v/>
      </c>
      <c r="J133" s="16" t="str">
        <f aca="false">IF(OR($D133="",$G133=""),"",$D133*$G133)</f>
        <v/>
      </c>
      <c r="K133" s="16" t="str">
        <f aca="false">IF(OR($F133="",$H133=""),"",PI()*(($H133/2)^2)*$F133)</f>
        <v/>
      </c>
      <c r="L133" s="27"/>
      <c r="M133" s="27"/>
      <c r="N133" s="27"/>
      <c r="O133" s="27"/>
      <c r="P133" s="16" t="str">
        <f aca="false">IF(OR($L133="",$M133="",$L133=0),"",(($L133-$M133)/$L133)*100)</f>
        <v/>
      </c>
      <c r="Q133" s="15" t="str">
        <f aca="false">IF(OR($M133="",$K133="",$K133=0),"",$M133/$K133)</f>
        <v/>
      </c>
      <c r="R133" s="15" t="str">
        <f aca="false">IF(OR($N133="",$O133=""),"",IF(UPPER($O133)="OC",$N133,IF(UPPER($O133)="LOI",IF(OR(LOI_INTERCEPT="",LOI_SLOPE=""),"",IF(LOI_INTERCEPT+LOI_SLOPE*$N133&lt;0,"",LOI_INTERCEPT+LOI_SLOPE*$N133)),"")))</f>
        <v/>
      </c>
      <c r="S133" s="18" t="str">
        <f aca="false">IF($R133="","",$R133*10)</f>
        <v/>
      </c>
      <c r="T133" s="28" t="str">
        <f aca="false">IF(OR($Q133="",$R133=""),"",$Q133*$R133/100)</f>
        <v/>
      </c>
      <c r="U133" s="29" t="str">
        <f aca="false">IF(OR($T133="",$F133=""),"",$T133*$F133)</f>
        <v/>
      </c>
      <c r="V133" s="15" t="str">
        <f aca="false">IF($U133="","",$U133*10)</f>
        <v/>
      </c>
      <c r="W133" s="15" t="str">
        <f aca="false">IF(OR($V133="",$I133="",$J133="",$J133&lt;=$I133),"",$V133*MAX(0,MIN($J133,15)-MAX($I133,0))/($J133-$I133))</f>
        <v/>
      </c>
      <c r="X133" s="15" t="str">
        <f aca="false">IF(OR($V133="",$I133="",$J133="",$J133&lt;=$I133),"",$V133*MAX(0,MIN($J133,30)-MAX($I133,15))/($J133-$I133))</f>
        <v/>
      </c>
      <c r="Y133" s="15" t="str">
        <f aca="false">IF(OR($V133="",$I133="",$J133="",$J133&lt;=$I133),"",$V133*MAX(0,MIN($J133,50)-MAX($I133,30))/($J133-$I133))</f>
        <v/>
      </c>
      <c r="Z133" s="15" t="str">
        <f aca="false">IF(OR($V133="",$I133="",$J133="",$J133&lt;=$I133),"",$V133*MAX(0,MIN($J133,100)-MAX($I133,50))/($J133-$I133))</f>
        <v/>
      </c>
      <c r="AA133" s="16" t="str">
        <f aca="false">IF($A133="","",IF(OR($C133="",$D133="",$D133&lt;=$C133),"CHECK: depths missing, or bottom not below top",IF(COUNTIFS($A$6:$A$205,$A133,$C$6:$C$205,$C133)&gt;1,"DUPLICATE slice",IF(COUNTIFS($A$6:$A$205,$A133,$C$6:$C$205,"&lt;"&amp;$D133,$D$6:$D$205,"&gt;"&amp;$C133)&gt;1,"OVERLAP with another slice",IF(AND($C133&gt;0,COUNTIFS($A$6:$A$205,$A133,$D$6:$D$205,$C133)=0),"GAP above this slice",IF(OR($G133="",$H133=""),"CHECK: Core ID not in Core Log, or its compaction / diameter missing",IF(AND(IF(COUNTIFS('2. Plot &amp; Core Log'!$B$6:$B$35,$A133,'2. Plot &amp; Core Log'!$L$6:$L$35,"&gt;0")=0,"",SUMIFS('2. Plot &amp; Core Log'!$L$6:$L$35,'2. Plot &amp; Core Log'!$B$6:$B$35,$A133))&lt;&gt;"",$D133&gt;IF(COUNTIFS('2. Plot &amp; Core Log'!$B$6:$B$35,$A133,'2. Plot &amp; Core Log'!$L$6:$L$35,"&gt;0")=0,"",SUMIFS('2. Plot &amp; Core Log'!$L$6:$L$35,'2. Plot &amp; Core Log'!$B$6:$B$35,$A133))),"CHECK: slice deeper than the core length on Sheet 2",IF(OR($M133="",$N133="",$O133=""),"AWAITING LAB (dry weight, carbon value or type)",IF(AND(UPPER($O133)&lt;&gt;"OC",UPPER($O133)&lt;&gt;"LOI"),IF(UPPER($O133)="TC","TC is not organic carbon — ask the lab for OC or IC","CHECK: type must be OC, TC or LOI"),IF($R133="",IF(AND(LOI_INTERCEPT&lt;&gt;"",LOI_SLOPE&lt;&gt;""),"CHECK: LOI below the range of the conversion equation (OC would be &lt; 0)","CHECK: LOI conversion not set (Instructions tab)"),IF(OR($Q133&lt;=0,$Q133&gt;2.65,$R133&gt;50),"CHECK: bulk density outside 0–2.65 g/cm3 or OC &gt; 50%","OK")))))))))))</f>
        <v/>
      </c>
    </row>
    <row r="134" customFormat="false" ht="15.75" hidden="false" customHeight="true" outlineLevel="0" collapsed="false">
      <c r="A134" s="14"/>
      <c r="B134" s="14"/>
      <c r="C134" s="24"/>
      <c r="D134" s="24"/>
      <c r="E134" s="14"/>
      <c r="F134" s="16" t="str">
        <f aca="false">IF(OR($C134="",$D134=""),"",$D134-$C134)</f>
        <v/>
      </c>
      <c r="G134" s="25" t="str">
        <f aca="false">IF($A134="","",IFERROR(INDEX('2. Plot &amp; Core Log'!$M$6:$M$35,MATCH($A134,'2. Plot &amp; Core Log'!$B$6:$B$35,0)),""))</f>
        <v/>
      </c>
      <c r="H134" s="26" t="str">
        <f aca="false">IF($A134="","",IFERROR(INDEX('2. Plot &amp; Core Log'!$S$6:$S$35,MATCH($A134,'2. Plot &amp; Core Log'!$B$6:$B$35,0)),""))</f>
        <v/>
      </c>
      <c r="I134" s="16" t="str">
        <f aca="false">IF(OR($C134="",$G134=""),"",$C134*$G134)</f>
        <v/>
      </c>
      <c r="J134" s="16" t="str">
        <f aca="false">IF(OR($D134="",$G134=""),"",$D134*$G134)</f>
        <v/>
      </c>
      <c r="K134" s="16" t="str">
        <f aca="false">IF(OR($F134="",$H134=""),"",PI()*(($H134/2)^2)*$F134)</f>
        <v/>
      </c>
      <c r="L134" s="27"/>
      <c r="M134" s="27"/>
      <c r="N134" s="27"/>
      <c r="O134" s="27"/>
      <c r="P134" s="16" t="str">
        <f aca="false">IF(OR($L134="",$M134="",$L134=0),"",(($L134-$M134)/$L134)*100)</f>
        <v/>
      </c>
      <c r="Q134" s="15" t="str">
        <f aca="false">IF(OR($M134="",$K134="",$K134=0),"",$M134/$K134)</f>
        <v/>
      </c>
      <c r="R134" s="15" t="str">
        <f aca="false">IF(OR($N134="",$O134=""),"",IF(UPPER($O134)="OC",$N134,IF(UPPER($O134)="LOI",IF(OR(LOI_INTERCEPT="",LOI_SLOPE=""),"",IF(LOI_INTERCEPT+LOI_SLOPE*$N134&lt;0,"",LOI_INTERCEPT+LOI_SLOPE*$N134)),"")))</f>
        <v/>
      </c>
      <c r="S134" s="18" t="str">
        <f aca="false">IF($R134="","",$R134*10)</f>
        <v/>
      </c>
      <c r="T134" s="28" t="str">
        <f aca="false">IF(OR($Q134="",$R134=""),"",$Q134*$R134/100)</f>
        <v/>
      </c>
      <c r="U134" s="29" t="str">
        <f aca="false">IF(OR($T134="",$F134=""),"",$T134*$F134)</f>
        <v/>
      </c>
      <c r="V134" s="15" t="str">
        <f aca="false">IF($U134="","",$U134*10)</f>
        <v/>
      </c>
      <c r="W134" s="15" t="str">
        <f aca="false">IF(OR($V134="",$I134="",$J134="",$J134&lt;=$I134),"",$V134*MAX(0,MIN($J134,15)-MAX($I134,0))/($J134-$I134))</f>
        <v/>
      </c>
      <c r="X134" s="15" t="str">
        <f aca="false">IF(OR($V134="",$I134="",$J134="",$J134&lt;=$I134),"",$V134*MAX(0,MIN($J134,30)-MAX($I134,15))/($J134-$I134))</f>
        <v/>
      </c>
      <c r="Y134" s="15" t="str">
        <f aca="false">IF(OR($V134="",$I134="",$J134="",$J134&lt;=$I134),"",$V134*MAX(0,MIN($J134,50)-MAX($I134,30))/($J134-$I134))</f>
        <v/>
      </c>
      <c r="Z134" s="15" t="str">
        <f aca="false">IF(OR($V134="",$I134="",$J134="",$J134&lt;=$I134),"",$V134*MAX(0,MIN($J134,100)-MAX($I134,50))/($J134-$I134))</f>
        <v/>
      </c>
      <c r="AA134" s="16" t="str">
        <f aca="false">IF($A134="","",IF(OR($C134="",$D134="",$D134&lt;=$C134),"CHECK: depths missing, or bottom not below top",IF(COUNTIFS($A$6:$A$205,$A134,$C$6:$C$205,$C134)&gt;1,"DUPLICATE slice",IF(COUNTIFS($A$6:$A$205,$A134,$C$6:$C$205,"&lt;"&amp;$D134,$D$6:$D$205,"&gt;"&amp;$C134)&gt;1,"OVERLAP with another slice",IF(AND($C134&gt;0,COUNTIFS($A$6:$A$205,$A134,$D$6:$D$205,$C134)=0),"GAP above this slice",IF(OR($G134="",$H134=""),"CHECK: Core ID not in Core Log, or its compaction / diameter missing",IF(AND(IF(COUNTIFS('2. Plot &amp; Core Log'!$B$6:$B$35,$A134,'2. Plot &amp; Core Log'!$L$6:$L$35,"&gt;0")=0,"",SUMIFS('2. Plot &amp; Core Log'!$L$6:$L$35,'2. Plot &amp; Core Log'!$B$6:$B$35,$A134))&lt;&gt;"",$D134&gt;IF(COUNTIFS('2. Plot &amp; Core Log'!$B$6:$B$35,$A134,'2. Plot &amp; Core Log'!$L$6:$L$35,"&gt;0")=0,"",SUMIFS('2. Plot &amp; Core Log'!$L$6:$L$35,'2. Plot &amp; Core Log'!$B$6:$B$35,$A134))),"CHECK: slice deeper than the core length on Sheet 2",IF(OR($M134="",$N134="",$O134=""),"AWAITING LAB (dry weight, carbon value or type)",IF(AND(UPPER($O134)&lt;&gt;"OC",UPPER($O134)&lt;&gt;"LOI"),IF(UPPER($O134)="TC","TC is not organic carbon — ask the lab for OC or IC","CHECK: type must be OC, TC or LOI"),IF($R134="",IF(AND(LOI_INTERCEPT&lt;&gt;"",LOI_SLOPE&lt;&gt;""),"CHECK: LOI below the range of the conversion equation (OC would be &lt; 0)","CHECK: LOI conversion not set (Instructions tab)"),IF(OR($Q134&lt;=0,$Q134&gt;2.65,$R134&gt;50),"CHECK: bulk density outside 0–2.65 g/cm3 or OC &gt; 50%","OK")))))))))))</f>
        <v/>
      </c>
    </row>
    <row r="135" customFormat="false" ht="15.75" hidden="false" customHeight="true" outlineLevel="0" collapsed="false">
      <c r="A135" s="14"/>
      <c r="B135" s="14"/>
      <c r="C135" s="24"/>
      <c r="D135" s="24"/>
      <c r="E135" s="14"/>
      <c r="F135" s="16" t="str">
        <f aca="false">IF(OR($C135="",$D135=""),"",$D135-$C135)</f>
        <v/>
      </c>
      <c r="G135" s="25" t="str">
        <f aca="false">IF($A135="","",IFERROR(INDEX('2. Plot &amp; Core Log'!$M$6:$M$35,MATCH($A135,'2. Plot &amp; Core Log'!$B$6:$B$35,0)),""))</f>
        <v/>
      </c>
      <c r="H135" s="26" t="str">
        <f aca="false">IF($A135="","",IFERROR(INDEX('2. Plot &amp; Core Log'!$S$6:$S$35,MATCH($A135,'2. Plot &amp; Core Log'!$B$6:$B$35,0)),""))</f>
        <v/>
      </c>
      <c r="I135" s="16" t="str">
        <f aca="false">IF(OR($C135="",$G135=""),"",$C135*$G135)</f>
        <v/>
      </c>
      <c r="J135" s="16" t="str">
        <f aca="false">IF(OR($D135="",$G135=""),"",$D135*$G135)</f>
        <v/>
      </c>
      <c r="K135" s="16" t="str">
        <f aca="false">IF(OR($F135="",$H135=""),"",PI()*(($H135/2)^2)*$F135)</f>
        <v/>
      </c>
      <c r="L135" s="27"/>
      <c r="M135" s="27"/>
      <c r="N135" s="27"/>
      <c r="O135" s="27"/>
      <c r="P135" s="16" t="str">
        <f aca="false">IF(OR($L135="",$M135="",$L135=0),"",(($L135-$M135)/$L135)*100)</f>
        <v/>
      </c>
      <c r="Q135" s="15" t="str">
        <f aca="false">IF(OR($M135="",$K135="",$K135=0),"",$M135/$K135)</f>
        <v/>
      </c>
      <c r="R135" s="15" t="str">
        <f aca="false">IF(OR($N135="",$O135=""),"",IF(UPPER($O135)="OC",$N135,IF(UPPER($O135)="LOI",IF(OR(LOI_INTERCEPT="",LOI_SLOPE=""),"",IF(LOI_INTERCEPT+LOI_SLOPE*$N135&lt;0,"",LOI_INTERCEPT+LOI_SLOPE*$N135)),"")))</f>
        <v/>
      </c>
      <c r="S135" s="18" t="str">
        <f aca="false">IF($R135="","",$R135*10)</f>
        <v/>
      </c>
      <c r="T135" s="28" t="str">
        <f aca="false">IF(OR($Q135="",$R135=""),"",$Q135*$R135/100)</f>
        <v/>
      </c>
      <c r="U135" s="29" t="str">
        <f aca="false">IF(OR($T135="",$F135=""),"",$T135*$F135)</f>
        <v/>
      </c>
      <c r="V135" s="15" t="str">
        <f aca="false">IF($U135="","",$U135*10)</f>
        <v/>
      </c>
      <c r="W135" s="15" t="str">
        <f aca="false">IF(OR($V135="",$I135="",$J135="",$J135&lt;=$I135),"",$V135*MAX(0,MIN($J135,15)-MAX($I135,0))/($J135-$I135))</f>
        <v/>
      </c>
      <c r="X135" s="15" t="str">
        <f aca="false">IF(OR($V135="",$I135="",$J135="",$J135&lt;=$I135),"",$V135*MAX(0,MIN($J135,30)-MAX($I135,15))/($J135-$I135))</f>
        <v/>
      </c>
      <c r="Y135" s="15" t="str">
        <f aca="false">IF(OR($V135="",$I135="",$J135="",$J135&lt;=$I135),"",$V135*MAX(0,MIN($J135,50)-MAX($I135,30))/($J135-$I135))</f>
        <v/>
      </c>
      <c r="Z135" s="15" t="str">
        <f aca="false">IF(OR($V135="",$I135="",$J135="",$J135&lt;=$I135),"",$V135*MAX(0,MIN($J135,100)-MAX($I135,50))/($J135-$I135))</f>
        <v/>
      </c>
      <c r="AA135" s="16" t="str">
        <f aca="false">IF($A135="","",IF(OR($C135="",$D135="",$D135&lt;=$C135),"CHECK: depths missing, or bottom not below top",IF(COUNTIFS($A$6:$A$205,$A135,$C$6:$C$205,$C135)&gt;1,"DUPLICATE slice",IF(COUNTIFS($A$6:$A$205,$A135,$C$6:$C$205,"&lt;"&amp;$D135,$D$6:$D$205,"&gt;"&amp;$C135)&gt;1,"OVERLAP with another slice",IF(AND($C135&gt;0,COUNTIFS($A$6:$A$205,$A135,$D$6:$D$205,$C135)=0),"GAP above this slice",IF(OR($G135="",$H135=""),"CHECK: Core ID not in Core Log, or its compaction / diameter missing",IF(AND(IF(COUNTIFS('2. Plot &amp; Core Log'!$B$6:$B$35,$A135,'2. Plot &amp; Core Log'!$L$6:$L$35,"&gt;0")=0,"",SUMIFS('2. Plot &amp; Core Log'!$L$6:$L$35,'2. Plot &amp; Core Log'!$B$6:$B$35,$A135))&lt;&gt;"",$D135&gt;IF(COUNTIFS('2. Plot &amp; Core Log'!$B$6:$B$35,$A135,'2. Plot &amp; Core Log'!$L$6:$L$35,"&gt;0")=0,"",SUMIFS('2. Plot &amp; Core Log'!$L$6:$L$35,'2. Plot &amp; Core Log'!$B$6:$B$35,$A135))),"CHECK: slice deeper than the core length on Sheet 2",IF(OR($M135="",$N135="",$O135=""),"AWAITING LAB (dry weight, carbon value or type)",IF(AND(UPPER($O135)&lt;&gt;"OC",UPPER($O135)&lt;&gt;"LOI"),IF(UPPER($O135)="TC","TC is not organic carbon — ask the lab for OC or IC","CHECK: type must be OC, TC or LOI"),IF($R135="",IF(AND(LOI_INTERCEPT&lt;&gt;"",LOI_SLOPE&lt;&gt;""),"CHECK: LOI below the range of the conversion equation (OC would be &lt; 0)","CHECK: LOI conversion not set (Instructions tab)"),IF(OR($Q135&lt;=0,$Q135&gt;2.65,$R135&gt;50),"CHECK: bulk density outside 0–2.65 g/cm3 or OC &gt; 50%","OK")))))))))))</f>
        <v/>
      </c>
    </row>
    <row r="136" customFormat="false" ht="15.75" hidden="false" customHeight="true" outlineLevel="0" collapsed="false">
      <c r="A136" s="14"/>
      <c r="B136" s="14"/>
      <c r="C136" s="24"/>
      <c r="D136" s="24"/>
      <c r="E136" s="14"/>
      <c r="F136" s="16" t="str">
        <f aca="false">IF(OR($C136="",$D136=""),"",$D136-$C136)</f>
        <v/>
      </c>
      <c r="G136" s="25" t="str">
        <f aca="false">IF($A136="","",IFERROR(INDEX('2. Plot &amp; Core Log'!$M$6:$M$35,MATCH($A136,'2. Plot &amp; Core Log'!$B$6:$B$35,0)),""))</f>
        <v/>
      </c>
      <c r="H136" s="26" t="str">
        <f aca="false">IF($A136="","",IFERROR(INDEX('2. Plot &amp; Core Log'!$S$6:$S$35,MATCH($A136,'2. Plot &amp; Core Log'!$B$6:$B$35,0)),""))</f>
        <v/>
      </c>
      <c r="I136" s="16" t="str">
        <f aca="false">IF(OR($C136="",$G136=""),"",$C136*$G136)</f>
        <v/>
      </c>
      <c r="J136" s="16" t="str">
        <f aca="false">IF(OR($D136="",$G136=""),"",$D136*$G136)</f>
        <v/>
      </c>
      <c r="K136" s="16" t="str">
        <f aca="false">IF(OR($F136="",$H136=""),"",PI()*(($H136/2)^2)*$F136)</f>
        <v/>
      </c>
      <c r="L136" s="27"/>
      <c r="M136" s="27"/>
      <c r="N136" s="27"/>
      <c r="O136" s="27"/>
      <c r="P136" s="16" t="str">
        <f aca="false">IF(OR($L136="",$M136="",$L136=0),"",(($L136-$M136)/$L136)*100)</f>
        <v/>
      </c>
      <c r="Q136" s="15" t="str">
        <f aca="false">IF(OR($M136="",$K136="",$K136=0),"",$M136/$K136)</f>
        <v/>
      </c>
      <c r="R136" s="15" t="str">
        <f aca="false">IF(OR($N136="",$O136=""),"",IF(UPPER($O136)="OC",$N136,IF(UPPER($O136)="LOI",IF(OR(LOI_INTERCEPT="",LOI_SLOPE=""),"",IF(LOI_INTERCEPT+LOI_SLOPE*$N136&lt;0,"",LOI_INTERCEPT+LOI_SLOPE*$N136)),"")))</f>
        <v/>
      </c>
      <c r="S136" s="18" t="str">
        <f aca="false">IF($R136="","",$R136*10)</f>
        <v/>
      </c>
      <c r="T136" s="28" t="str">
        <f aca="false">IF(OR($Q136="",$R136=""),"",$Q136*$R136/100)</f>
        <v/>
      </c>
      <c r="U136" s="29" t="str">
        <f aca="false">IF(OR($T136="",$F136=""),"",$T136*$F136)</f>
        <v/>
      </c>
      <c r="V136" s="15" t="str">
        <f aca="false">IF($U136="","",$U136*10)</f>
        <v/>
      </c>
      <c r="W136" s="15" t="str">
        <f aca="false">IF(OR($V136="",$I136="",$J136="",$J136&lt;=$I136),"",$V136*MAX(0,MIN($J136,15)-MAX($I136,0))/($J136-$I136))</f>
        <v/>
      </c>
      <c r="X136" s="15" t="str">
        <f aca="false">IF(OR($V136="",$I136="",$J136="",$J136&lt;=$I136),"",$V136*MAX(0,MIN($J136,30)-MAX($I136,15))/($J136-$I136))</f>
        <v/>
      </c>
      <c r="Y136" s="15" t="str">
        <f aca="false">IF(OR($V136="",$I136="",$J136="",$J136&lt;=$I136),"",$V136*MAX(0,MIN($J136,50)-MAX($I136,30))/($J136-$I136))</f>
        <v/>
      </c>
      <c r="Z136" s="15" t="str">
        <f aca="false">IF(OR($V136="",$I136="",$J136="",$J136&lt;=$I136),"",$V136*MAX(0,MIN($J136,100)-MAX($I136,50))/($J136-$I136))</f>
        <v/>
      </c>
      <c r="AA136" s="16" t="str">
        <f aca="false">IF($A136="","",IF(OR($C136="",$D136="",$D136&lt;=$C136),"CHECK: depths missing, or bottom not below top",IF(COUNTIFS($A$6:$A$205,$A136,$C$6:$C$205,$C136)&gt;1,"DUPLICATE slice",IF(COUNTIFS($A$6:$A$205,$A136,$C$6:$C$205,"&lt;"&amp;$D136,$D$6:$D$205,"&gt;"&amp;$C136)&gt;1,"OVERLAP with another slice",IF(AND($C136&gt;0,COUNTIFS($A$6:$A$205,$A136,$D$6:$D$205,$C136)=0),"GAP above this slice",IF(OR($G136="",$H136=""),"CHECK: Core ID not in Core Log, or its compaction / diameter missing",IF(AND(IF(COUNTIFS('2. Plot &amp; Core Log'!$B$6:$B$35,$A136,'2. Plot &amp; Core Log'!$L$6:$L$35,"&gt;0")=0,"",SUMIFS('2. Plot &amp; Core Log'!$L$6:$L$35,'2. Plot &amp; Core Log'!$B$6:$B$35,$A136))&lt;&gt;"",$D136&gt;IF(COUNTIFS('2. Plot &amp; Core Log'!$B$6:$B$35,$A136,'2. Plot &amp; Core Log'!$L$6:$L$35,"&gt;0")=0,"",SUMIFS('2. Plot &amp; Core Log'!$L$6:$L$35,'2. Plot &amp; Core Log'!$B$6:$B$35,$A136))),"CHECK: slice deeper than the core length on Sheet 2",IF(OR($M136="",$N136="",$O136=""),"AWAITING LAB (dry weight, carbon value or type)",IF(AND(UPPER($O136)&lt;&gt;"OC",UPPER($O136)&lt;&gt;"LOI"),IF(UPPER($O136)="TC","TC is not organic carbon — ask the lab for OC or IC","CHECK: type must be OC, TC or LOI"),IF($R136="",IF(AND(LOI_INTERCEPT&lt;&gt;"",LOI_SLOPE&lt;&gt;""),"CHECK: LOI below the range of the conversion equation (OC would be &lt; 0)","CHECK: LOI conversion not set (Instructions tab)"),IF(OR($Q136&lt;=0,$Q136&gt;2.65,$R136&gt;50),"CHECK: bulk density outside 0–2.65 g/cm3 or OC &gt; 50%","OK")))))))))))</f>
        <v/>
      </c>
    </row>
    <row r="137" customFormat="false" ht="15.75" hidden="false" customHeight="true" outlineLevel="0" collapsed="false">
      <c r="A137" s="14"/>
      <c r="B137" s="14"/>
      <c r="C137" s="24"/>
      <c r="D137" s="24"/>
      <c r="E137" s="14"/>
      <c r="F137" s="16" t="str">
        <f aca="false">IF(OR($C137="",$D137=""),"",$D137-$C137)</f>
        <v/>
      </c>
      <c r="G137" s="25" t="str">
        <f aca="false">IF($A137="","",IFERROR(INDEX('2. Plot &amp; Core Log'!$M$6:$M$35,MATCH($A137,'2. Plot &amp; Core Log'!$B$6:$B$35,0)),""))</f>
        <v/>
      </c>
      <c r="H137" s="26" t="str">
        <f aca="false">IF($A137="","",IFERROR(INDEX('2. Plot &amp; Core Log'!$S$6:$S$35,MATCH($A137,'2. Plot &amp; Core Log'!$B$6:$B$35,0)),""))</f>
        <v/>
      </c>
      <c r="I137" s="16" t="str">
        <f aca="false">IF(OR($C137="",$G137=""),"",$C137*$G137)</f>
        <v/>
      </c>
      <c r="J137" s="16" t="str">
        <f aca="false">IF(OR($D137="",$G137=""),"",$D137*$G137)</f>
        <v/>
      </c>
      <c r="K137" s="16" t="str">
        <f aca="false">IF(OR($F137="",$H137=""),"",PI()*(($H137/2)^2)*$F137)</f>
        <v/>
      </c>
      <c r="L137" s="27"/>
      <c r="M137" s="27"/>
      <c r="N137" s="27"/>
      <c r="O137" s="27"/>
      <c r="P137" s="16" t="str">
        <f aca="false">IF(OR($L137="",$M137="",$L137=0),"",(($L137-$M137)/$L137)*100)</f>
        <v/>
      </c>
      <c r="Q137" s="15" t="str">
        <f aca="false">IF(OR($M137="",$K137="",$K137=0),"",$M137/$K137)</f>
        <v/>
      </c>
      <c r="R137" s="15" t="str">
        <f aca="false">IF(OR($N137="",$O137=""),"",IF(UPPER($O137)="OC",$N137,IF(UPPER($O137)="LOI",IF(OR(LOI_INTERCEPT="",LOI_SLOPE=""),"",IF(LOI_INTERCEPT+LOI_SLOPE*$N137&lt;0,"",LOI_INTERCEPT+LOI_SLOPE*$N137)),"")))</f>
        <v/>
      </c>
      <c r="S137" s="18" t="str">
        <f aca="false">IF($R137="","",$R137*10)</f>
        <v/>
      </c>
      <c r="T137" s="28" t="str">
        <f aca="false">IF(OR($Q137="",$R137=""),"",$Q137*$R137/100)</f>
        <v/>
      </c>
      <c r="U137" s="29" t="str">
        <f aca="false">IF(OR($T137="",$F137=""),"",$T137*$F137)</f>
        <v/>
      </c>
      <c r="V137" s="15" t="str">
        <f aca="false">IF($U137="","",$U137*10)</f>
        <v/>
      </c>
      <c r="W137" s="15" t="str">
        <f aca="false">IF(OR($V137="",$I137="",$J137="",$J137&lt;=$I137),"",$V137*MAX(0,MIN($J137,15)-MAX($I137,0))/($J137-$I137))</f>
        <v/>
      </c>
      <c r="X137" s="15" t="str">
        <f aca="false">IF(OR($V137="",$I137="",$J137="",$J137&lt;=$I137),"",$V137*MAX(0,MIN($J137,30)-MAX($I137,15))/($J137-$I137))</f>
        <v/>
      </c>
      <c r="Y137" s="15" t="str">
        <f aca="false">IF(OR($V137="",$I137="",$J137="",$J137&lt;=$I137),"",$V137*MAX(0,MIN($J137,50)-MAX($I137,30))/($J137-$I137))</f>
        <v/>
      </c>
      <c r="Z137" s="15" t="str">
        <f aca="false">IF(OR($V137="",$I137="",$J137="",$J137&lt;=$I137),"",$V137*MAX(0,MIN($J137,100)-MAX($I137,50))/($J137-$I137))</f>
        <v/>
      </c>
      <c r="AA137" s="16" t="str">
        <f aca="false">IF($A137="","",IF(OR($C137="",$D137="",$D137&lt;=$C137),"CHECK: depths missing, or bottom not below top",IF(COUNTIFS($A$6:$A$205,$A137,$C$6:$C$205,$C137)&gt;1,"DUPLICATE slice",IF(COUNTIFS($A$6:$A$205,$A137,$C$6:$C$205,"&lt;"&amp;$D137,$D$6:$D$205,"&gt;"&amp;$C137)&gt;1,"OVERLAP with another slice",IF(AND($C137&gt;0,COUNTIFS($A$6:$A$205,$A137,$D$6:$D$205,$C137)=0),"GAP above this slice",IF(OR($G137="",$H137=""),"CHECK: Core ID not in Core Log, or its compaction / diameter missing",IF(AND(IF(COUNTIFS('2. Plot &amp; Core Log'!$B$6:$B$35,$A137,'2. Plot &amp; Core Log'!$L$6:$L$35,"&gt;0")=0,"",SUMIFS('2. Plot &amp; Core Log'!$L$6:$L$35,'2. Plot &amp; Core Log'!$B$6:$B$35,$A137))&lt;&gt;"",$D137&gt;IF(COUNTIFS('2. Plot &amp; Core Log'!$B$6:$B$35,$A137,'2. Plot &amp; Core Log'!$L$6:$L$35,"&gt;0")=0,"",SUMIFS('2. Plot &amp; Core Log'!$L$6:$L$35,'2. Plot &amp; Core Log'!$B$6:$B$35,$A137))),"CHECK: slice deeper than the core length on Sheet 2",IF(OR($M137="",$N137="",$O137=""),"AWAITING LAB (dry weight, carbon value or type)",IF(AND(UPPER($O137)&lt;&gt;"OC",UPPER($O137)&lt;&gt;"LOI"),IF(UPPER($O137)="TC","TC is not organic carbon — ask the lab for OC or IC","CHECK: type must be OC, TC or LOI"),IF($R137="",IF(AND(LOI_INTERCEPT&lt;&gt;"",LOI_SLOPE&lt;&gt;""),"CHECK: LOI below the range of the conversion equation (OC would be &lt; 0)","CHECK: LOI conversion not set (Instructions tab)"),IF(OR($Q137&lt;=0,$Q137&gt;2.65,$R137&gt;50),"CHECK: bulk density outside 0–2.65 g/cm3 or OC &gt; 50%","OK")))))))))))</f>
        <v/>
      </c>
    </row>
    <row r="138" customFormat="false" ht="15.75" hidden="false" customHeight="true" outlineLevel="0" collapsed="false">
      <c r="A138" s="14"/>
      <c r="B138" s="14"/>
      <c r="C138" s="24"/>
      <c r="D138" s="24"/>
      <c r="E138" s="14"/>
      <c r="F138" s="16" t="str">
        <f aca="false">IF(OR($C138="",$D138=""),"",$D138-$C138)</f>
        <v/>
      </c>
      <c r="G138" s="25" t="str">
        <f aca="false">IF($A138="","",IFERROR(INDEX('2. Plot &amp; Core Log'!$M$6:$M$35,MATCH($A138,'2. Plot &amp; Core Log'!$B$6:$B$35,0)),""))</f>
        <v/>
      </c>
      <c r="H138" s="26" t="str">
        <f aca="false">IF($A138="","",IFERROR(INDEX('2. Plot &amp; Core Log'!$S$6:$S$35,MATCH($A138,'2. Plot &amp; Core Log'!$B$6:$B$35,0)),""))</f>
        <v/>
      </c>
      <c r="I138" s="16" t="str">
        <f aca="false">IF(OR($C138="",$G138=""),"",$C138*$G138)</f>
        <v/>
      </c>
      <c r="J138" s="16" t="str">
        <f aca="false">IF(OR($D138="",$G138=""),"",$D138*$G138)</f>
        <v/>
      </c>
      <c r="K138" s="16" t="str">
        <f aca="false">IF(OR($F138="",$H138=""),"",PI()*(($H138/2)^2)*$F138)</f>
        <v/>
      </c>
      <c r="L138" s="27"/>
      <c r="M138" s="27"/>
      <c r="N138" s="27"/>
      <c r="O138" s="27"/>
      <c r="P138" s="16" t="str">
        <f aca="false">IF(OR($L138="",$M138="",$L138=0),"",(($L138-$M138)/$L138)*100)</f>
        <v/>
      </c>
      <c r="Q138" s="15" t="str">
        <f aca="false">IF(OR($M138="",$K138="",$K138=0),"",$M138/$K138)</f>
        <v/>
      </c>
      <c r="R138" s="15" t="str">
        <f aca="false">IF(OR($N138="",$O138=""),"",IF(UPPER($O138)="OC",$N138,IF(UPPER($O138)="LOI",IF(OR(LOI_INTERCEPT="",LOI_SLOPE=""),"",IF(LOI_INTERCEPT+LOI_SLOPE*$N138&lt;0,"",LOI_INTERCEPT+LOI_SLOPE*$N138)),"")))</f>
        <v/>
      </c>
      <c r="S138" s="18" t="str">
        <f aca="false">IF($R138="","",$R138*10)</f>
        <v/>
      </c>
      <c r="T138" s="28" t="str">
        <f aca="false">IF(OR($Q138="",$R138=""),"",$Q138*$R138/100)</f>
        <v/>
      </c>
      <c r="U138" s="29" t="str">
        <f aca="false">IF(OR($T138="",$F138=""),"",$T138*$F138)</f>
        <v/>
      </c>
      <c r="V138" s="15" t="str">
        <f aca="false">IF($U138="","",$U138*10)</f>
        <v/>
      </c>
      <c r="W138" s="15" t="str">
        <f aca="false">IF(OR($V138="",$I138="",$J138="",$J138&lt;=$I138),"",$V138*MAX(0,MIN($J138,15)-MAX($I138,0))/($J138-$I138))</f>
        <v/>
      </c>
      <c r="X138" s="15" t="str">
        <f aca="false">IF(OR($V138="",$I138="",$J138="",$J138&lt;=$I138),"",$V138*MAX(0,MIN($J138,30)-MAX($I138,15))/($J138-$I138))</f>
        <v/>
      </c>
      <c r="Y138" s="15" t="str">
        <f aca="false">IF(OR($V138="",$I138="",$J138="",$J138&lt;=$I138),"",$V138*MAX(0,MIN($J138,50)-MAX($I138,30))/($J138-$I138))</f>
        <v/>
      </c>
      <c r="Z138" s="15" t="str">
        <f aca="false">IF(OR($V138="",$I138="",$J138="",$J138&lt;=$I138),"",$V138*MAX(0,MIN($J138,100)-MAX($I138,50))/($J138-$I138))</f>
        <v/>
      </c>
      <c r="AA138" s="16" t="str">
        <f aca="false">IF($A138="","",IF(OR($C138="",$D138="",$D138&lt;=$C138),"CHECK: depths missing, or bottom not below top",IF(COUNTIFS($A$6:$A$205,$A138,$C$6:$C$205,$C138)&gt;1,"DUPLICATE slice",IF(COUNTIFS($A$6:$A$205,$A138,$C$6:$C$205,"&lt;"&amp;$D138,$D$6:$D$205,"&gt;"&amp;$C138)&gt;1,"OVERLAP with another slice",IF(AND($C138&gt;0,COUNTIFS($A$6:$A$205,$A138,$D$6:$D$205,$C138)=0),"GAP above this slice",IF(OR($G138="",$H138=""),"CHECK: Core ID not in Core Log, or its compaction / diameter missing",IF(AND(IF(COUNTIFS('2. Plot &amp; Core Log'!$B$6:$B$35,$A138,'2. Plot &amp; Core Log'!$L$6:$L$35,"&gt;0")=0,"",SUMIFS('2. Plot &amp; Core Log'!$L$6:$L$35,'2. Plot &amp; Core Log'!$B$6:$B$35,$A138))&lt;&gt;"",$D138&gt;IF(COUNTIFS('2. Plot &amp; Core Log'!$B$6:$B$35,$A138,'2. Plot &amp; Core Log'!$L$6:$L$35,"&gt;0")=0,"",SUMIFS('2. Plot &amp; Core Log'!$L$6:$L$35,'2. Plot &amp; Core Log'!$B$6:$B$35,$A138))),"CHECK: slice deeper than the core length on Sheet 2",IF(OR($M138="",$N138="",$O138=""),"AWAITING LAB (dry weight, carbon value or type)",IF(AND(UPPER($O138)&lt;&gt;"OC",UPPER($O138)&lt;&gt;"LOI"),IF(UPPER($O138)="TC","TC is not organic carbon — ask the lab for OC or IC","CHECK: type must be OC, TC or LOI"),IF($R138="",IF(AND(LOI_INTERCEPT&lt;&gt;"",LOI_SLOPE&lt;&gt;""),"CHECK: LOI below the range of the conversion equation (OC would be &lt; 0)","CHECK: LOI conversion not set (Instructions tab)"),IF(OR($Q138&lt;=0,$Q138&gt;2.65,$R138&gt;50),"CHECK: bulk density outside 0–2.65 g/cm3 or OC &gt; 50%","OK")))))))))))</f>
        <v/>
      </c>
    </row>
    <row r="139" customFormat="false" ht="15.75" hidden="false" customHeight="true" outlineLevel="0" collapsed="false">
      <c r="A139" s="14"/>
      <c r="B139" s="14"/>
      <c r="C139" s="24"/>
      <c r="D139" s="24"/>
      <c r="E139" s="14"/>
      <c r="F139" s="16" t="str">
        <f aca="false">IF(OR($C139="",$D139=""),"",$D139-$C139)</f>
        <v/>
      </c>
      <c r="G139" s="25" t="str">
        <f aca="false">IF($A139="","",IFERROR(INDEX('2. Plot &amp; Core Log'!$M$6:$M$35,MATCH($A139,'2. Plot &amp; Core Log'!$B$6:$B$35,0)),""))</f>
        <v/>
      </c>
      <c r="H139" s="26" t="str">
        <f aca="false">IF($A139="","",IFERROR(INDEX('2. Plot &amp; Core Log'!$S$6:$S$35,MATCH($A139,'2. Plot &amp; Core Log'!$B$6:$B$35,0)),""))</f>
        <v/>
      </c>
      <c r="I139" s="16" t="str">
        <f aca="false">IF(OR($C139="",$G139=""),"",$C139*$G139)</f>
        <v/>
      </c>
      <c r="J139" s="16" t="str">
        <f aca="false">IF(OR($D139="",$G139=""),"",$D139*$G139)</f>
        <v/>
      </c>
      <c r="K139" s="16" t="str">
        <f aca="false">IF(OR($F139="",$H139=""),"",PI()*(($H139/2)^2)*$F139)</f>
        <v/>
      </c>
      <c r="L139" s="27"/>
      <c r="M139" s="27"/>
      <c r="N139" s="27"/>
      <c r="O139" s="27"/>
      <c r="P139" s="16" t="str">
        <f aca="false">IF(OR($L139="",$M139="",$L139=0),"",(($L139-$M139)/$L139)*100)</f>
        <v/>
      </c>
      <c r="Q139" s="15" t="str">
        <f aca="false">IF(OR($M139="",$K139="",$K139=0),"",$M139/$K139)</f>
        <v/>
      </c>
      <c r="R139" s="15" t="str">
        <f aca="false">IF(OR($N139="",$O139=""),"",IF(UPPER($O139)="OC",$N139,IF(UPPER($O139)="LOI",IF(OR(LOI_INTERCEPT="",LOI_SLOPE=""),"",IF(LOI_INTERCEPT+LOI_SLOPE*$N139&lt;0,"",LOI_INTERCEPT+LOI_SLOPE*$N139)),"")))</f>
        <v/>
      </c>
      <c r="S139" s="18" t="str">
        <f aca="false">IF($R139="","",$R139*10)</f>
        <v/>
      </c>
      <c r="T139" s="28" t="str">
        <f aca="false">IF(OR($Q139="",$R139=""),"",$Q139*$R139/100)</f>
        <v/>
      </c>
      <c r="U139" s="29" t="str">
        <f aca="false">IF(OR($T139="",$F139=""),"",$T139*$F139)</f>
        <v/>
      </c>
      <c r="V139" s="15" t="str">
        <f aca="false">IF($U139="","",$U139*10)</f>
        <v/>
      </c>
      <c r="W139" s="15" t="str">
        <f aca="false">IF(OR($V139="",$I139="",$J139="",$J139&lt;=$I139),"",$V139*MAX(0,MIN($J139,15)-MAX($I139,0))/($J139-$I139))</f>
        <v/>
      </c>
      <c r="X139" s="15" t="str">
        <f aca="false">IF(OR($V139="",$I139="",$J139="",$J139&lt;=$I139),"",$V139*MAX(0,MIN($J139,30)-MAX($I139,15))/($J139-$I139))</f>
        <v/>
      </c>
      <c r="Y139" s="15" t="str">
        <f aca="false">IF(OR($V139="",$I139="",$J139="",$J139&lt;=$I139),"",$V139*MAX(0,MIN($J139,50)-MAX($I139,30))/($J139-$I139))</f>
        <v/>
      </c>
      <c r="Z139" s="15" t="str">
        <f aca="false">IF(OR($V139="",$I139="",$J139="",$J139&lt;=$I139),"",$V139*MAX(0,MIN($J139,100)-MAX($I139,50))/($J139-$I139))</f>
        <v/>
      </c>
      <c r="AA139" s="16" t="str">
        <f aca="false">IF($A139="","",IF(OR($C139="",$D139="",$D139&lt;=$C139),"CHECK: depths missing, or bottom not below top",IF(COUNTIFS($A$6:$A$205,$A139,$C$6:$C$205,$C139)&gt;1,"DUPLICATE slice",IF(COUNTIFS($A$6:$A$205,$A139,$C$6:$C$205,"&lt;"&amp;$D139,$D$6:$D$205,"&gt;"&amp;$C139)&gt;1,"OVERLAP with another slice",IF(AND($C139&gt;0,COUNTIFS($A$6:$A$205,$A139,$D$6:$D$205,$C139)=0),"GAP above this slice",IF(OR($G139="",$H139=""),"CHECK: Core ID not in Core Log, or its compaction / diameter missing",IF(AND(IF(COUNTIFS('2. Plot &amp; Core Log'!$B$6:$B$35,$A139,'2. Plot &amp; Core Log'!$L$6:$L$35,"&gt;0")=0,"",SUMIFS('2. Plot &amp; Core Log'!$L$6:$L$35,'2. Plot &amp; Core Log'!$B$6:$B$35,$A139))&lt;&gt;"",$D139&gt;IF(COUNTIFS('2. Plot &amp; Core Log'!$B$6:$B$35,$A139,'2. Plot &amp; Core Log'!$L$6:$L$35,"&gt;0")=0,"",SUMIFS('2. Plot &amp; Core Log'!$L$6:$L$35,'2. Plot &amp; Core Log'!$B$6:$B$35,$A139))),"CHECK: slice deeper than the core length on Sheet 2",IF(OR($M139="",$N139="",$O139=""),"AWAITING LAB (dry weight, carbon value or type)",IF(AND(UPPER($O139)&lt;&gt;"OC",UPPER($O139)&lt;&gt;"LOI"),IF(UPPER($O139)="TC","TC is not organic carbon — ask the lab for OC or IC","CHECK: type must be OC, TC or LOI"),IF($R139="",IF(AND(LOI_INTERCEPT&lt;&gt;"",LOI_SLOPE&lt;&gt;""),"CHECK: LOI below the range of the conversion equation (OC would be &lt; 0)","CHECK: LOI conversion not set (Instructions tab)"),IF(OR($Q139&lt;=0,$Q139&gt;2.65,$R139&gt;50),"CHECK: bulk density outside 0–2.65 g/cm3 or OC &gt; 50%","OK")))))))))))</f>
        <v/>
      </c>
    </row>
    <row r="140" customFormat="false" ht="15.75" hidden="false" customHeight="true" outlineLevel="0" collapsed="false">
      <c r="A140" s="14"/>
      <c r="B140" s="14"/>
      <c r="C140" s="24"/>
      <c r="D140" s="24"/>
      <c r="E140" s="14"/>
      <c r="F140" s="16" t="str">
        <f aca="false">IF(OR($C140="",$D140=""),"",$D140-$C140)</f>
        <v/>
      </c>
      <c r="G140" s="25" t="str">
        <f aca="false">IF($A140="","",IFERROR(INDEX('2. Plot &amp; Core Log'!$M$6:$M$35,MATCH($A140,'2. Plot &amp; Core Log'!$B$6:$B$35,0)),""))</f>
        <v/>
      </c>
      <c r="H140" s="26" t="str">
        <f aca="false">IF($A140="","",IFERROR(INDEX('2. Plot &amp; Core Log'!$S$6:$S$35,MATCH($A140,'2. Plot &amp; Core Log'!$B$6:$B$35,0)),""))</f>
        <v/>
      </c>
      <c r="I140" s="16" t="str">
        <f aca="false">IF(OR($C140="",$G140=""),"",$C140*$G140)</f>
        <v/>
      </c>
      <c r="J140" s="16" t="str">
        <f aca="false">IF(OR($D140="",$G140=""),"",$D140*$G140)</f>
        <v/>
      </c>
      <c r="K140" s="16" t="str">
        <f aca="false">IF(OR($F140="",$H140=""),"",PI()*(($H140/2)^2)*$F140)</f>
        <v/>
      </c>
      <c r="L140" s="27"/>
      <c r="M140" s="27"/>
      <c r="N140" s="27"/>
      <c r="O140" s="27"/>
      <c r="P140" s="16" t="str">
        <f aca="false">IF(OR($L140="",$M140="",$L140=0),"",(($L140-$M140)/$L140)*100)</f>
        <v/>
      </c>
      <c r="Q140" s="15" t="str">
        <f aca="false">IF(OR($M140="",$K140="",$K140=0),"",$M140/$K140)</f>
        <v/>
      </c>
      <c r="R140" s="15" t="str">
        <f aca="false">IF(OR($N140="",$O140=""),"",IF(UPPER($O140)="OC",$N140,IF(UPPER($O140)="LOI",IF(OR(LOI_INTERCEPT="",LOI_SLOPE=""),"",IF(LOI_INTERCEPT+LOI_SLOPE*$N140&lt;0,"",LOI_INTERCEPT+LOI_SLOPE*$N140)),"")))</f>
        <v/>
      </c>
      <c r="S140" s="18" t="str">
        <f aca="false">IF($R140="","",$R140*10)</f>
        <v/>
      </c>
      <c r="T140" s="28" t="str">
        <f aca="false">IF(OR($Q140="",$R140=""),"",$Q140*$R140/100)</f>
        <v/>
      </c>
      <c r="U140" s="29" t="str">
        <f aca="false">IF(OR($T140="",$F140=""),"",$T140*$F140)</f>
        <v/>
      </c>
      <c r="V140" s="15" t="str">
        <f aca="false">IF($U140="","",$U140*10)</f>
        <v/>
      </c>
      <c r="W140" s="15" t="str">
        <f aca="false">IF(OR($V140="",$I140="",$J140="",$J140&lt;=$I140),"",$V140*MAX(0,MIN($J140,15)-MAX($I140,0))/($J140-$I140))</f>
        <v/>
      </c>
      <c r="X140" s="15" t="str">
        <f aca="false">IF(OR($V140="",$I140="",$J140="",$J140&lt;=$I140),"",$V140*MAX(0,MIN($J140,30)-MAX($I140,15))/($J140-$I140))</f>
        <v/>
      </c>
      <c r="Y140" s="15" t="str">
        <f aca="false">IF(OR($V140="",$I140="",$J140="",$J140&lt;=$I140),"",$V140*MAX(0,MIN($J140,50)-MAX($I140,30))/($J140-$I140))</f>
        <v/>
      </c>
      <c r="Z140" s="15" t="str">
        <f aca="false">IF(OR($V140="",$I140="",$J140="",$J140&lt;=$I140),"",$V140*MAX(0,MIN($J140,100)-MAX($I140,50))/($J140-$I140))</f>
        <v/>
      </c>
      <c r="AA140" s="16" t="str">
        <f aca="false">IF($A140="","",IF(OR($C140="",$D140="",$D140&lt;=$C140),"CHECK: depths missing, or bottom not below top",IF(COUNTIFS($A$6:$A$205,$A140,$C$6:$C$205,$C140)&gt;1,"DUPLICATE slice",IF(COUNTIFS($A$6:$A$205,$A140,$C$6:$C$205,"&lt;"&amp;$D140,$D$6:$D$205,"&gt;"&amp;$C140)&gt;1,"OVERLAP with another slice",IF(AND($C140&gt;0,COUNTIFS($A$6:$A$205,$A140,$D$6:$D$205,$C140)=0),"GAP above this slice",IF(OR($G140="",$H140=""),"CHECK: Core ID not in Core Log, or its compaction / diameter missing",IF(AND(IF(COUNTIFS('2. Plot &amp; Core Log'!$B$6:$B$35,$A140,'2. Plot &amp; Core Log'!$L$6:$L$35,"&gt;0")=0,"",SUMIFS('2. Plot &amp; Core Log'!$L$6:$L$35,'2. Plot &amp; Core Log'!$B$6:$B$35,$A140))&lt;&gt;"",$D140&gt;IF(COUNTIFS('2. Plot &amp; Core Log'!$B$6:$B$35,$A140,'2. Plot &amp; Core Log'!$L$6:$L$35,"&gt;0")=0,"",SUMIFS('2. Plot &amp; Core Log'!$L$6:$L$35,'2. Plot &amp; Core Log'!$B$6:$B$35,$A140))),"CHECK: slice deeper than the core length on Sheet 2",IF(OR($M140="",$N140="",$O140=""),"AWAITING LAB (dry weight, carbon value or type)",IF(AND(UPPER($O140)&lt;&gt;"OC",UPPER($O140)&lt;&gt;"LOI"),IF(UPPER($O140)="TC","TC is not organic carbon — ask the lab for OC or IC","CHECK: type must be OC, TC or LOI"),IF($R140="",IF(AND(LOI_INTERCEPT&lt;&gt;"",LOI_SLOPE&lt;&gt;""),"CHECK: LOI below the range of the conversion equation (OC would be &lt; 0)","CHECK: LOI conversion not set (Instructions tab)"),IF(OR($Q140&lt;=0,$Q140&gt;2.65,$R140&gt;50),"CHECK: bulk density outside 0–2.65 g/cm3 or OC &gt; 50%","OK")))))))))))</f>
        <v/>
      </c>
    </row>
    <row r="141" customFormat="false" ht="15.75" hidden="false" customHeight="true" outlineLevel="0" collapsed="false">
      <c r="A141" s="14"/>
      <c r="B141" s="14"/>
      <c r="C141" s="24"/>
      <c r="D141" s="24"/>
      <c r="E141" s="14"/>
      <c r="F141" s="16" t="str">
        <f aca="false">IF(OR($C141="",$D141=""),"",$D141-$C141)</f>
        <v/>
      </c>
      <c r="G141" s="25" t="str">
        <f aca="false">IF($A141="","",IFERROR(INDEX('2. Plot &amp; Core Log'!$M$6:$M$35,MATCH($A141,'2. Plot &amp; Core Log'!$B$6:$B$35,0)),""))</f>
        <v/>
      </c>
      <c r="H141" s="26" t="str">
        <f aca="false">IF($A141="","",IFERROR(INDEX('2. Plot &amp; Core Log'!$S$6:$S$35,MATCH($A141,'2. Plot &amp; Core Log'!$B$6:$B$35,0)),""))</f>
        <v/>
      </c>
      <c r="I141" s="16" t="str">
        <f aca="false">IF(OR($C141="",$G141=""),"",$C141*$G141)</f>
        <v/>
      </c>
      <c r="J141" s="16" t="str">
        <f aca="false">IF(OR($D141="",$G141=""),"",$D141*$G141)</f>
        <v/>
      </c>
      <c r="K141" s="16" t="str">
        <f aca="false">IF(OR($F141="",$H141=""),"",PI()*(($H141/2)^2)*$F141)</f>
        <v/>
      </c>
      <c r="L141" s="27"/>
      <c r="M141" s="27"/>
      <c r="N141" s="27"/>
      <c r="O141" s="27"/>
      <c r="P141" s="16" t="str">
        <f aca="false">IF(OR($L141="",$M141="",$L141=0),"",(($L141-$M141)/$L141)*100)</f>
        <v/>
      </c>
      <c r="Q141" s="15" t="str">
        <f aca="false">IF(OR($M141="",$K141="",$K141=0),"",$M141/$K141)</f>
        <v/>
      </c>
      <c r="R141" s="15" t="str">
        <f aca="false">IF(OR($N141="",$O141=""),"",IF(UPPER($O141)="OC",$N141,IF(UPPER($O141)="LOI",IF(OR(LOI_INTERCEPT="",LOI_SLOPE=""),"",IF(LOI_INTERCEPT+LOI_SLOPE*$N141&lt;0,"",LOI_INTERCEPT+LOI_SLOPE*$N141)),"")))</f>
        <v/>
      </c>
      <c r="S141" s="18" t="str">
        <f aca="false">IF($R141="","",$R141*10)</f>
        <v/>
      </c>
      <c r="T141" s="28" t="str">
        <f aca="false">IF(OR($Q141="",$R141=""),"",$Q141*$R141/100)</f>
        <v/>
      </c>
      <c r="U141" s="29" t="str">
        <f aca="false">IF(OR($T141="",$F141=""),"",$T141*$F141)</f>
        <v/>
      </c>
      <c r="V141" s="15" t="str">
        <f aca="false">IF($U141="","",$U141*10)</f>
        <v/>
      </c>
      <c r="W141" s="15" t="str">
        <f aca="false">IF(OR($V141="",$I141="",$J141="",$J141&lt;=$I141),"",$V141*MAX(0,MIN($J141,15)-MAX($I141,0))/($J141-$I141))</f>
        <v/>
      </c>
      <c r="X141" s="15" t="str">
        <f aca="false">IF(OR($V141="",$I141="",$J141="",$J141&lt;=$I141),"",$V141*MAX(0,MIN($J141,30)-MAX($I141,15))/($J141-$I141))</f>
        <v/>
      </c>
      <c r="Y141" s="15" t="str">
        <f aca="false">IF(OR($V141="",$I141="",$J141="",$J141&lt;=$I141),"",$V141*MAX(0,MIN($J141,50)-MAX($I141,30))/($J141-$I141))</f>
        <v/>
      </c>
      <c r="Z141" s="15" t="str">
        <f aca="false">IF(OR($V141="",$I141="",$J141="",$J141&lt;=$I141),"",$V141*MAX(0,MIN($J141,100)-MAX($I141,50))/($J141-$I141))</f>
        <v/>
      </c>
      <c r="AA141" s="16" t="str">
        <f aca="false">IF($A141="","",IF(OR($C141="",$D141="",$D141&lt;=$C141),"CHECK: depths missing, or bottom not below top",IF(COUNTIFS($A$6:$A$205,$A141,$C$6:$C$205,$C141)&gt;1,"DUPLICATE slice",IF(COUNTIFS($A$6:$A$205,$A141,$C$6:$C$205,"&lt;"&amp;$D141,$D$6:$D$205,"&gt;"&amp;$C141)&gt;1,"OVERLAP with another slice",IF(AND($C141&gt;0,COUNTIFS($A$6:$A$205,$A141,$D$6:$D$205,$C141)=0),"GAP above this slice",IF(OR($G141="",$H141=""),"CHECK: Core ID not in Core Log, or its compaction / diameter missing",IF(AND(IF(COUNTIFS('2. Plot &amp; Core Log'!$B$6:$B$35,$A141,'2. Plot &amp; Core Log'!$L$6:$L$35,"&gt;0")=0,"",SUMIFS('2. Plot &amp; Core Log'!$L$6:$L$35,'2. Plot &amp; Core Log'!$B$6:$B$35,$A141))&lt;&gt;"",$D141&gt;IF(COUNTIFS('2. Plot &amp; Core Log'!$B$6:$B$35,$A141,'2. Plot &amp; Core Log'!$L$6:$L$35,"&gt;0")=0,"",SUMIFS('2. Plot &amp; Core Log'!$L$6:$L$35,'2. Plot &amp; Core Log'!$B$6:$B$35,$A141))),"CHECK: slice deeper than the core length on Sheet 2",IF(OR($M141="",$N141="",$O141=""),"AWAITING LAB (dry weight, carbon value or type)",IF(AND(UPPER($O141)&lt;&gt;"OC",UPPER($O141)&lt;&gt;"LOI"),IF(UPPER($O141)="TC","TC is not organic carbon — ask the lab for OC or IC","CHECK: type must be OC, TC or LOI"),IF($R141="",IF(AND(LOI_INTERCEPT&lt;&gt;"",LOI_SLOPE&lt;&gt;""),"CHECK: LOI below the range of the conversion equation (OC would be &lt; 0)","CHECK: LOI conversion not set (Instructions tab)"),IF(OR($Q141&lt;=0,$Q141&gt;2.65,$R141&gt;50),"CHECK: bulk density outside 0–2.65 g/cm3 or OC &gt; 50%","OK")))))))))))</f>
        <v/>
      </c>
    </row>
    <row r="142" customFormat="false" ht="15.75" hidden="false" customHeight="true" outlineLevel="0" collapsed="false">
      <c r="A142" s="14"/>
      <c r="B142" s="14"/>
      <c r="C142" s="24"/>
      <c r="D142" s="24"/>
      <c r="E142" s="14"/>
      <c r="F142" s="16" t="str">
        <f aca="false">IF(OR($C142="",$D142=""),"",$D142-$C142)</f>
        <v/>
      </c>
      <c r="G142" s="25" t="str">
        <f aca="false">IF($A142="","",IFERROR(INDEX('2. Plot &amp; Core Log'!$M$6:$M$35,MATCH($A142,'2. Plot &amp; Core Log'!$B$6:$B$35,0)),""))</f>
        <v/>
      </c>
      <c r="H142" s="26" t="str">
        <f aca="false">IF($A142="","",IFERROR(INDEX('2. Plot &amp; Core Log'!$S$6:$S$35,MATCH($A142,'2. Plot &amp; Core Log'!$B$6:$B$35,0)),""))</f>
        <v/>
      </c>
      <c r="I142" s="16" t="str">
        <f aca="false">IF(OR($C142="",$G142=""),"",$C142*$G142)</f>
        <v/>
      </c>
      <c r="J142" s="16" t="str">
        <f aca="false">IF(OR($D142="",$G142=""),"",$D142*$G142)</f>
        <v/>
      </c>
      <c r="K142" s="16" t="str">
        <f aca="false">IF(OR($F142="",$H142=""),"",PI()*(($H142/2)^2)*$F142)</f>
        <v/>
      </c>
      <c r="L142" s="27"/>
      <c r="M142" s="27"/>
      <c r="N142" s="27"/>
      <c r="O142" s="27"/>
      <c r="P142" s="16" t="str">
        <f aca="false">IF(OR($L142="",$M142="",$L142=0),"",(($L142-$M142)/$L142)*100)</f>
        <v/>
      </c>
      <c r="Q142" s="15" t="str">
        <f aca="false">IF(OR($M142="",$K142="",$K142=0),"",$M142/$K142)</f>
        <v/>
      </c>
      <c r="R142" s="15" t="str">
        <f aca="false">IF(OR($N142="",$O142=""),"",IF(UPPER($O142)="OC",$N142,IF(UPPER($O142)="LOI",IF(OR(LOI_INTERCEPT="",LOI_SLOPE=""),"",IF(LOI_INTERCEPT+LOI_SLOPE*$N142&lt;0,"",LOI_INTERCEPT+LOI_SLOPE*$N142)),"")))</f>
        <v/>
      </c>
      <c r="S142" s="18" t="str">
        <f aca="false">IF($R142="","",$R142*10)</f>
        <v/>
      </c>
      <c r="T142" s="28" t="str">
        <f aca="false">IF(OR($Q142="",$R142=""),"",$Q142*$R142/100)</f>
        <v/>
      </c>
      <c r="U142" s="29" t="str">
        <f aca="false">IF(OR($T142="",$F142=""),"",$T142*$F142)</f>
        <v/>
      </c>
      <c r="V142" s="15" t="str">
        <f aca="false">IF($U142="","",$U142*10)</f>
        <v/>
      </c>
      <c r="W142" s="15" t="str">
        <f aca="false">IF(OR($V142="",$I142="",$J142="",$J142&lt;=$I142),"",$V142*MAX(0,MIN($J142,15)-MAX($I142,0))/($J142-$I142))</f>
        <v/>
      </c>
      <c r="X142" s="15" t="str">
        <f aca="false">IF(OR($V142="",$I142="",$J142="",$J142&lt;=$I142),"",$V142*MAX(0,MIN($J142,30)-MAX($I142,15))/($J142-$I142))</f>
        <v/>
      </c>
      <c r="Y142" s="15" t="str">
        <f aca="false">IF(OR($V142="",$I142="",$J142="",$J142&lt;=$I142),"",$V142*MAX(0,MIN($J142,50)-MAX($I142,30))/($J142-$I142))</f>
        <v/>
      </c>
      <c r="Z142" s="15" t="str">
        <f aca="false">IF(OR($V142="",$I142="",$J142="",$J142&lt;=$I142),"",$V142*MAX(0,MIN($J142,100)-MAX($I142,50))/($J142-$I142))</f>
        <v/>
      </c>
      <c r="AA142" s="16" t="str">
        <f aca="false">IF($A142="","",IF(OR($C142="",$D142="",$D142&lt;=$C142),"CHECK: depths missing, or bottom not below top",IF(COUNTIFS($A$6:$A$205,$A142,$C$6:$C$205,$C142)&gt;1,"DUPLICATE slice",IF(COUNTIFS($A$6:$A$205,$A142,$C$6:$C$205,"&lt;"&amp;$D142,$D$6:$D$205,"&gt;"&amp;$C142)&gt;1,"OVERLAP with another slice",IF(AND($C142&gt;0,COUNTIFS($A$6:$A$205,$A142,$D$6:$D$205,$C142)=0),"GAP above this slice",IF(OR($G142="",$H142=""),"CHECK: Core ID not in Core Log, or its compaction / diameter missing",IF(AND(IF(COUNTIFS('2. Plot &amp; Core Log'!$B$6:$B$35,$A142,'2. Plot &amp; Core Log'!$L$6:$L$35,"&gt;0")=0,"",SUMIFS('2. Plot &amp; Core Log'!$L$6:$L$35,'2. Plot &amp; Core Log'!$B$6:$B$35,$A142))&lt;&gt;"",$D142&gt;IF(COUNTIFS('2. Plot &amp; Core Log'!$B$6:$B$35,$A142,'2. Plot &amp; Core Log'!$L$6:$L$35,"&gt;0")=0,"",SUMIFS('2. Plot &amp; Core Log'!$L$6:$L$35,'2. Plot &amp; Core Log'!$B$6:$B$35,$A142))),"CHECK: slice deeper than the core length on Sheet 2",IF(OR($M142="",$N142="",$O142=""),"AWAITING LAB (dry weight, carbon value or type)",IF(AND(UPPER($O142)&lt;&gt;"OC",UPPER($O142)&lt;&gt;"LOI"),IF(UPPER($O142)="TC","TC is not organic carbon — ask the lab for OC or IC","CHECK: type must be OC, TC or LOI"),IF($R142="",IF(AND(LOI_INTERCEPT&lt;&gt;"",LOI_SLOPE&lt;&gt;""),"CHECK: LOI below the range of the conversion equation (OC would be &lt; 0)","CHECK: LOI conversion not set (Instructions tab)"),IF(OR($Q142&lt;=0,$Q142&gt;2.65,$R142&gt;50),"CHECK: bulk density outside 0–2.65 g/cm3 or OC &gt; 50%","OK")))))))))))</f>
        <v/>
      </c>
    </row>
    <row r="143" customFormat="false" ht="15.75" hidden="false" customHeight="true" outlineLevel="0" collapsed="false">
      <c r="A143" s="14"/>
      <c r="B143" s="14"/>
      <c r="C143" s="24"/>
      <c r="D143" s="24"/>
      <c r="E143" s="14"/>
      <c r="F143" s="16" t="str">
        <f aca="false">IF(OR($C143="",$D143=""),"",$D143-$C143)</f>
        <v/>
      </c>
      <c r="G143" s="25" t="str">
        <f aca="false">IF($A143="","",IFERROR(INDEX('2. Plot &amp; Core Log'!$M$6:$M$35,MATCH($A143,'2. Plot &amp; Core Log'!$B$6:$B$35,0)),""))</f>
        <v/>
      </c>
      <c r="H143" s="26" t="str">
        <f aca="false">IF($A143="","",IFERROR(INDEX('2. Plot &amp; Core Log'!$S$6:$S$35,MATCH($A143,'2. Plot &amp; Core Log'!$B$6:$B$35,0)),""))</f>
        <v/>
      </c>
      <c r="I143" s="16" t="str">
        <f aca="false">IF(OR($C143="",$G143=""),"",$C143*$G143)</f>
        <v/>
      </c>
      <c r="J143" s="16" t="str">
        <f aca="false">IF(OR($D143="",$G143=""),"",$D143*$G143)</f>
        <v/>
      </c>
      <c r="K143" s="16" t="str">
        <f aca="false">IF(OR($F143="",$H143=""),"",PI()*(($H143/2)^2)*$F143)</f>
        <v/>
      </c>
      <c r="L143" s="27"/>
      <c r="M143" s="27"/>
      <c r="N143" s="27"/>
      <c r="O143" s="27"/>
      <c r="P143" s="16" t="str">
        <f aca="false">IF(OR($L143="",$M143="",$L143=0),"",(($L143-$M143)/$L143)*100)</f>
        <v/>
      </c>
      <c r="Q143" s="15" t="str">
        <f aca="false">IF(OR($M143="",$K143="",$K143=0),"",$M143/$K143)</f>
        <v/>
      </c>
      <c r="R143" s="15" t="str">
        <f aca="false">IF(OR($N143="",$O143=""),"",IF(UPPER($O143)="OC",$N143,IF(UPPER($O143)="LOI",IF(OR(LOI_INTERCEPT="",LOI_SLOPE=""),"",IF(LOI_INTERCEPT+LOI_SLOPE*$N143&lt;0,"",LOI_INTERCEPT+LOI_SLOPE*$N143)),"")))</f>
        <v/>
      </c>
      <c r="S143" s="18" t="str">
        <f aca="false">IF($R143="","",$R143*10)</f>
        <v/>
      </c>
      <c r="T143" s="28" t="str">
        <f aca="false">IF(OR($Q143="",$R143=""),"",$Q143*$R143/100)</f>
        <v/>
      </c>
      <c r="U143" s="29" t="str">
        <f aca="false">IF(OR($T143="",$F143=""),"",$T143*$F143)</f>
        <v/>
      </c>
      <c r="V143" s="15" t="str">
        <f aca="false">IF($U143="","",$U143*10)</f>
        <v/>
      </c>
      <c r="W143" s="15" t="str">
        <f aca="false">IF(OR($V143="",$I143="",$J143="",$J143&lt;=$I143),"",$V143*MAX(0,MIN($J143,15)-MAX($I143,0))/($J143-$I143))</f>
        <v/>
      </c>
      <c r="X143" s="15" t="str">
        <f aca="false">IF(OR($V143="",$I143="",$J143="",$J143&lt;=$I143),"",$V143*MAX(0,MIN($J143,30)-MAX($I143,15))/($J143-$I143))</f>
        <v/>
      </c>
      <c r="Y143" s="15" t="str">
        <f aca="false">IF(OR($V143="",$I143="",$J143="",$J143&lt;=$I143),"",$V143*MAX(0,MIN($J143,50)-MAX($I143,30))/($J143-$I143))</f>
        <v/>
      </c>
      <c r="Z143" s="15" t="str">
        <f aca="false">IF(OR($V143="",$I143="",$J143="",$J143&lt;=$I143),"",$V143*MAX(0,MIN($J143,100)-MAX($I143,50))/($J143-$I143))</f>
        <v/>
      </c>
      <c r="AA143" s="16" t="str">
        <f aca="false">IF($A143="","",IF(OR($C143="",$D143="",$D143&lt;=$C143),"CHECK: depths missing, or bottom not below top",IF(COUNTIFS($A$6:$A$205,$A143,$C$6:$C$205,$C143)&gt;1,"DUPLICATE slice",IF(COUNTIFS($A$6:$A$205,$A143,$C$6:$C$205,"&lt;"&amp;$D143,$D$6:$D$205,"&gt;"&amp;$C143)&gt;1,"OVERLAP with another slice",IF(AND($C143&gt;0,COUNTIFS($A$6:$A$205,$A143,$D$6:$D$205,$C143)=0),"GAP above this slice",IF(OR($G143="",$H143=""),"CHECK: Core ID not in Core Log, or its compaction / diameter missing",IF(AND(IF(COUNTIFS('2. Plot &amp; Core Log'!$B$6:$B$35,$A143,'2. Plot &amp; Core Log'!$L$6:$L$35,"&gt;0")=0,"",SUMIFS('2. Plot &amp; Core Log'!$L$6:$L$35,'2. Plot &amp; Core Log'!$B$6:$B$35,$A143))&lt;&gt;"",$D143&gt;IF(COUNTIFS('2. Plot &amp; Core Log'!$B$6:$B$35,$A143,'2. Plot &amp; Core Log'!$L$6:$L$35,"&gt;0")=0,"",SUMIFS('2. Plot &amp; Core Log'!$L$6:$L$35,'2. Plot &amp; Core Log'!$B$6:$B$35,$A143))),"CHECK: slice deeper than the core length on Sheet 2",IF(OR($M143="",$N143="",$O143=""),"AWAITING LAB (dry weight, carbon value or type)",IF(AND(UPPER($O143)&lt;&gt;"OC",UPPER($O143)&lt;&gt;"LOI"),IF(UPPER($O143)="TC","TC is not organic carbon — ask the lab for OC or IC","CHECK: type must be OC, TC or LOI"),IF($R143="",IF(AND(LOI_INTERCEPT&lt;&gt;"",LOI_SLOPE&lt;&gt;""),"CHECK: LOI below the range of the conversion equation (OC would be &lt; 0)","CHECK: LOI conversion not set (Instructions tab)"),IF(OR($Q143&lt;=0,$Q143&gt;2.65,$R143&gt;50),"CHECK: bulk density outside 0–2.65 g/cm3 or OC &gt; 50%","OK")))))))))))</f>
        <v/>
      </c>
    </row>
    <row r="144" customFormat="false" ht="15.75" hidden="false" customHeight="true" outlineLevel="0" collapsed="false">
      <c r="A144" s="14"/>
      <c r="B144" s="14"/>
      <c r="C144" s="24"/>
      <c r="D144" s="24"/>
      <c r="E144" s="14"/>
      <c r="F144" s="16" t="str">
        <f aca="false">IF(OR($C144="",$D144=""),"",$D144-$C144)</f>
        <v/>
      </c>
      <c r="G144" s="25" t="str">
        <f aca="false">IF($A144="","",IFERROR(INDEX('2. Plot &amp; Core Log'!$M$6:$M$35,MATCH($A144,'2. Plot &amp; Core Log'!$B$6:$B$35,0)),""))</f>
        <v/>
      </c>
      <c r="H144" s="26" t="str">
        <f aca="false">IF($A144="","",IFERROR(INDEX('2. Plot &amp; Core Log'!$S$6:$S$35,MATCH($A144,'2. Plot &amp; Core Log'!$B$6:$B$35,0)),""))</f>
        <v/>
      </c>
      <c r="I144" s="16" t="str">
        <f aca="false">IF(OR($C144="",$G144=""),"",$C144*$G144)</f>
        <v/>
      </c>
      <c r="J144" s="16" t="str">
        <f aca="false">IF(OR($D144="",$G144=""),"",$D144*$G144)</f>
        <v/>
      </c>
      <c r="K144" s="16" t="str">
        <f aca="false">IF(OR($F144="",$H144=""),"",PI()*(($H144/2)^2)*$F144)</f>
        <v/>
      </c>
      <c r="L144" s="27"/>
      <c r="M144" s="27"/>
      <c r="N144" s="27"/>
      <c r="O144" s="27"/>
      <c r="P144" s="16" t="str">
        <f aca="false">IF(OR($L144="",$M144="",$L144=0),"",(($L144-$M144)/$L144)*100)</f>
        <v/>
      </c>
      <c r="Q144" s="15" t="str">
        <f aca="false">IF(OR($M144="",$K144="",$K144=0),"",$M144/$K144)</f>
        <v/>
      </c>
      <c r="R144" s="15" t="str">
        <f aca="false">IF(OR($N144="",$O144=""),"",IF(UPPER($O144)="OC",$N144,IF(UPPER($O144)="LOI",IF(OR(LOI_INTERCEPT="",LOI_SLOPE=""),"",IF(LOI_INTERCEPT+LOI_SLOPE*$N144&lt;0,"",LOI_INTERCEPT+LOI_SLOPE*$N144)),"")))</f>
        <v/>
      </c>
      <c r="S144" s="18" t="str">
        <f aca="false">IF($R144="","",$R144*10)</f>
        <v/>
      </c>
      <c r="T144" s="28" t="str">
        <f aca="false">IF(OR($Q144="",$R144=""),"",$Q144*$R144/100)</f>
        <v/>
      </c>
      <c r="U144" s="29" t="str">
        <f aca="false">IF(OR($T144="",$F144=""),"",$T144*$F144)</f>
        <v/>
      </c>
      <c r="V144" s="15" t="str">
        <f aca="false">IF($U144="","",$U144*10)</f>
        <v/>
      </c>
      <c r="W144" s="15" t="str">
        <f aca="false">IF(OR($V144="",$I144="",$J144="",$J144&lt;=$I144),"",$V144*MAX(0,MIN($J144,15)-MAX($I144,0))/($J144-$I144))</f>
        <v/>
      </c>
      <c r="X144" s="15" t="str">
        <f aca="false">IF(OR($V144="",$I144="",$J144="",$J144&lt;=$I144),"",$V144*MAX(0,MIN($J144,30)-MAX($I144,15))/($J144-$I144))</f>
        <v/>
      </c>
      <c r="Y144" s="15" t="str">
        <f aca="false">IF(OR($V144="",$I144="",$J144="",$J144&lt;=$I144),"",$V144*MAX(0,MIN($J144,50)-MAX($I144,30))/($J144-$I144))</f>
        <v/>
      </c>
      <c r="Z144" s="15" t="str">
        <f aca="false">IF(OR($V144="",$I144="",$J144="",$J144&lt;=$I144),"",$V144*MAX(0,MIN($J144,100)-MAX($I144,50))/($J144-$I144))</f>
        <v/>
      </c>
      <c r="AA144" s="16" t="str">
        <f aca="false">IF($A144="","",IF(OR($C144="",$D144="",$D144&lt;=$C144),"CHECK: depths missing, or bottom not below top",IF(COUNTIFS($A$6:$A$205,$A144,$C$6:$C$205,$C144)&gt;1,"DUPLICATE slice",IF(COUNTIFS($A$6:$A$205,$A144,$C$6:$C$205,"&lt;"&amp;$D144,$D$6:$D$205,"&gt;"&amp;$C144)&gt;1,"OVERLAP with another slice",IF(AND($C144&gt;0,COUNTIFS($A$6:$A$205,$A144,$D$6:$D$205,$C144)=0),"GAP above this slice",IF(OR($G144="",$H144=""),"CHECK: Core ID not in Core Log, or its compaction / diameter missing",IF(AND(IF(COUNTIFS('2. Plot &amp; Core Log'!$B$6:$B$35,$A144,'2. Plot &amp; Core Log'!$L$6:$L$35,"&gt;0")=0,"",SUMIFS('2. Plot &amp; Core Log'!$L$6:$L$35,'2. Plot &amp; Core Log'!$B$6:$B$35,$A144))&lt;&gt;"",$D144&gt;IF(COUNTIFS('2. Plot &amp; Core Log'!$B$6:$B$35,$A144,'2. Plot &amp; Core Log'!$L$6:$L$35,"&gt;0")=0,"",SUMIFS('2. Plot &amp; Core Log'!$L$6:$L$35,'2. Plot &amp; Core Log'!$B$6:$B$35,$A144))),"CHECK: slice deeper than the core length on Sheet 2",IF(OR($M144="",$N144="",$O144=""),"AWAITING LAB (dry weight, carbon value or type)",IF(AND(UPPER($O144)&lt;&gt;"OC",UPPER($O144)&lt;&gt;"LOI"),IF(UPPER($O144)="TC","TC is not organic carbon — ask the lab for OC or IC","CHECK: type must be OC, TC or LOI"),IF($R144="",IF(AND(LOI_INTERCEPT&lt;&gt;"",LOI_SLOPE&lt;&gt;""),"CHECK: LOI below the range of the conversion equation (OC would be &lt; 0)","CHECK: LOI conversion not set (Instructions tab)"),IF(OR($Q144&lt;=0,$Q144&gt;2.65,$R144&gt;50),"CHECK: bulk density outside 0–2.65 g/cm3 or OC &gt; 50%","OK")))))))))))</f>
        <v/>
      </c>
    </row>
    <row r="145" customFormat="false" ht="15.75" hidden="false" customHeight="true" outlineLevel="0" collapsed="false">
      <c r="A145" s="14"/>
      <c r="B145" s="14"/>
      <c r="C145" s="24"/>
      <c r="D145" s="24"/>
      <c r="E145" s="14"/>
      <c r="F145" s="16" t="str">
        <f aca="false">IF(OR($C145="",$D145=""),"",$D145-$C145)</f>
        <v/>
      </c>
      <c r="G145" s="25" t="str">
        <f aca="false">IF($A145="","",IFERROR(INDEX('2. Plot &amp; Core Log'!$M$6:$M$35,MATCH($A145,'2. Plot &amp; Core Log'!$B$6:$B$35,0)),""))</f>
        <v/>
      </c>
      <c r="H145" s="26" t="str">
        <f aca="false">IF($A145="","",IFERROR(INDEX('2. Plot &amp; Core Log'!$S$6:$S$35,MATCH($A145,'2. Plot &amp; Core Log'!$B$6:$B$35,0)),""))</f>
        <v/>
      </c>
      <c r="I145" s="16" t="str">
        <f aca="false">IF(OR($C145="",$G145=""),"",$C145*$G145)</f>
        <v/>
      </c>
      <c r="J145" s="16" t="str">
        <f aca="false">IF(OR($D145="",$G145=""),"",$D145*$G145)</f>
        <v/>
      </c>
      <c r="K145" s="16" t="str">
        <f aca="false">IF(OR($F145="",$H145=""),"",PI()*(($H145/2)^2)*$F145)</f>
        <v/>
      </c>
      <c r="L145" s="27"/>
      <c r="M145" s="27"/>
      <c r="N145" s="27"/>
      <c r="O145" s="27"/>
      <c r="P145" s="16" t="str">
        <f aca="false">IF(OR($L145="",$M145="",$L145=0),"",(($L145-$M145)/$L145)*100)</f>
        <v/>
      </c>
      <c r="Q145" s="15" t="str">
        <f aca="false">IF(OR($M145="",$K145="",$K145=0),"",$M145/$K145)</f>
        <v/>
      </c>
      <c r="R145" s="15" t="str">
        <f aca="false">IF(OR($N145="",$O145=""),"",IF(UPPER($O145)="OC",$N145,IF(UPPER($O145)="LOI",IF(OR(LOI_INTERCEPT="",LOI_SLOPE=""),"",IF(LOI_INTERCEPT+LOI_SLOPE*$N145&lt;0,"",LOI_INTERCEPT+LOI_SLOPE*$N145)),"")))</f>
        <v/>
      </c>
      <c r="S145" s="18" t="str">
        <f aca="false">IF($R145="","",$R145*10)</f>
        <v/>
      </c>
      <c r="T145" s="28" t="str">
        <f aca="false">IF(OR($Q145="",$R145=""),"",$Q145*$R145/100)</f>
        <v/>
      </c>
      <c r="U145" s="29" t="str">
        <f aca="false">IF(OR($T145="",$F145=""),"",$T145*$F145)</f>
        <v/>
      </c>
      <c r="V145" s="15" t="str">
        <f aca="false">IF($U145="","",$U145*10)</f>
        <v/>
      </c>
      <c r="W145" s="15" t="str">
        <f aca="false">IF(OR($V145="",$I145="",$J145="",$J145&lt;=$I145),"",$V145*MAX(0,MIN($J145,15)-MAX($I145,0))/($J145-$I145))</f>
        <v/>
      </c>
      <c r="X145" s="15" t="str">
        <f aca="false">IF(OR($V145="",$I145="",$J145="",$J145&lt;=$I145),"",$V145*MAX(0,MIN($J145,30)-MAX($I145,15))/($J145-$I145))</f>
        <v/>
      </c>
      <c r="Y145" s="15" t="str">
        <f aca="false">IF(OR($V145="",$I145="",$J145="",$J145&lt;=$I145),"",$V145*MAX(0,MIN($J145,50)-MAX($I145,30))/($J145-$I145))</f>
        <v/>
      </c>
      <c r="Z145" s="15" t="str">
        <f aca="false">IF(OR($V145="",$I145="",$J145="",$J145&lt;=$I145),"",$V145*MAX(0,MIN($J145,100)-MAX($I145,50))/($J145-$I145))</f>
        <v/>
      </c>
      <c r="AA145" s="16" t="str">
        <f aca="false">IF($A145="","",IF(OR($C145="",$D145="",$D145&lt;=$C145),"CHECK: depths missing, or bottom not below top",IF(COUNTIFS($A$6:$A$205,$A145,$C$6:$C$205,$C145)&gt;1,"DUPLICATE slice",IF(COUNTIFS($A$6:$A$205,$A145,$C$6:$C$205,"&lt;"&amp;$D145,$D$6:$D$205,"&gt;"&amp;$C145)&gt;1,"OVERLAP with another slice",IF(AND($C145&gt;0,COUNTIFS($A$6:$A$205,$A145,$D$6:$D$205,$C145)=0),"GAP above this slice",IF(OR($G145="",$H145=""),"CHECK: Core ID not in Core Log, or its compaction / diameter missing",IF(AND(IF(COUNTIFS('2. Plot &amp; Core Log'!$B$6:$B$35,$A145,'2. Plot &amp; Core Log'!$L$6:$L$35,"&gt;0")=0,"",SUMIFS('2. Plot &amp; Core Log'!$L$6:$L$35,'2. Plot &amp; Core Log'!$B$6:$B$35,$A145))&lt;&gt;"",$D145&gt;IF(COUNTIFS('2. Plot &amp; Core Log'!$B$6:$B$35,$A145,'2. Plot &amp; Core Log'!$L$6:$L$35,"&gt;0")=0,"",SUMIFS('2. Plot &amp; Core Log'!$L$6:$L$35,'2. Plot &amp; Core Log'!$B$6:$B$35,$A145))),"CHECK: slice deeper than the core length on Sheet 2",IF(OR($M145="",$N145="",$O145=""),"AWAITING LAB (dry weight, carbon value or type)",IF(AND(UPPER($O145)&lt;&gt;"OC",UPPER($O145)&lt;&gt;"LOI"),IF(UPPER($O145)="TC","TC is not organic carbon — ask the lab for OC or IC","CHECK: type must be OC, TC or LOI"),IF($R145="",IF(AND(LOI_INTERCEPT&lt;&gt;"",LOI_SLOPE&lt;&gt;""),"CHECK: LOI below the range of the conversion equation (OC would be &lt; 0)","CHECK: LOI conversion not set (Instructions tab)"),IF(OR($Q145&lt;=0,$Q145&gt;2.65,$R145&gt;50),"CHECK: bulk density outside 0–2.65 g/cm3 or OC &gt; 50%","OK")))))))))))</f>
        <v/>
      </c>
    </row>
    <row r="146" customFormat="false" ht="15.75" hidden="false" customHeight="true" outlineLevel="0" collapsed="false">
      <c r="A146" s="14"/>
      <c r="B146" s="14"/>
      <c r="C146" s="24"/>
      <c r="D146" s="24"/>
      <c r="E146" s="14"/>
      <c r="F146" s="16" t="str">
        <f aca="false">IF(OR($C146="",$D146=""),"",$D146-$C146)</f>
        <v/>
      </c>
      <c r="G146" s="25" t="str">
        <f aca="false">IF($A146="","",IFERROR(INDEX('2. Plot &amp; Core Log'!$M$6:$M$35,MATCH($A146,'2. Plot &amp; Core Log'!$B$6:$B$35,0)),""))</f>
        <v/>
      </c>
      <c r="H146" s="26" t="str">
        <f aca="false">IF($A146="","",IFERROR(INDEX('2. Plot &amp; Core Log'!$S$6:$S$35,MATCH($A146,'2. Plot &amp; Core Log'!$B$6:$B$35,0)),""))</f>
        <v/>
      </c>
      <c r="I146" s="16" t="str">
        <f aca="false">IF(OR($C146="",$G146=""),"",$C146*$G146)</f>
        <v/>
      </c>
      <c r="J146" s="16" t="str">
        <f aca="false">IF(OR($D146="",$G146=""),"",$D146*$G146)</f>
        <v/>
      </c>
      <c r="K146" s="16" t="str">
        <f aca="false">IF(OR($F146="",$H146=""),"",PI()*(($H146/2)^2)*$F146)</f>
        <v/>
      </c>
      <c r="L146" s="27"/>
      <c r="M146" s="27"/>
      <c r="N146" s="27"/>
      <c r="O146" s="27"/>
      <c r="P146" s="16" t="str">
        <f aca="false">IF(OR($L146="",$M146="",$L146=0),"",(($L146-$M146)/$L146)*100)</f>
        <v/>
      </c>
      <c r="Q146" s="15" t="str">
        <f aca="false">IF(OR($M146="",$K146="",$K146=0),"",$M146/$K146)</f>
        <v/>
      </c>
      <c r="R146" s="15" t="str">
        <f aca="false">IF(OR($N146="",$O146=""),"",IF(UPPER($O146)="OC",$N146,IF(UPPER($O146)="LOI",IF(OR(LOI_INTERCEPT="",LOI_SLOPE=""),"",IF(LOI_INTERCEPT+LOI_SLOPE*$N146&lt;0,"",LOI_INTERCEPT+LOI_SLOPE*$N146)),"")))</f>
        <v/>
      </c>
      <c r="S146" s="18" t="str">
        <f aca="false">IF($R146="","",$R146*10)</f>
        <v/>
      </c>
      <c r="T146" s="28" t="str">
        <f aca="false">IF(OR($Q146="",$R146=""),"",$Q146*$R146/100)</f>
        <v/>
      </c>
      <c r="U146" s="29" t="str">
        <f aca="false">IF(OR($T146="",$F146=""),"",$T146*$F146)</f>
        <v/>
      </c>
      <c r="V146" s="15" t="str">
        <f aca="false">IF($U146="","",$U146*10)</f>
        <v/>
      </c>
      <c r="W146" s="15" t="str">
        <f aca="false">IF(OR($V146="",$I146="",$J146="",$J146&lt;=$I146),"",$V146*MAX(0,MIN($J146,15)-MAX($I146,0))/($J146-$I146))</f>
        <v/>
      </c>
      <c r="X146" s="15" t="str">
        <f aca="false">IF(OR($V146="",$I146="",$J146="",$J146&lt;=$I146),"",$V146*MAX(0,MIN($J146,30)-MAX($I146,15))/($J146-$I146))</f>
        <v/>
      </c>
      <c r="Y146" s="15" t="str">
        <f aca="false">IF(OR($V146="",$I146="",$J146="",$J146&lt;=$I146),"",$V146*MAX(0,MIN($J146,50)-MAX($I146,30))/($J146-$I146))</f>
        <v/>
      </c>
      <c r="Z146" s="15" t="str">
        <f aca="false">IF(OR($V146="",$I146="",$J146="",$J146&lt;=$I146),"",$V146*MAX(0,MIN($J146,100)-MAX($I146,50))/($J146-$I146))</f>
        <v/>
      </c>
      <c r="AA146" s="16" t="str">
        <f aca="false">IF($A146="","",IF(OR($C146="",$D146="",$D146&lt;=$C146),"CHECK: depths missing, or bottom not below top",IF(COUNTIFS($A$6:$A$205,$A146,$C$6:$C$205,$C146)&gt;1,"DUPLICATE slice",IF(COUNTIFS($A$6:$A$205,$A146,$C$6:$C$205,"&lt;"&amp;$D146,$D$6:$D$205,"&gt;"&amp;$C146)&gt;1,"OVERLAP with another slice",IF(AND($C146&gt;0,COUNTIFS($A$6:$A$205,$A146,$D$6:$D$205,$C146)=0),"GAP above this slice",IF(OR($G146="",$H146=""),"CHECK: Core ID not in Core Log, or its compaction / diameter missing",IF(AND(IF(COUNTIFS('2. Plot &amp; Core Log'!$B$6:$B$35,$A146,'2. Plot &amp; Core Log'!$L$6:$L$35,"&gt;0")=0,"",SUMIFS('2. Plot &amp; Core Log'!$L$6:$L$35,'2. Plot &amp; Core Log'!$B$6:$B$35,$A146))&lt;&gt;"",$D146&gt;IF(COUNTIFS('2. Plot &amp; Core Log'!$B$6:$B$35,$A146,'2. Plot &amp; Core Log'!$L$6:$L$35,"&gt;0")=0,"",SUMIFS('2. Plot &amp; Core Log'!$L$6:$L$35,'2. Plot &amp; Core Log'!$B$6:$B$35,$A146))),"CHECK: slice deeper than the core length on Sheet 2",IF(OR($M146="",$N146="",$O146=""),"AWAITING LAB (dry weight, carbon value or type)",IF(AND(UPPER($O146)&lt;&gt;"OC",UPPER($O146)&lt;&gt;"LOI"),IF(UPPER($O146)="TC","TC is not organic carbon — ask the lab for OC or IC","CHECK: type must be OC, TC or LOI"),IF($R146="",IF(AND(LOI_INTERCEPT&lt;&gt;"",LOI_SLOPE&lt;&gt;""),"CHECK: LOI below the range of the conversion equation (OC would be &lt; 0)","CHECK: LOI conversion not set (Instructions tab)"),IF(OR($Q146&lt;=0,$Q146&gt;2.65,$R146&gt;50),"CHECK: bulk density outside 0–2.65 g/cm3 or OC &gt; 50%","OK")))))))))))</f>
        <v/>
      </c>
    </row>
    <row r="147" customFormat="false" ht="15.75" hidden="false" customHeight="true" outlineLevel="0" collapsed="false">
      <c r="A147" s="14"/>
      <c r="B147" s="14"/>
      <c r="C147" s="24"/>
      <c r="D147" s="24"/>
      <c r="E147" s="14"/>
      <c r="F147" s="16" t="str">
        <f aca="false">IF(OR($C147="",$D147=""),"",$D147-$C147)</f>
        <v/>
      </c>
      <c r="G147" s="25" t="str">
        <f aca="false">IF($A147="","",IFERROR(INDEX('2. Plot &amp; Core Log'!$M$6:$M$35,MATCH($A147,'2. Plot &amp; Core Log'!$B$6:$B$35,0)),""))</f>
        <v/>
      </c>
      <c r="H147" s="26" t="str">
        <f aca="false">IF($A147="","",IFERROR(INDEX('2. Plot &amp; Core Log'!$S$6:$S$35,MATCH($A147,'2. Plot &amp; Core Log'!$B$6:$B$35,0)),""))</f>
        <v/>
      </c>
      <c r="I147" s="16" t="str">
        <f aca="false">IF(OR($C147="",$G147=""),"",$C147*$G147)</f>
        <v/>
      </c>
      <c r="J147" s="16" t="str">
        <f aca="false">IF(OR($D147="",$G147=""),"",$D147*$G147)</f>
        <v/>
      </c>
      <c r="K147" s="16" t="str">
        <f aca="false">IF(OR($F147="",$H147=""),"",PI()*(($H147/2)^2)*$F147)</f>
        <v/>
      </c>
      <c r="L147" s="27"/>
      <c r="M147" s="27"/>
      <c r="N147" s="27"/>
      <c r="O147" s="27"/>
      <c r="P147" s="16" t="str">
        <f aca="false">IF(OR($L147="",$M147="",$L147=0),"",(($L147-$M147)/$L147)*100)</f>
        <v/>
      </c>
      <c r="Q147" s="15" t="str">
        <f aca="false">IF(OR($M147="",$K147="",$K147=0),"",$M147/$K147)</f>
        <v/>
      </c>
      <c r="R147" s="15" t="str">
        <f aca="false">IF(OR($N147="",$O147=""),"",IF(UPPER($O147)="OC",$N147,IF(UPPER($O147)="LOI",IF(OR(LOI_INTERCEPT="",LOI_SLOPE=""),"",IF(LOI_INTERCEPT+LOI_SLOPE*$N147&lt;0,"",LOI_INTERCEPT+LOI_SLOPE*$N147)),"")))</f>
        <v/>
      </c>
      <c r="S147" s="18" t="str">
        <f aca="false">IF($R147="","",$R147*10)</f>
        <v/>
      </c>
      <c r="T147" s="28" t="str">
        <f aca="false">IF(OR($Q147="",$R147=""),"",$Q147*$R147/100)</f>
        <v/>
      </c>
      <c r="U147" s="29" t="str">
        <f aca="false">IF(OR($T147="",$F147=""),"",$T147*$F147)</f>
        <v/>
      </c>
      <c r="V147" s="15" t="str">
        <f aca="false">IF($U147="","",$U147*10)</f>
        <v/>
      </c>
      <c r="W147" s="15" t="str">
        <f aca="false">IF(OR($V147="",$I147="",$J147="",$J147&lt;=$I147),"",$V147*MAX(0,MIN($J147,15)-MAX($I147,0))/($J147-$I147))</f>
        <v/>
      </c>
      <c r="X147" s="15" t="str">
        <f aca="false">IF(OR($V147="",$I147="",$J147="",$J147&lt;=$I147),"",$V147*MAX(0,MIN($J147,30)-MAX($I147,15))/($J147-$I147))</f>
        <v/>
      </c>
      <c r="Y147" s="15" t="str">
        <f aca="false">IF(OR($V147="",$I147="",$J147="",$J147&lt;=$I147),"",$V147*MAX(0,MIN($J147,50)-MAX($I147,30))/($J147-$I147))</f>
        <v/>
      </c>
      <c r="Z147" s="15" t="str">
        <f aca="false">IF(OR($V147="",$I147="",$J147="",$J147&lt;=$I147),"",$V147*MAX(0,MIN($J147,100)-MAX($I147,50))/($J147-$I147))</f>
        <v/>
      </c>
      <c r="AA147" s="16" t="str">
        <f aca="false">IF($A147="","",IF(OR($C147="",$D147="",$D147&lt;=$C147),"CHECK: depths missing, or bottom not below top",IF(COUNTIFS($A$6:$A$205,$A147,$C$6:$C$205,$C147)&gt;1,"DUPLICATE slice",IF(COUNTIFS($A$6:$A$205,$A147,$C$6:$C$205,"&lt;"&amp;$D147,$D$6:$D$205,"&gt;"&amp;$C147)&gt;1,"OVERLAP with another slice",IF(AND($C147&gt;0,COUNTIFS($A$6:$A$205,$A147,$D$6:$D$205,$C147)=0),"GAP above this slice",IF(OR($G147="",$H147=""),"CHECK: Core ID not in Core Log, or its compaction / diameter missing",IF(AND(IF(COUNTIFS('2. Plot &amp; Core Log'!$B$6:$B$35,$A147,'2. Plot &amp; Core Log'!$L$6:$L$35,"&gt;0")=0,"",SUMIFS('2. Plot &amp; Core Log'!$L$6:$L$35,'2. Plot &amp; Core Log'!$B$6:$B$35,$A147))&lt;&gt;"",$D147&gt;IF(COUNTIFS('2. Plot &amp; Core Log'!$B$6:$B$35,$A147,'2. Plot &amp; Core Log'!$L$6:$L$35,"&gt;0")=0,"",SUMIFS('2. Plot &amp; Core Log'!$L$6:$L$35,'2. Plot &amp; Core Log'!$B$6:$B$35,$A147))),"CHECK: slice deeper than the core length on Sheet 2",IF(OR($M147="",$N147="",$O147=""),"AWAITING LAB (dry weight, carbon value or type)",IF(AND(UPPER($O147)&lt;&gt;"OC",UPPER($O147)&lt;&gt;"LOI"),IF(UPPER($O147)="TC","TC is not organic carbon — ask the lab for OC or IC","CHECK: type must be OC, TC or LOI"),IF($R147="",IF(AND(LOI_INTERCEPT&lt;&gt;"",LOI_SLOPE&lt;&gt;""),"CHECK: LOI below the range of the conversion equation (OC would be &lt; 0)","CHECK: LOI conversion not set (Instructions tab)"),IF(OR($Q147&lt;=0,$Q147&gt;2.65,$R147&gt;50),"CHECK: bulk density outside 0–2.65 g/cm3 or OC &gt; 50%","OK")))))))))))</f>
        <v/>
      </c>
    </row>
    <row r="148" customFormat="false" ht="15.75" hidden="false" customHeight="true" outlineLevel="0" collapsed="false">
      <c r="A148" s="14"/>
      <c r="B148" s="14"/>
      <c r="C148" s="24"/>
      <c r="D148" s="24"/>
      <c r="E148" s="14"/>
      <c r="F148" s="16" t="str">
        <f aca="false">IF(OR($C148="",$D148=""),"",$D148-$C148)</f>
        <v/>
      </c>
      <c r="G148" s="25" t="str">
        <f aca="false">IF($A148="","",IFERROR(INDEX('2. Plot &amp; Core Log'!$M$6:$M$35,MATCH($A148,'2. Plot &amp; Core Log'!$B$6:$B$35,0)),""))</f>
        <v/>
      </c>
      <c r="H148" s="26" t="str">
        <f aca="false">IF($A148="","",IFERROR(INDEX('2. Plot &amp; Core Log'!$S$6:$S$35,MATCH($A148,'2. Plot &amp; Core Log'!$B$6:$B$35,0)),""))</f>
        <v/>
      </c>
      <c r="I148" s="16" t="str">
        <f aca="false">IF(OR($C148="",$G148=""),"",$C148*$G148)</f>
        <v/>
      </c>
      <c r="J148" s="16" t="str">
        <f aca="false">IF(OR($D148="",$G148=""),"",$D148*$G148)</f>
        <v/>
      </c>
      <c r="K148" s="16" t="str">
        <f aca="false">IF(OR($F148="",$H148=""),"",PI()*(($H148/2)^2)*$F148)</f>
        <v/>
      </c>
      <c r="L148" s="27"/>
      <c r="M148" s="27"/>
      <c r="N148" s="27"/>
      <c r="O148" s="27"/>
      <c r="P148" s="16" t="str">
        <f aca="false">IF(OR($L148="",$M148="",$L148=0),"",(($L148-$M148)/$L148)*100)</f>
        <v/>
      </c>
      <c r="Q148" s="15" t="str">
        <f aca="false">IF(OR($M148="",$K148="",$K148=0),"",$M148/$K148)</f>
        <v/>
      </c>
      <c r="R148" s="15" t="str">
        <f aca="false">IF(OR($N148="",$O148=""),"",IF(UPPER($O148)="OC",$N148,IF(UPPER($O148)="LOI",IF(OR(LOI_INTERCEPT="",LOI_SLOPE=""),"",IF(LOI_INTERCEPT+LOI_SLOPE*$N148&lt;0,"",LOI_INTERCEPT+LOI_SLOPE*$N148)),"")))</f>
        <v/>
      </c>
      <c r="S148" s="18" t="str">
        <f aca="false">IF($R148="","",$R148*10)</f>
        <v/>
      </c>
      <c r="T148" s="28" t="str">
        <f aca="false">IF(OR($Q148="",$R148=""),"",$Q148*$R148/100)</f>
        <v/>
      </c>
      <c r="U148" s="29" t="str">
        <f aca="false">IF(OR($T148="",$F148=""),"",$T148*$F148)</f>
        <v/>
      </c>
      <c r="V148" s="15" t="str">
        <f aca="false">IF($U148="","",$U148*10)</f>
        <v/>
      </c>
      <c r="W148" s="15" t="str">
        <f aca="false">IF(OR($V148="",$I148="",$J148="",$J148&lt;=$I148),"",$V148*MAX(0,MIN($J148,15)-MAX($I148,0))/($J148-$I148))</f>
        <v/>
      </c>
      <c r="X148" s="15" t="str">
        <f aca="false">IF(OR($V148="",$I148="",$J148="",$J148&lt;=$I148),"",$V148*MAX(0,MIN($J148,30)-MAX($I148,15))/($J148-$I148))</f>
        <v/>
      </c>
      <c r="Y148" s="15" t="str">
        <f aca="false">IF(OR($V148="",$I148="",$J148="",$J148&lt;=$I148),"",$V148*MAX(0,MIN($J148,50)-MAX($I148,30))/($J148-$I148))</f>
        <v/>
      </c>
      <c r="Z148" s="15" t="str">
        <f aca="false">IF(OR($V148="",$I148="",$J148="",$J148&lt;=$I148),"",$V148*MAX(0,MIN($J148,100)-MAX($I148,50))/($J148-$I148))</f>
        <v/>
      </c>
      <c r="AA148" s="16" t="str">
        <f aca="false">IF($A148="","",IF(OR($C148="",$D148="",$D148&lt;=$C148),"CHECK: depths missing, or bottom not below top",IF(COUNTIFS($A$6:$A$205,$A148,$C$6:$C$205,$C148)&gt;1,"DUPLICATE slice",IF(COUNTIFS($A$6:$A$205,$A148,$C$6:$C$205,"&lt;"&amp;$D148,$D$6:$D$205,"&gt;"&amp;$C148)&gt;1,"OVERLAP with another slice",IF(AND($C148&gt;0,COUNTIFS($A$6:$A$205,$A148,$D$6:$D$205,$C148)=0),"GAP above this slice",IF(OR($G148="",$H148=""),"CHECK: Core ID not in Core Log, or its compaction / diameter missing",IF(AND(IF(COUNTIFS('2. Plot &amp; Core Log'!$B$6:$B$35,$A148,'2. Plot &amp; Core Log'!$L$6:$L$35,"&gt;0")=0,"",SUMIFS('2. Plot &amp; Core Log'!$L$6:$L$35,'2. Plot &amp; Core Log'!$B$6:$B$35,$A148))&lt;&gt;"",$D148&gt;IF(COUNTIFS('2. Plot &amp; Core Log'!$B$6:$B$35,$A148,'2. Plot &amp; Core Log'!$L$6:$L$35,"&gt;0")=0,"",SUMIFS('2. Plot &amp; Core Log'!$L$6:$L$35,'2. Plot &amp; Core Log'!$B$6:$B$35,$A148))),"CHECK: slice deeper than the core length on Sheet 2",IF(OR($M148="",$N148="",$O148=""),"AWAITING LAB (dry weight, carbon value or type)",IF(AND(UPPER($O148)&lt;&gt;"OC",UPPER($O148)&lt;&gt;"LOI"),IF(UPPER($O148)="TC","TC is not organic carbon — ask the lab for OC or IC","CHECK: type must be OC, TC or LOI"),IF($R148="",IF(AND(LOI_INTERCEPT&lt;&gt;"",LOI_SLOPE&lt;&gt;""),"CHECK: LOI below the range of the conversion equation (OC would be &lt; 0)","CHECK: LOI conversion not set (Instructions tab)"),IF(OR($Q148&lt;=0,$Q148&gt;2.65,$R148&gt;50),"CHECK: bulk density outside 0–2.65 g/cm3 or OC &gt; 50%","OK")))))))))))</f>
        <v/>
      </c>
    </row>
    <row r="149" customFormat="false" ht="15.75" hidden="false" customHeight="true" outlineLevel="0" collapsed="false">
      <c r="A149" s="14"/>
      <c r="B149" s="14"/>
      <c r="C149" s="24"/>
      <c r="D149" s="24"/>
      <c r="E149" s="14"/>
      <c r="F149" s="16" t="str">
        <f aca="false">IF(OR($C149="",$D149=""),"",$D149-$C149)</f>
        <v/>
      </c>
      <c r="G149" s="25" t="str">
        <f aca="false">IF($A149="","",IFERROR(INDEX('2. Plot &amp; Core Log'!$M$6:$M$35,MATCH($A149,'2. Plot &amp; Core Log'!$B$6:$B$35,0)),""))</f>
        <v/>
      </c>
      <c r="H149" s="26" t="str">
        <f aca="false">IF($A149="","",IFERROR(INDEX('2. Plot &amp; Core Log'!$S$6:$S$35,MATCH($A149,'2. Plot &amp; Core Log'!$B$6:$B$35,0)),""))</f>
        <v/>
      </c>
      <c r="I149" s="16" t="str">
        <f aca="false">IF(OR($C149="",$G149=""),"",$C149*$G149)</f>
        <v/>
      </c>
      <c r="J149" s="16" t="str">
        <f aca="false">IF(OR($D149="",$G149=""),"",$D149*$G149)</f>
        <v/>
      </c>
      <c r="K149" s="16" t="str">
        <f aca="false">IF(OR($F149="",$H149=""),"",PI()*(($H149/2)^2)*$F149)</f>
        <v/>
      </c>
      <c r="L149" s="27"/>
      <c r="M149" s="27"/>
      <c r="N149" s="27"/>
      <c r="O149" s="27"/>
      <c r="P149" s="16" t="str">
        <f aca="false">IF(OR($L149="",$M149="",$L149=0),"",(($L149-$M149)/$L149)*100)</f>
        <v/>
      </c>
      <c r="Q149" s="15" t="str">
        <f aca="false">IF(OR($M149="",$K149="",$K149=0),"",$M149/$K149)</f>
        <v/>
      </c>
      <c r="R149" s="15" t="str">
        <f aca="false">IF(OR($N149="",$O149=""),"",IF(UPPER($O149)="OC",$N149,IF(UPPER($O149)="LOI",IF(OR(LOI_INTERCEPT="",LOI_SLOPE=""),"",IF(LOI_INTERCEPT+LOI_SLOPE*$N149&lt;0,"",LOI_INTERCEPT+LOI_SLOPE*$N149)),"")))</f>
        <v/>
      </c>
      <c r="S149" s="18" t="str">
        <f aca="false">IF($R149="","",$R149*10)</f>
        <v/>
      </c>
      <c r="T149" s="28" t="str">
        <f aca="false">IF(OR($Q149="",$R149=""),"",$Q149*$R149/100)</f>
        <v/>
      </c>
      <c r="U149" s="29" t="str">
        <f aca="false">IF(OR($T149="",$F149=""),"",$T149*$F149)</f>
        <v/>
      </c>
      <c r="V149" s="15" t="str">
        <f aca="false">IF($U149="","",$U149*10)</f>
        <v/>
      </c>
      <c r="W149" s="15" t="str">
        <f aca="false">IF(OR($V149="",$I149="",$J149="",$J149&lt;=$I149),"",$V149*MAX(0,MIN($J149,15)-MAX($I149,0))/($J149-$I149))</f>
        <v/>
      </c>
      <c r="X149" s="15" t="str">
        <f aca="false">IF(OR($V149="",$I149="",$J149="",$J149&lt;=$I149),"",$V149*MAX(0,MIN($J149,30)-MAX($I149,15))/($J149-$I149))</f>
        <v/>
      </c>
      <c r="Y149" s="15" t="str">
        <f aca="false">IF(OR($V149="",$I149="",$J149="",$J149&lt;=$I149),"",$V149*MAX(0,MIN($J149,50)-MAX($I149,30))/($J149-$I149))</f>
        <v/>
      </c>
      <c r="Z149" s="15" t="str">
        <f aca="false">IF(OR($V149="",$I149="",$J149="",$J149&lt;=$I149),"",$V149*MAX(0,MIN($J149,100)-MAX($I149,50))/($J149-$I149))</f>
        <v/>
      </c>
      <c r="AA149" s="16" t="str">
        <f aca="false">IF($A149="","",IF(OR($C149="",$D149="",$D149&lt;=$C149),"CHECK: depths missing, or bottom not below top",IF(COUNTIFS($A$6:$A$205,$A149,$C$6:$C$205,$C149)&gt;1,"DUPLICATE slice",IF(COUNTIFS($A$6:$A$205,$A149,$C$6:$C$205,"&lt;"&amp;$D149,$D$6:$D$205,"&gt;"&amp;$C149)&gt;1,"OVERLAP with another slice",IF(AND($C149&gt;0,COUNTIFS($A$6:$A$205,$A149,$D$6:$D$205,$C149)=0),"GAP above this slice",IF(OR($G149="",$H149=""),"CHECK: Core ID not in Core Log, or its compaction / diameter missing",IF(AND(IF(COUNTIFS('2. Plot &amp; Core Log'!$B$6:$B$35,$A149,'2. Plot &amp; Core Log'!$L$6:$L$35,"&gt;0")=0,"",SUMIFS('2. Plot &amp; Core Log'!$L$6:$L$35,'2. Plot &amp; Core Log'!$B$6:$B$35,$A149))&lt;&gt;"",$D149&gt;IF(COUNTIFS('2. Plot &amp; Core Log'!$B$6:$B$35,$A149,'2. Plot &amp; Core Log'!$L$6:$L$35,"&gt;0")=0,"",SUMIFS('2. Plot &amp; Core Log'!$L$6:$L$35,'2. Plot &amp; Core Log'!$B$6:$B$35,$A149))),"CHECK: slice deeper than the core length on Sheet 2",IF(OR($M149="",$N149="",$O149=""),"AWAITING LAB (dry weight, carbon value or type)",IF(AND(UPPER($O149)&lt;&gt;"OC",UPPER($O149)&lt;&gt;"LOI"),IF(UPPER($O149)="TC","TC is not organic carbon — ask the lab for OC or IC","CHECK: type must be OC, TC or LOI"),IF($R149="",IF(AND(LOI_INTERCEPT&lt;&gt;"",LOI_SLOPE&lt;&gt;""),"CHECK: LOI below the range of the conversion equation (OC would be &lt; 0)","CHECK: LOI conversion not set (Instructions tab)"),IF(OR($Q149&lt;=0,$Q149&gt;2.65,$R149&gt;50),"CHECK: bulk density outside 0–2.65 g/cm3 or OC &gt; 50%","OK")))))))))))</f>
        <v/>
      </c>
    </row>
    <row r="150" customFormat="false" ht="15.75" hidden="false" customHeight="true" outlineLevel="0" collapsed="false">
      <c r="A150" s="14"/>
      <c r="B150" s="14"/>
      <c r="C150" s="24"/>
      <c r="D150" s="24"/>
      <c r="E150" s="14"/>
      <c r="F150" s="16" t="str">
        <f aca="false">IF(OR($C150="",$D150=""),"",$D150-$C150)</f>
        <v/>
      </c>
      <c r="G150" s="25" t="str">
        <f aca="false">IF($A150="","",IFERROR(INDEX('2. Plot &amp; Core Log'!$M$6:$M$35,MATCH($A150,'2. Plot &amp; Core Log'!$B$6:$B$35,0)),""))</f>
        <v/>
      </c>
      <c r="H150" s="26" t="str">
        <f aca="false">IF($A150="","",IFERROR(INDEX('2. Plot &amp; Core Log'!$S$6:$S$35,MATCH($A150,'2. Plot &amp; Core Log'!$B$6:$B$35,0)),""))</f>
        <v/>
      </c>
      <c r="I150" s="16" t="str">
        <f aca="false">IF(OR($C150="",$G150=""),"",$C150*$G150)</f>
        <v/>
      </c>
      <c r="J150" s="16" t="str">
        <f aca="false">IF(OR($D150="",$G150=""),"",$D150*$G150)</f>
        <v/>
      </c>
      <c r="K150" s="16" t="str">
        <f aca="false">IF(OR($F150="",$H150=""),"",PI()*(($H150/2)^2)*$F150)</f>
        <v/>
      </c>
      <c r="L150" s="27"/>
      <c r="M150" s="27"/>
      <c r="N150" s="27"/>
      <c r="O150" s="27"/>
      <c r="P150" s="16" t="str">
        <f aca="false">IF(OR($L150="",$M150="",$L150=0),"",(($L150-$M150)/$L150)*100)</f>
        <v/>
      </c>
      <c r="Q150" s="15" t="str">
        <f aca="false">IF(OR($M150="",$K150="",$K150=0),"",$M150/$K150)</f>
        <v/>
      </c>
      <c r="R150" s="15" t="str">
        <f aca="false">IF(OR($N150="",$O150=""),"",IF(UPPER($O150)="OC",$N150,IF(UPPER($O150)="LOI",IF(OR(LOI_INTERCEPT="",LOI_SLOPE=""),"",IF(LOI_INTERCEPT+LOI_SLOPE*$N150&lt;0,"",LOI_INTERCEPT+LOI_SLOPE*$N150)),"")))</f>
        <v/>
      </c>
      <c r="S150" s="18" t="str">
        <f aca="false">IF($R150="","",$R150*10)</f>
        <v/>
      </c>
      <c r="T150" s="28" t="str">
        <f aca="false">IF(OR($Q150="",$R150=""),"",$Q150*$R150/100)</f>
        <v/>
      </c>
      <c r="U150" s="29" t="str">
        <f aca="false">IF(OR($T150="",$F150=""),"",$T150*$F150)</f>
        <v/>
      </c>
      <c r="V150" s="15" t="str">
        <f aca="false">IF($U150="","",$U150*10)</f>
        <v/>
      </c>
      <c r="W150" s="15" t="str">
        <f aca="false">IF(OR($V150="",$I150="",$J150="",$J150&lt;=$I150),"",$V150*MAX(0,MIN($J150,15)-MAX($I150,0))/($J150-$I150))</f>
        <v/>
      </c>
      <c r="X150" s="15" t="str">
        <f aca="false">IF(OR($V150="",$I150="",$J150="",$J150&lt;=$I150),"",$V150*MAX(0,MIN($J150,30)-MAX($I150,15))/($J150-$I150))</f>
        <v/>
      </c>
      <c r="Y150" s="15" t="str">
        <f aca="false">IF(OR($V150="",$I150="",$J150="",$J150&lt;=$I150),"",$V150*MAX(0,MIN($J150,50)-MAX($I150,30))/($J150-$I150))</f>
        <v/>
      </c>
      <c r="Z150" s="15" t="str">
        <f aca="false">IF(OR($V150="",$I150="",$J150="",$J150&lt;=$I150),"",$V150*MAX(0,MIN($J150,100)-MAX($I150,50))/($J150-$I150))</f>
        <v/>
      </c>
      <c r="AA150" s="16" t="str">
        <f aca="false">IF($A150="","",IF(OR($C150="",$D150="",$D150&lt;=$C150),"CHECK: depths missing, or bottom not below top",IF(COUNTIFS($A$6:$A$205,$A150,$C$6:$C$205,$C150)&gt;1,"DUPLICATE slice",IF(COUNTIFS($A$6:$A$205,$A150,$C$6:$C$205,"&lt;"&amp;$D150,$D$6:$D$205,"&gt;"&amp;$C150)&gt;1,"OVERLAP with another slice",IF(AND($C150&gt;0,COUNTIFS($A$6:$A$205,$A150,$D$6:$D$205,$C150)=0),"GAP above this slice",IF(OR($G150="",$H150=""),"CHECK: Core ID not in Core Log, or its compaction / diameter missing",IF(AND(IF(COUNTIFS('2. Plot &amp; Core Log'!$B$6:$B$35,$A150,'2. Plot &amp; Core Log'!$L$6:$L$35,"&gt;0")=0,"",SUMIFS('2. Plot &amp; Core Log'!$L$6:$L$35,'2. Plot &amp; Core Log'!$B$6:$B$35,$A150))&lt;&gt;"",$D150&gt;IF(COUNTIFS('2. Plot &amp; Core Log'!$B$6:$B$35,$A150,'2. Plot &amp; Core Log'!$L$6:$L$35,"&gt;0")=0,"",SUMIFS('2. Plot &amp; Core Log'!$L$6:$L$35,'2. Plot &amp; Core Log'!$B$6:$B$35,$A150))),"CHECK: slice deeper than the core length on Sheet 2",IF(OR($M150="",$N150="",$O150=""),"AWAITING LAB (dry weight, carbon value or type)",IF(AND(UPPER($O150)&lt;&gt;"OC",UPPER($O150)&lt;&gt;"LOI"),IF(UPPER($O150)="TC","TC is not organic carbon — ask the lab for OC or IC","CHECK: type must be OC, TC or LOI"),IF($R150="",IF(AND(LOI_INTERCEPT&lt;&gt;"",LOI_SLOPE&lt;&gt;""),"CHECK: LOI below the range of the conversion equation (OC would be &lt; 0)","CHECK: LOI conversion not set (Instructions tab)"),IF(OR($Q150&lt;=0,$Q150&gt;2.65,$R150&gt;50),"CHECK: bulk density outside 0–2.65 g/cm3 or OC &gt; 50%","OK")))))))))))</f>
        <v/>
      </c>
    </row>
    <row r="151" customFormat="false" ht="15.75" hidden="false" customHeight="true" outlineLevel="0" collapsed="false">
      <c r="A151" s="14"/>
      <c r="B151" s="14"/>
      <c r="C151" s="24"/>
      <c r="D151" s="24"/>
      <c r="E151" s="14"/>
      <c r="F151" s="16" t="str">
        <f aca="false">IF(OR($C151="",$D151=""),"",$D151-$C151)</f>
        <v/>
      </c>
      <c r="G151" s="25" t="str">
        <f aca="false">IF($A151="","",IFERROR(INDEX('2. Plot &amp; Core Log'!$M$6:$M$35,MATCH($A151,'2. Plot &amp; Core Log'!$B$6:$B$35,0)),""))</f>
        <v/>
      </c>
      <c r="H151" s="26" t="str">
        <f aca="false">IF($A151="","",IFERROR(INDEX('2. Plot &amp; Core Log'!$S$6:$S$35,MATCH($A151,'2. Plot &amp; Core Log'!$B$6:$B$35,0)),""))</f>
        <v/>
      </c>
      <c r="I151" s="16" t="str">
        <f aca="false">IF(OR($C151="",$G151=""),"",$C151*$G151)</f>
        <v/>
      </c>
      <c r="J151" s="16" t="str">
        <f aca="false">IF(OR($D151="",$G151=""),"",$D151*$G151)</f>
        <v/>
      </c>
      <c r="K151" s="16" t="str">
        <f aca="false">IF(OR($F151="",$H151=""),"",PI()*(($H151/2)^2)*$F151)</f>
        <v/>
      </c>
      <c r="L151" s="27"/>
      <c r="M151" s="27"/>
      <c r="N151" s="27"/>
      <c r="O151" s="27"/>
      <c r="P151" s="16" t="str">
        <f aca="false">IF(OR($L151="",$M151="",$L151=0),"",(($L151-$M151)/$L151)*100)</f>
        <v/>
      </c>
      <c r="Q151" s="15" t="str">
        <f aca="false">IF(OR($M151="",$K151="",$K151=0),"",$M151/$K151)</f>
        <v/>
      </c>
      <c r="R151" s="15" t="str">
        <f aca="false">IF(OR($N151="",$O151=""),"",IF(UPPER($O151)="OC",$N151,IF(UPPER($O151)="LOI",IF(OR(LOI_INTERCEPT="",LOI_SLOPE=""),"",IF(LOI_INTERCEPT+LOI_SLOPE*$N151&lt;0,"",LOI_INTERCEPT+LOI_SLOPE*$N151)),"")))</f>
        <v/>
      </c>
      <c r="S151" s="18" t="str">
        <f aca="false">IF($R151="","",$R151*10)</f>
        <v/>
      </c>
      <c r="T151" s="28" t="str">
        <f aca="false">IF(OR($Q151="",$R151=""),"",$Q151*$R151/100)</f>
        <v/>
      </c>
      <c r="U151" s="29" t="str">
        <f aca="false">IF(OR($T151="",$F151=""),"",$T151*$F151)</f>
        <v/>
      </c>
      <c r="V151" s="15" t="str">
        <f aca="false">IF($U151="","",$U151*10)</f>
        <v/>
      </c>
      <c r="W151" s="15" t="str">
        <f aca="false">IF(OR($V151="",$I151="",$J151="",$J151&lt;=$I151),"",$V151*MAX(0,MIN($J151,15)-MAX($I151,0))/($J151-$I151))</f>
        <v/>
      </c>
      <c r="X151" s="15" t="str">
        <f aca="false">IF(OR($V151="",$I151="",$J151="",$J151&lt;=$I151),"",$V151*MAX(0,MIN($J151,30)-MAX($I151,15))/($J151-$I151))</f>
        <v/>
      </c>
      <c r="Y151" s="15" t="str">
        <f aca="false">IF(OR($V151="",$I151="",$J151="",$J151&lt;=$I151),"",$V151*MAX(0,MIN($J151,50)-MAX($I151,30))/($J151-$I151))</f>
        <v/>
      </c>
      <c r="Z151" s="15" t="str">
        <f aca="false">IF(OR($V151="",$I151="",$J151="",$J151&lt;=$I151),"",$V151*MAX(0,MIN($J151,100)-MAX($I151,50))/($J151-$I151))</f>
        <v/>
      </c>
      <c r="AA151" s="16" t="str">
        <f aca="false">IF($A151="","",IF(OR($C151="",$D151="",$D151&lt;=$C151),"CHECK: depths missing, or bottom not below top",IF(COUNTIFS($A$6:$A$205,$A151,$C$6:$C$205,$C151)&gt;1,"DUPLICATE slice",IF(COUNTIFS($A$6:$A$205,$A151,$C$6:$C$205,"&lt;"&amp;$D151,$D$6:$D$205,"&gt;"&amp;$C151)&gt;1,"OVERLAP with another slice",IF(AND($C151&gt;0,COUNTIFS($A$6:$A$205,$A151,$D$6:$D$205,$C151)=0),"GAP above this slice",IF(OR($G151="",$H151=""),"CHECK: Core ID not in Core Log, or its compaction / diameter missing",IF(AND(IF(COUNTIFS('2. Plot &amp; Core Log'!$B$6:$B$35,$A151,'2. Plot &amp; Core Log'!$L$6:$L$35,"&gt;0")=0,"",SUMIFS('2. Plot &amp; Core Log'!$L$6:$L$35,'2. Plot &amp; Core Log'!$B$6:$B$35,$A151))&lt;&gt;"",$D151&gt;IF(COUNTIFS('2. Plot &amp; Core Log'!$B$6:$B$35,$A151,'2. Plot &amp; Core Log'!$L$6:$L$35,"&gt;0")=0,"",SUMIFS('2. Plot &amp; Core Log'!$L$6:$L$35,'2. Plot &amp; Core Log'!$B$6:$B$35,$A151))),"CHECK: slice deeper than the core length on Sheet 2",IF(OR($M151="",$N151="",$O151=""),"AWAITING LAB (dry weight, carbon value or type)",IF(AND(UPPER($O151)&lt;&gt;"OC",UPPER($O151)&lt;&gt;"LOI"),IF(UPPER($O151)="TC","TC is not organic carbon — ask the lab for OC or IC","CHECK: type must be OC, TC or LOI"),IF($R151="",IF(AND(LOI_INTERCEPT&lt;&gt;"",LOI_SLOPE&lt;&gt;""),"CHECK: LOI below the range of the conversion equation (OC would be &lt; 0)","CHECK: LOI conversion not set (Instructions tab)"),IF(OR($Q151&lt;=0,$Q151&gt;2.65,$R151&gt;50),"CHECK: bulk density outside 0–2.65 g/cm3 or OC &gt; 50%","OK")))))))))))</f>
        <v/>
      </c>
    </row>
    <row r="152" customFormat="false" ht="15.75" hidden="false" customHeight="true" outlineLevel="0" collapsed="false">
      <c r="A152" s="14"/>
      <c r="B152" s="14"/>
      <c r="C152" s="24"/>
      <c r="D152" s="24"/>
      <c r="E152" s="14"/>
      <c r="F152" s="16" t="str">
        <f aca="false">IF(OR($C152="",$D152=""),"",$D152-$C152)</f>
        <v/>
      </c>
      <c r="G152" s="25" t="str">
        <f aca="false">IF($A152="","",IFERROR(INDEX('2. Plot &amp; Core Log'!$M$6:$M$35,MATCH($A152,'2. Plot &amp; Core Log'!$B$6:$B$35,0)),""))</f>
        <v/>
      </c>
      <c r="H152" s="26" t="str">
        <f aca="false">IF($A152="","",IFERROR(INDEX('2. Plot &amp; Core Log'!$S$6:$S$35,MATCH($A152,'2. Plot &amp; Core Log'!$B$6:$B$35,0)),""))</f>
        <v/>
      </c>
      <c r="I152" s="16" t="str">
        <f aca="false">IF(OR($C152="",$G152=""),"",$C152*$G152)</f>
        <v/>
      </c>
      <c r="J152" s="16" t="str">
        <f aca="false">IF(OR($D152="",$G152=""),"",$D152*$G152)</f>
        <v/>
      </c>
      <c r="K152" s="16" t="str">
        <f aca="false">IF(OR($F152="",$H152=""),"",PI()*(($H152/2)^2)*$F152)</f>
        <v/>
      </c>
      <c r="L152" s="27"/>
      <c r="M152" s="27"/>
      <c r="N152" s="27"/>
      <c r="O152" s="27"/>
      <c r="P152" s="16" t="str">
        <f aca="false">IF(OR($L152="",$M152="",$L152=0),"",(($L152-$M152)/$L152)*100)</f>
        <v/>
      </c>
      <c r="Q152" s="15" t="str">
        <f aca="false">IF(OR($M152="",$K152="",$K152=0),"",$M152/$K152)</f>
        <v/>
      </c>
      <c r="R152" s="15" t="str">
        <f aca="false">IF(OR($N152="",$O152=""),"",IF(UPPER($O152)="OC",$N152,IF(UPPER($O152)="LOI",IF(OR(LOI_INTERCEPT="",LOI_SLOPE=""),"",IF(LOI_INTERCEPT+LOI_SLOPE*$N152&lt;0,"",LOI_INTERCEPT+LOI_SLOPE*$N152)),"")))</f>
        <v/>
      </c>
      <c r="S152" s="18" t="str">
        <f aca="false">IF($R152="","",$R152*10)</f>
        <v/>
      </c>
      <c r="T152" s="28" t="str">
        <f aca="false">IF(OR($Q152="",$R152=""),"",$Q152*$R152/100)</f>
        <v/>
      </c>
      <c r="U152" s="29" t="str">
        <f aca="false">IF(OR($T152="",$F152=""),"",$T152*$F152)</f>
        <v/>
      </c>
      <c r="V152" s="15" t="str">
        <f aca="false">IF($U152="","",$U152*10)</f>
        <v/>
      </c>
      <c r="W152" s="15" t="str">
        <f aca="false">IF(OR($V152="",$I152="",$J152="",$J152&lt;=$I152),"",$V152*MAX(0,MIN($J152,15)-MAX($I152,0))/($J152-$I152))</f>
        <v/>
      </c>
      <c r="X152" s="15" t="str">
        <f aca="false">IF(OR($V152="",$I152="",$J152="",$J152&lt;=$I152),"",$V152*MAX(0,MIN($J152,30)-MAX($I152,15))/($J152-$I152))</f>
        <v/>
      </c>
      <c r="Y152" s="15" t="str">
        <f aca="false">IF(OR($V152="",$I152="",$J152="",$J152&lt;=$I152),"",$V152*MAX(0,MIN($J152,50)-MAX($I152,30))/($J152-$I152))</f>
        <v/>
      </c>
      <c r="Z152" s="15" t="str">
        <f aca="false">IF(OR($V152="",$I152="",$J152="",$J152&lt;=$I152),"",$V152*MAX(0,MIN($J152,100)-MAX($I152,50))/($J152-$I152))</f>
        <v/>
      </c>
      <c r="AA152" s="16" t="str">
        <f aca="false">IF($A152="","",IF(OR($C152="",$D152="",$D152&lt;=$C152),"CHECK: depths missing, or bottom not below top",IF(COUNTIFS($A$6:$A$205,$A152,$C$6:$C$205,$C152)&gt;1,"DUPLICATE slice",IF(COUNTIFS($A$6:$A$205,$A152,$C$6:$C$205,"&lt;"&amp;$D152,$D$6:$D$205,"&gt;"&amp;$C152)&gt;1,"OVERLAP with another slice",IF(AND($C152&gt;0,COUNTIFS($A$6:$A$205,$A152,$D$6:$D$205,$C152)=0),"GAP above this slice",IF(OR($G152="",$H152=""),"CHECK: Core ID not in Core Log, or its compaction / diameter missing",IF(AND(IF(COUNTIFS('2. Plot &amp; Core Log'!$B$6:$B$35,$A152,'2. Plot &amp; Core Log'!$L$6:$L$35,"&gt;0")=0,"",SUMIFS('2. Plot &amp; Core Log'!$L$6:$L$35,'2. Plot &amp; Core Log'!$B$6:$B$35,$A152))&lt;&gt;"",$D152&gt;IF(COUNTIFS('2. Plot &amp; Core Log'!$B$6:$B$35,$A152,'2. Plot &amp; Core Log'!$L$6:$L$35,"&gt;0")=0,"",SUMIFS('2. Plot &amp; Core Log'!$L$6:$L$35,'2. Plot &amp; Core Log'!$B$6:$B$35,$A152))),"CHECK: slice deeper than the core length on Sheet 2",IF(OR($M152="",$N152="",$O152=""),"AWAITING LAB (dry weight, carbon value or type)",IF(AND(UPPER($O152)&lt;&gt;"OC",UPPER($O152)&lt;&gt;"LOI"),IF(UPPER($O152)="TC","TC is not organic carbon — ask the lab for OC or IC","CHECK: type must be OC, TC or LOI"),IF($R152="",IF(AND(LOI_INTERCEPT&lt;&gt;"",LOI_SLOPE&lt;&gt;""),"CHECK: LOI below the range of the conversion equation (OC would be &lt; 0)","CHECK: LOI conversion not set (Instructions tab)"),IF(OR($Q152&lt;=0,$Q152&gt;2.65,$R152&gt;50),"CHECK: bulk density outside 0–2.65 g/cm3 or OC &gt; 50%","OK")))))))))))</f>
        <v/>
      </c>
    </row>
    <row r="153" customFormat="false" ht="15.75" hidden="false" customHeight="true" outlineLevel="0" collapsed="false">
      <c r="A153" s="14"/>
      <c r="B153" s="14"/>
      <c r="C153" s="24"/>
      <c r="D153" s="24"/>
      <c r="E153" s="14"/>
      <c r="F153" s="16" t="str">
        <f aca="false">IF(OR($C153="",$D153=""),"",$D153-$C153)</f>
        <v/>
      </c>
      <c r="G153" s="25" t="str">
        <f aca="false">IF($A153="","",IFERROR(INDEX('2. Plot &amp; Core Log'!$M$6:$M$35,MATCH($A153,'2. Plot &amp; Core Log'!$B$6:$B$35,0)),""))</f>
        <v/>
      </c>
      <c r="H153" s="26" t="str">
        <f aca="false">IF($A153="","",IFERROR(INDEX('2. Plot &amp; Core Log'!$S$6:$S$35,MATCH($A153,'2. Plot &amp; Core Log'!$B$6:$B$35,0)),""))</f>
        <v/>
      </c>
      <c r="I153" s="16" t="str">
        <f aca="false">IF(OR($C153="",$G153=""),"",$C153*$G153)</f>
        <v/>
      </c>
      <c r="J153" s="16" t="str">
        <f aca="false">IF(OR($D153="",$G153=""),"",$D153*$G153)</f>
        <v/>
      </c>
      <c r="K153" s="16" t="str">
        <f aca="false">IF(OR($F153="",$H153=""),"",PI()*(($H153/2)^2)*$F153)</f>
        <v/>
      </c>
      <c r="L153" s="27"/>
      <c r="M153" s="27"/>
      <c r="N153" s="27"/>
      <c r="O153" s="27"/>
      <c r="P153" s="16" t="str">
        <f aca="false">IF(OR($L153="",$M153="",$L153=0),"",(($L153-$M153)/$L153)*100)</f>
        <v/>
      </c>
      <c r="Q153" s="15" t="str">
        <f aca="false">IF(OR($M153="",$K153="",$K153=0),"",$M153/$K153)</f>
        <v/>
      </c>
      <c r="R153" s="15" t="str">
        <f aca="false">IF(OR($N153="",$O153=""),"",IF(UPPER($O153)="OC",$N153,IF(UPPER($O153)="LOI",IF(OR(LOI_INTERCEPT="",LOI_SLOPE=""),"",IF(LOI_INTERCEPT+LOI_SLOPE*$N153&lt;0,"",LOI_INTERCEPT+LOI_SLOPE*$N153)),"")))</f>
        <v/>
      </c>
      <c r="S153" s="18" t="str">
        <f aca="false">IF($R153="","",$R153*10)</f>
        <v/>
      </c>
      <c r="T153" s="28" t="str">
        <f aca="false">IF(OR($Q153="",$R153=""),"",$Q153*$R153/100)</f>
        <v/>
      </c>
      <c r="U153" s="29" t="str">
        <f aca="false">IF(OR($T153="",$F153=""),"",$T153*$F153)</f>
        <v/>
      </c>
      <c r="V153" s="15" t="str">
        <f aca="false">IF($U153="","",$U153*10)</f>
        <v/>
      </c>
      <c r="W153" s="15" t="str">
        <f aca="false">IF(OR($V153="",$I153="",$J153="",$J153&lt;=$I153),"",$V153*MAX(0,MIN($J153,15)-MAX($I153,0))/($J153-$I153))</f>
        <v/>
      </c>
      <c r="X153" s="15" t="str">
        <f aca="false">IF(OR($V153="",$I153="",$J153="",$J153&lt;=$I153),"",$V153*MAX(0,MIN($J153,30)-MAX($I153,15))/($J153-$I153))</f>
        <v/>
      </c>
      <c r="Y153" s="15" t="str">
        <f aca="false">IF(OR($V153="",$I153="",$J153="",$J153&lt;=$I153),"",$V153*MAX(0,MIN($J153,50)-MAX($I153,30))/($J153-$I153))</f>
        <v/>
      </c>
      <c r="Z153" s="15" t="str">
        <f aca="false">IF(OR($V153="",$I153="",$J153="",$J153&lt;=$I153),"",$V153*MAX(0,MIN($J153,100)-MAX($I153,50))/($J153-$I153))</f>
        <v/>
      </c>
      <c r="AA153" s="16" t="str">
        <f aca="false">IF($A153="","",IF(OR($C153="",$D153="",$D153&lt;=$C153),"CHECK: depths missing, or bottom not below top",IF(COUNTIFS($A$6:$A$205,$A153,$C$6:$C$205,$C153)&gt;1,"DUPLICATE slice",IF(COUNTIFS($A$6:$A$205,$A153,$C$6:$C$205,"&lt;"&amp;$D153,$D$6:$D$205,"&gt;"&amp;$C153)&gt;1,"OVERLAP with another slice",IF(AND($C153&gt;0,COUNTIFS($A$6:$A$205,$A153,$D$6:$D$205,$C153)=0),"GAP above this slice",IF(OR($G153="",$H153=""),"CHECK: Core ID not in Core Log, or its compaction / diameter missing",IF(AND(IF(COUNTIFS('2. Plot &amp; Core Log'!$B$6:$B$35,$A153,'2. Plot &amp; Core Log'!$L$6:$L$35,"&gt;0")=0,"",SUMIFS('2. Plot &amp; Core Log'!$L$6:$L$35,'2. Plot &amp; Core Log'!$B$6:$B$35,$A153))&lt;&gt;"",$D153&gt;IF(COUNTIFS('2. Plot &amp; Core Log'!$B$6:$B$35,$A153,'2. Plot &amp; Core Log'!$L$6:$L$35,"&gt;0")=0,"",SUMIFS('2. Plot &amp; Core Log'!$L$6:$L$35,'2. Plot &amp; Core Log'!$B$6:$B$35,$A153))),"CHECK: slice deeper than the core length on Sheet 2",IF(OR($M153="",$N153="",$O153=""),"AWAITING LAB (dry weight, carbon value or type)",IF(AND(UPPER($O153)&lt;&gt;"OC",UPPER($O153)&lt;&gt;"LOI"),IF(UPPER($O153)="TC","TC is not organic carbon — ask the lab for OC or IC","CHECK: type must be OC, TC or LOI"),IF($R153="",IF(AND(LOI_INTERCEPT&lt;&gt;"",LOI_SLOPE&lt;&gt;""),"CHECK: LOI below the range of the conversion equation (OC would be &lt; 0)","CHECK: LOI conversion not set (Instructions tab)"),IF(OR($Q153&lt;=0,$Q153&gt;2.65,$R153&gt;50),"CHECK: bulk density outside 0–2.65 g/cm3 or OC &gt; 50%","OK")))))))))))</f>
        <v/>
      </c>
    </row>
    <row r="154" customFormat="false" ht="15.75" hidden="false" customHeight="true" outlineLevel="0" collapsed="false">
      <c r="A154" s="14"/>
      <c r="B154" s="14"/>
      <c r="C154" s="24"/>
      <c r="D154" s="24"/>
      <c r="E154" s="14"/>
      <c r="F154" s="16" t="str">
        <f aca="false">IF(OR($C154="",$D154=""),"",$D154-$C154)</f>
        <v/>
      </c>
      <c r="G154" s="25" t="str">
        <f aca="false">IF($A154="","",IFERROR(INDEX('2. Plot &amp; Core Log'!$M$6:$M$35,MATCH($A154,'2. Plot &amp; Core Log'!$B$6:$B$35,0)),""))</f>
        <v/>
      </c>
      <c r="H154" s="26" t="str">
        <f aca="false">IF($A154="","",IFERROR(INDEX('2. Plot &amp; Core Log'!$S$6:$S$35,MATCH($A154,'2. Plot &amp; Core Log'!$B$6:$B$35,0)),""))</f>
        <v/>
      </c>
      <c r="I154" s="16" t="str">
        <f aca="false">IF(OR($C154="",$G154=""),"",$C154*$G154)</f>
        <v/>
      </c>
      <c r="J154" s="16" t="str">
        <f aca="false">IF(OR($D154="",$G154=""),"",$D154*$G154)</f>
        <v/>
      </c>
      <c r="K154" s="16" t="str">
        <f aca="false">IF(OR($F154="",$H154=""),"",PI()*(($H154/2)^2)*$F154)</f>
        <v/>
      </c>
      <c r="L154" s="27"/>
      <c r="M154" s="27"/>
      <c r="N154" s="27"/>
      <c r="O154" s="27"/>
      <c r="P154" s="16" t="str">
        <f aca="false">IF(OR($L154="",$M154="",$L154=0),"",(($L154-$M154)/$L154)*100)</f>
        <v/>
      </c>
      <c r="Q154" s="15" t="str">
        <f aca="false">IF(OR($M154="",$K154="",$K154=0),"",$M154/$K154)</f>
        <v/>
      </c>
      <c r="R154" s="15" t="str">
        <f aca="false">IF(OR($N154="",$O154=""),"",IF(UPPER($O154)="OC",$N154,IF(UPPER($O154)="LOI",IF(OR(LOI_INTERCEPT="",LOI_SLOPE=""),"",IF(LOI_INTERCEPT+LOI_SLOPE*$N154&lt;0,"",LOI_INTERCEPT+LOI_SLOPE*$N154)),"")))</f>
        <v/>
      </c>
      <c r="S154" s="18" t="str">
        <f aca="false">IF($R154="","",$R154*10)</f>
        <v/>
      </c>
      <c r="T154" s="28" t="str">
        <f aca="false">IF(OR($Q154="",$R154=""),"",$Q154*$R154/100)</f>
        <v/>
      </c>
      <c r="U154" s="29" t="str">
        <f aca="false">IF(OR($T154="",$F154=""),"",$T154*$F154)</f>
        <v/>
      </c>
      <c r="V154" s="15" t="str">
        <f aca="false">IF($U154="","",$U154*10)</f>
        <v/>
      </c>
      <c r="W154" s="15" t="str">
        <f aca="false">IF(OR($V154="",$I154="",$J154="",$J154&lt;=$I154),"",$V154*MAX(0,MIN($J154,15)-MAX($I154,0))/($J154-$I154))</f>
        <v/>
      </c>
      <c r="X154" s="15" t="str">
        <f aca="false">IF(OR($V154="",$I154="",$J154="",$J154&lt;=$I154),"",$V154*MAX(0,MIN($J154,30)-MAX($I154,15))/($J154-$I154))</f>
        <v/>
      </c>
      <c r="Y154" s="15" t="str">
        <f aca="false">IF(OR($V154="",$I154="",$J154="",$J154&lt;=$I154),"",$V154*MAX(0,MIN($J154,50)-MAX($I154,30))/($J154-$I154))</f>
        <v/>
      </c>
      <c r="Z154" s="15" t="str">
        <f aca="false">IF(OR($V154="",$I154="",$J154="",$J154&lt;=$I154),"",$V154*MAX(0,MIN($J154,100)-MAX($I154,50))/($J154-$I154))</f>
        <v/>
      </c>
      <c r="AA154" s="16" t="str">
        <f aca="false">IF($A154="","",IF(OR($C154="",$D154="",$D154&lt;=$C154),"CHECK: depths missing, or bottom not below top",IF(COUNTIFS($A$6:$A$205,$A154,$C$6:$C$205,$C154)&gt;1,"DUPLICATE slice",IF(COUNTIFS($A$6:$A$205,$A154,$C$6:$C$205,"&lt;"&amp;$D154,$D$6:$D$205,"&gt;"&amp;$C154)&gt;1,"OVERLAP with another slice",IF(AND($C154&gt;0,COUNTIFS($A$6:$A$205,$A154,$D$6:$D$205,$C154)=0),"GAP above this slice",IF(OR($G154="",$H154=""),"CHECK: Core ID not in Core Log, or its compaction / diameter missing",IF(AND(IF(COUNTIFS('2. Plot &amp; Core Log'!$B$6:$B$35,$A154,'2. Plot &amp; Core Log'!$L$6:$L$35,"&gt;0")=0,"",SUMIFS('2. Plot &amp; Core Log'!$L$6:$L$35,'2. Plot &amp; Core Log'!$B$6:$B$35,$A154))&lt;&gt;"",$D154&gt;IF(COUNTIFS('2. Plot &amp; Core Log'!$B$6:$B$35,$A154,'2. Plot &amp; Core Log'!$L$6:$L$35,"&gt;0")=0,"",SUMIFS('2. Plot &amp; Core Log'!$L$6:$L$35,'2. Plot &amp; Core Log'!$B$6:$B$35,$A154))),"CHECK: slice deeper than the core length on Sheet 2",IF(OR($M154="",$N154="",$O154=""),"AWAITING LAB (dry weight, carbon value or type)",IF(AND(UPPER($O154)&lt;&gt;"OC",UPPER($O154)&lt;&gt;"LOI"),IF(UPPER($O154)="TC","TC is not organic carbon — ask the lab for OC or IC","CHECK: type must be OC, TC or LOI"),IF($R154="",IF(AND(LOI_INTERCEPT&lt;&gt;"",LOI_SLOPE&lt;&gt;""),"CHECK: LOI below the range of the conversion equation (OC would be &lt; 0)","CHECK: LOI conversion not set (Instructions tab)"),IF(OR($Q154&lt;=0,$Q154&gt;2.65,$R154&gt;50),"CHECK: bulk density outside 0–2.65 g/cm3 or OC &gt; 50%","OK")))))))))))</f>
        <v/>
      </c>
    </row>
    <row r="155" customFormat="false" ht="15.75" hidden="false" customHeight="true" outlineLevel="0" collapsed="false">
      <c r="A155" s="14"/>
      <c r="B155" s="14"/>
      <c r="C155" s="24"/>
      <c r="D155" s="24"/>
      <c r="E155" s="14"/>
      <c r="F155" s="16" t="str">
        <f aca="false">IF(OR($C155="",$D155=""),"",$D155-$C155)</f>
        <v/>
      </c>
      <c r="G155" s="25" t="str">
        <f aca="false">IF($A155="","",IFERROR(INDEX('2. Plot &amp; Core Log'!$M$6:$M$35,MATCH($A155,'2. Plot &amp; Core Log'!$B$6:$B$35,0)),""))</f>
        <v/>
      </c>
      <c r="H155" s="26" t="str">
        <f aca="false">IF($A155="","",IFERROR(INDEX('2. Plot &amp; Core Log'!$S$6:$S$35,MATCH($A155,'2. Plot &amp; Core Log'!$B$6:$B$35,0)),""))</f>
        <v/>
      </c>
      <c r="I155" s="16" t="str">
        <f aca="false">IF(OR($C155="",$G155=""),"",$C155*$G155)</f>
        <v/>
      </c>
      <c r="J155" s="16" t="str">
        <f aca="false">IF(OR($D155="",$G155=""),"",$D155*$G155)</f>
        <v/>
      </c>
      <c r="K155" s="16" t="str">
        <f aca="false">IF(OR($F155="",$H155=""),"",PI()*(($H155/2)^2)*$F155)</f>
        <v/>
      </c>
      <c r="L155" s="27"/>
      <c r="M155" s="27"/>
      <c r="N155" s="27"/>
      <c r="O155" s="27"/>
      <c r="P155" s="16" t="str">
        <f aca="false">IF(OR($L155="",$M155="",$L155=0),"",(($L155-$M155)/$L155)*100)</f>
        <v/>
      </c>
      <c r="Q155" s="15" t="str">
        <f aca="false">IF(OR($M155="",$K155="",$K155=0),"",$M155/$K155)</f>
        <v/>
      </c>
      <c r="R155" s="15" t="str">
        <f aca="false">IF(OR($N155="",$O155=""),"",IF(UPPER($O155)="OC",$N155,IF(UPPER($O155)="LOI",IF(OR(LOI_INTERCEPT="",LOI_SLOPE=""),"",IF(LOI_INTERCEPT+LOI_SLOPE*$N155&lt;0,"",LOI_INTERCEPT+LOI_SLOPE*$N155)),"")))</f>
        <v/>
      </c>
      <c r="S155" s="18" t="str">
        <f aca="false">IF($R155="","",$R155*10)</f>
        <v/>
      </c>
      <c r="T155" s="28" t="str">
        <f aca="false">IF(OR($Q155="",$R155=""),"",$Q155*$R155/100)</f>
        <v/>
      </c>
      <c r="U155" s="29" t="str">
        <f aca="false">IF(OR($T155="",$F155=""),"",$T155*$F155)</f>
        <v/>
      </c>
      <c r="V155" s="15" t="str">
        <f aca="false">IF($U155="","",$U155*10)</f>
        <v/>
      </c>
      <c r="W155" s="15" t="str">
        <f aca="false">IF(OR($V155="",$I155="",$J155="",$J155&lt;=$I155),"",$V155*MAX(0,MIN($J155,15)-MAX($I155,0))/($J155-$I155))</f>
        <v/>
      </c>
      <c r="X155" s="15" t="str">
        <f aca="false">IF(OR($V155="",$I155="",$J155="",$J155&lt;=$I155),"",$V155*MAX(0,MIN($J155,30)-MAX($I155,15))/($J155-$I155))</f>
        <v/>
      </c>
      <c r="Y155" s="15" t="str">
        <f aca="false">IF(OR($V155="",$I155="",$J155="",$J155&lt;=$I155),"",$V155*MAX(0,MIN($J155,50)-MAX($I155,30))/($J155-$I155))</f>
        <v/>
      </c>
      <c r="Z155" s="15" t="str">
        <f aca="false">IF(OR($V155="",$I155="",$J155="",$J155&lt;=$I155),"",$V155*MAX(0,MIN($J155,100)-MAX($I155,50))/($J155-$I155))</f>
        <v/>
      </c>
      <c r="AA155" s="16" t="str">
        <f aca="false">IF($A155="","",IF(OR($C155="",$D155="",$D155&lt;=$C155),"CHECK: depths missing, or bottom not below top",IF(COUNTIFS($A$6:$A$205,$A155,$C$6:$C$205,$C155)&gt;1,"DUPLICATE slice",IF(COUNTIFS($A$6:$A$205,$A155,$C$6:$C$205,"&lt;"&amp;$D155,$D$6:$D$205,"&gt;"&amp;$C155)&gt;1,"OVERLAP with another slice",IF(AND($C155&gt;0,COUNTIFS($A$6:$A$205,$A155,$D$6:$D$205,$C155)=0),"GAP above this slice",IF(OR($G155="",$H155=""),"CHECK: Core ID not in Core Log, or its compaction / diameter missing",IF(AND(IF(COUNTIFS('2. Plot &amp; Core Log'!$B$6:$B$35,$A155,'2. Plot &amp; Core Log'!$L$6:$L$35,"&gt;0")=0,"",SUMIFS('2. Plot &amp; Core Log'!$L$6:$L$35,'2. Plot &amp; Core Log'!$B$6:$B$35,$A155))&lt;&gt;"",$D155&gt;IF(COUNTIFS('2. Plot &amp; Core Log'!$B$6:$B$35,$A155,'2. Plot &amp; Core Log'!$L$6:$L$35,"&gt;0")=0,"",SUMIFS('2. Plot &amp; Core Log'!$L$6:$L$35,'2. Plot &amp; Core Log'!$B$6:$B$35,$A155))),"CHECK: slice deeper than the core length on Sheet 2",IF(OR($M155="",$N155="",$O155=""),"AWAITING LAB (dry weight, carbon value or type)",IF(AND(UPPER($O155)&lt;&gt;"OC",UPPER($O155)&lt;&gt;"LOI"),IF(UPPER($O155)="TC","TC is not organic carbon — ask the lab for OC or IC","CHECK: type must be OC, TC or LOI"),IF($R155="",IF(AND(LOI_INTERCEPT&lt;&gt;"",LOI_SLOPE&lt;&gt;""),"CHECK: LOI below the range of the conversion equation (OC would be &lt; 0)","CHECK: LOI conversion not set (Instructions tab)"),IF(OR($Q155&lt;=0,$Q155&gt;2.65,$R155&gt;50),"CHECK: bulk density outside 0–2.65 g/cm3 or OC &gt; 50%","OK")))))))))))</f>
        <v/>
      </c>
    </row>
    <row r="156" customFormat="false" ht="15.75" hidden="false" customHeight="true" outlineLevel="0" collapsed="false">
      <c r="A156" s="14"/>
      <c r="B156" s="14"/>
      <c r="C156" s="24"/>
      <c r="D156" s="24"/>
      <c r="E156" s="14"/>
      <c r="F156" s="16" t="str">
        <f aca="false">IF(OR($C156="",$D156=""),"",$D156-$C156)</f>
        <v/>
      </c>
      <c r="G156" s="25" t="str">
        <f aca="false">IF($A156="","",IFERROR(INDEX('2. Plot &amp; Core Log'!$M$6:$M$35,MATCH($A156,'2. Plot &amp; Core Log'!$B$6:$B$35,0)),""))</f>
        <v/>
      </c>
      <c r="H156" s="26" t="str">
        <f aca="false">IF($A156="","",IFERROR(INDEX('2. Plot &amp; Core Log'!$S$6:$S$35,MATCH($A156,'2. Plot &amp; Core Log'!$B$6:$B$35,0)),""))</f>
        <v/>
      </c>
      <c r="I156" s="16" t="str">
        <f aca="false">IF(OR($C156="",$G156=""),"",$C156*$G156)</f>
        <v/>
      </c>
      <c r="J156" s="16" t="str">
        <f aca="false">IF(OR($D156="",$G156=""),"",$D156*$G156)</f>
        <v/>
      </c>
      <c r="K156" s="16" t="str">
        <f aca="false">IF(OR($F156="",$H156=""),"",PI()*(($H156/2)^2)*$F156)</f>
        <v/>
      </c>
      <c r="L156" s="27"/>
      <c r="M156" s="27"/>
      <c r="N156" s="27"/>
      <c r="O156" s="27"/>
      <c r="P156" s="16" t="str">
        <f aca="false">IF(OR($L156="",$M156="",$L156=0),"",(($L156-$M156)/$L156)*100)</f>
        <v/>
      </c>
      <c r="Q156" s="15" t="str">
        <f aca="false">IF(OR($M156="",$K156="",$K156=0),"",$M156/$K156)</f>
        <v/>
      </c>
      <c r="R156" s="15" t="str">
        <f aca="false">IF(OR($N156="",$O156=""),"",IF(UPPER($O156)="OC",$N156,IF(UPPER($O156)="LOI",IF(OR(LOI_INTERCEPT="",LOI_SLOPE=""),"",IF(LOI_INTERCEPT+LOI_SLOPE*$N156&lt;0,"",LOI_INTERCEPT+LOI_SLOPE*$N156)),"")))</f>
        <v/>
      </c>
      <c r="S156" s="18" t="str">
        <f aca="false">IF($R156="","",$R156*10)</f>
        <v/>
      </c>
      <c r="T156" s="28" t="str">
        <f aca="false">IF(OR($Q156="",$R156=""),"",$Q156*$R156/100)</f>
        <v/>
      </c>
      <c r="U156" s="29" t="str">
        <f aca="false">IF(OR($T156="",$F156=""),"",$T156*$F156)</f>
        <v/>
      </c>
      <c r="V156" s="15" t="str">
        <f aca="false">IF($U156="","",$U156*10)</f>
        <v/>
      </c>
      <c r="W156" s="15" t="str">
        <f aca="false">IF(OR($V156="",$I156="",$J156="",$J156&lt;=$I156),"",$V156*MAX(0,MIN($J156,15)-MAX($I156,0))/($J156-$I156))</f>
        <v/>
      </c>
      <c r="X156" s="15" t="str">
        <f aca="false">IF(OR($V156="",$I156="",$J156="",$J156&lt;=$I156),"",$V156*MAX(0,MIN($J156,30)-MAX($I156,15))/($J156-$I156))</f>
        <v/>
      </c>
      <c r="Y156" s="15" t="str">
        <f aca="false">IF(OR($V156="",$I156="",$J156="",$J156&lt;=$I156),"",$V156*MAX(0,MIN($J156,50)-MAX($I156,30))/($J156-$I156))</f>
        <v/>
      </c>
      <c r="Z156" s="15" t="str">
        <f aca="false">IF(OR($V156="",$I156="",$J156="",$J156&lt;=$I156),"",$V156*MAX(0,MIN($J156,100)-MAX($I156,50))/($J156-$I156))</f>
        <v/>
      </c>
      <c r="AA156" s="16" t="str">
        <f aca="false">IF($A156="","",IF(OR($C156="",$D156="",$D156&lt;=$C156),"CHECK: depths missing, or bottom not below top",IF(COUNTIFS($A$6:$A$205,$A156,$C$6:$C$205,$C156)&gt;1,"DUPLICATE slice",IF(COUNTIFS($A$6:$A$205,$A156,$C$6:$C$205,"&lt;"&amp;$D156,$D$6:$D$205,"&gt;"&amp;$C156)&gt;1,"OVERLAP with another slice",IF(AND($C156&gt;0,COUNTIFS($A$6:$A$205,$A156,$D$6:$D$205,$C156)=0),"GAP above this slice",IF(OR($G156="",$H156=""),"CHECK: Core ID not in Core Log, or its compaction / diameter missing",IF(AND(IF(COUNTIFS('2. Plot &amp; Core Log'!$B$6:$B$35,$A156,'2. Plot &amp; Core Log'!$L$6:$L$35,"&gt;0")=0,"",SUMIFS('2. Plot &amp; Core Log'!$L$6:$L$35,'2. Plot &amp; Core Log'!$B$6:$B$35,$A156))&lt;&gt;"",$D156&gt;IF(COUNTIFS('2. Plot &amp; Core Log'!$B$6:$B$35,$A156,'2. Plot &amp; Core Log'!$L$6:$L$35,"&gt;0")=0,"",SUMIFS('2. Plot &amp; Core Log'!$L$6:$L$35,'2. Plot &amp; Core Log'!$B$6:$B$35,$A156))),"CHECK: slice deeper than the core length on Sheet 2",IF(OR($M156="",$N156="",$O156=""),"AWAITING LAB (dry weight, carbon value or type)",IF(AND(UPPER($O156)&lt;&gt;"OC",UPPER($O156)&lt;&gt;"LOI"),IF(UPPER($O156)="TC","TC is not organic carbon — ask the lab for OC or IC","CHECK: type must be OC, TC or LOI"),IF($R156="",IF(AND(LOI_INTERCEPT&lt;&gt;"",LOI_SLOPE&lt;&gt;""),"CHECK: LOI below the range of the conversion equation (OC would be &lt; 0)","CHECK: LOI conversion not set (Instructions tab)"),IF(OR($Q156&lt;=0,$Q156&gt;2.65,$R156&gt;50),"CHECK: bulk density outside 0–2.65 g/cm3 or OC &gt; 50%","OK")))))))))))</f>
        <v/>
      </c>
    </row>
    <row r="157" customFormat="false" ht="15.75" hidden="false" customHeight="true" outlineLevel="0" collapsed="false">
      <c r="A157" s="14"/>
      <c r="B157" s="14"/>
      <c r="C157" s="24"/>
      <c r="D157" s="24"/>
      <c r="E157" s="14"/>
      <c r="F157" s="16" t="str">
        <f aca="false">IF(OR($C157="",$D157=""),"",$D157-$C157)</f>
        <v/>
      </c>
      <c r="G157" s="25" t="str">
        <f aca="false">IF($A157="","",IFERROR(INDEX('2. Plot &amp; Core Log'!$M$6:$M$35,MATCH($A157,'2. Plot &amp; Core Log'!$B$6:$B$35,0)),""))</f>
        <v/>
      </c>
      <c r="H157" s="26" t="str">
        <f aca="false">IF($A157="","",IFERROR(INDEX('2. Plot &amp; Core Log'!$S$6:$S$35,MATCH($A157,'2. Plot &amp; Core Log'!$B$6:$B$35,0)),""))</f>
        <v/>
      </c>
      <c r="I157" s="16" t="str">
        <f aca="false">IF(OR($C157="",$G157=""),"",$C157*$G157)</f>
        <v/>
      </c>
      <c r="J157" s="16" t="str">
        <f aca="false">IF(OR($D157="",$G157=""),"",$D157*$G157)</f>
        <v/>
      </c>
      <c r="K157" s="16" t="str">
        <f aca="false">IF(OR($F157="",$H157=""),"",PI()*(($H157/2)^2)*$F157)</f>
        <v/>
      </c>
      <c r="L157" s="27"/>
      <c r="M157" s="27"/>
      <c r="N157" s="27"/>
      <c r="O157" s="27"/>
      <c r="P157" s="16" t="str">
        <f aca="false">IF(OR($L157="",$M157="",$L157=0),"",(($L157-$M157)/$L157)*100)</f>
        <v/>
      </c>
      <c r="Q157" s="15" t="str">
        <f aca="false">IF(OR($M157="",$K157="",$K157=0),"",$M157/$K157)</f>
        <v/>
      </c>
      <c r="R157" s="15" t="str">
        <f aca="false">IF(OR($N157="",$O157=""),"",IF(UPPER($O157)="OC",$N157,IF(UPPER($O157)="LOI",IF(OR(LOI_INTERCEPT="",LOI_SLOPE=""),"",IF(LOI_INTERCEPT+LOI_SLOPE*$N157&lt;0,"",LOI_INTERCEPT+LOI_SLOPE*$N157)),"")))</f>
        <v/>
      </c>
      <c r="S157" s="18" t="str">
        <f aca="false">IF($R157="","",$R157*10)</f>
        <v/>
      </c>
      <c r="T157" s="28" t="str">
        <f aca="false">IF(OR($Q157="",$R157=""),"",$Q157*$R157/100)</f>
        <v/>
      </c>
      <c r="U157" s="29" t="str">
        <f aca="false">IF(OR($T157="",$F157=""),"",$T157*$F157)</f>
        <v/>
      </c>
      <c r="V157" s="15" t="str">
        <f aca="false">IF($U157="","",$U157*10)</f>
        <v/>
      </c>
      <c r="W157" s="15" t="str">
        <f aca="false">IF(OR($V157="",$I157="",$J157="",$J157&lt;=$I157),"",$V157*MAX(0,MIN($J157,15)-MAX($I157,0))/($J157-$I157))</f>
        <v/>
      </c>
      <c r="X157" s="15" t="str">
        <f aca="false">IF(OR($V157="",$I157="",$J157="",$J157&lt;=$I157),"",$V157*MAX(0,MIN($J157,30)-MAX($I157,15))/($J157-$I157))</f>
        <v/>
      </c>
      <c r="Y157" s="15" t="str">
        <f aca="false">IF(OR($V157="",$I157="",$J157="",$J157&lt;=$I157),"",$V157*MAX(0,MIN($J157,50)-MAX($I157,30))/($J157-$I157))</f>
        <v/>
      </c>
      <c r="Z157" s="15" t="str">
        <f aca="false">IF(OR($V157="",$I157="",$J157="",$J157&lt;=$I157),"",$V157*MAX(0,MIN($J157,100)-MAX($I157,50))/($J157-$I157))</f>
        <v/>
      </c>
      <c r="AA157" s="16" t="str">
        <f aca="false">IF($A157="","",IF(OR($C157="",$D157="",$D157&lt;=$C157),"CHECK: depths missing, or bottom not below top",IF(COUNTIFS($A$6:$A$205,$A157,$C$6:$C$205,$C157)&gt;1,"DUPLICATE slice",IF(COUNTIFS($A$6:$A$205,$A157,$C$6:$C$205,"&lt;"&amp;$D157,$D$6:$D$205,"&gt;"&amp;$C157)&gt;1,"OVERLAP with another slice",IF(AND($C157&gt;0,COUNTIFS($A$6:$A$205,$A157,$D$6:$D$205,$C157)=0),"GAP above this slice",IF(OR($G157="",$H157=""),"CHECK: Core ID not in Core Log, or its compaction / diameter missing",IF(AND(IF(COUNTIFS('2. Plot &amp; Core Log'!$B$6:$B$35,$A157,'2. Plot &amp; Core Log'!$L$6:$L$35,"&gt;0")=0,"",SUMIFS('2. Plot &amp; Core Log'!$L$6:$L$35,'2. Plot &amp; Core Log'!$B$6:$B$35,$A157))&lt;&gt;"",$D157&gt;IF(COUNTIFS('2. Plot &amp; Core Log'!$B$6:$B$35,$A157,'2. Plot &amp; Core Log'!$L$6:$L$35,"&gt;0")=0,"",SUMIFS('2. Plot &amp; Core Log'!$L$6:$L$35,'2. Plot &amp; Core Log'!$B$6:$B$35,$A157))),"CHECK: slice deeper than the core length on Sheet 2",IF(OR($M157="",$N157="",$O157=""),"AWAITING LAB (dry weight, carbon value or type)",IF(AND(UPPER($O157)&lt;&gt;"OC",UPPER($O157)&lt;&gt;"LOI"),IF(UPPER($O157)="TC","TC is not organic carbon — ask the lab for OC or IC","CHECK: type must be OC, TC or LOI"),IF($R157="",IF(AND(LOI_INTERCEPT&lt;&gt;"",LOI_SLOPE&lt;&gt;""),"CHECK: LOI below the range of the conversion equation (OC would be &lt; 0)","CHECK: LOI conversion not set (Instructions tab)"),IF(OR($Q157&lt;=0,$Q157&gt;2.65,$R157&gt;50),"CHECK: bulk density outside 0–2.65 g/cm3 or OC &gt; 50%","OK")))))))))))</f>
        <v/>
      </c>
    </row>
    <row r="158" customFormat="false" ht="15.75" hidden="false" customHeight="true" outlineLevel="0" collapsed="false">
      <c r="A158" s="14"/>
      <c r="B158" s="14"/>
      <c r="C158" s="24"/>
      <c r="D158" s="24"/>
      <c r="E158" s="14"/>
      <c r="F158" s="16" t="str">
        <f aca="false">IF(OR($C158="",$D158=""),"",$D158-$C158)</f>
        <v/>
      </c>
      <c r="G158" s="25" t="str">
        <f aca="false">IF($A158="","",IFERROR(INDEX('2. Plot &amp; Core Log'!$M$6:$M$35,MATCH($A158,'2. Plot &amp; Core Log'!$B$6:$B$35,0)),""))</f>
        <v/>
      </c>
      <c r="H158" s="26" t="str">
        <f aca="false">IF($A158="","",IFERROR(INDEX('2. Plot &amp; Core Log'!$S$6:$S$35,MATCH($A158,'2. Plot &amp; Core Log'!$B$6:$B$35,0)),""))</f>
        <v/>
      </c>
      <c r="I158" s="16" t="str">
        <f aca="false">IF(OR($C158="",$G158=""),"",$C158*$G158)</f>
        <v/>
      </c>
      <c r="J158" s="16" t="str">
        <f aca="false">IF(OR($D158="",$G158=""),"",$D158*$G158)</f>
        <v/>
      </c>
      <c r="K158" s="16" t="str">
        <f aca="false">IF(OR($F158="",$H158=""),"",PI()*(($H158/2)^2)*$F158)</f>
        <v/>
      </c>
      <c r="L158" s="27"/>
      <c r="M158" s="27"/>
      <c r="N158" s="27"/>
      <c r="O158" s="27"/>
      <c r="P158" s="16" t="str">
        <f aca="false">IF(OR($L158="",$M158="",$L158=0),"",(($L158-$M158)/$L158)*100)</f>
        <v/>
      </c>
      <c r="Q158" s="15" t="str">
        <f aca="false">IF(OR($M158="",$K158="",$K158=0),"",$M158/$K158)</f>
        <v/>
      </c>
      <c r="R158" s="15" t="str">
        <f aca="false">IF(OR($N158="",$O158=""),"",IF(UPPER($O158)="OC",$N158,IF(UPPER($O158)="LOI",IF(OR(LOI_INTERCEPT="",LOI_SLOPE=""),"",IF(LOI_INTERCEPT+LOI_SLOPE*$N158&lt;0,"",LOI_INTERCEPT+LOI_SLOPE*$N158)),"")))</f>
        <v/>
      </c>
      <c r="S158" s="18" t="str">
        <f aca="false">IF($R158="","",$R158*10)</f>
        <v/>
      </c>
      <c r="T158" s="28" t="str">
        <f aca="false">IF(OR($Q158="",$R158=""),"",$Q158*$R158/100)</f>
        <v/>
      </c>
      <c r="U158" s="29" t="str">
        <f aca="false">IF(OR($T158="",$F158=""),"",$T158*$F158)</f>
        <v/>
      </c>
      <c r="V158" s="15" t="str">
        <f aca="false">IF($U158="","",$U158*10)</f>
        <v/>
      </c>
      <c r="W158" s="15" t="str">
        <f aca="false">IF(OR($V158="",$I158="",$J158="",$J158&lt;=$I158),"",$V158*MAX(0,MIN($J158,15)-MAX($I158,0))/($J158-$I158))</f>
        <v/>
      </c>
      <c r="X158" s="15" t="str">
        <f aca="false">IF(OR($V158="",$I158="",$J158="",$J158&lt;=$I158),"",$V158*MAX(0,MIN($J158,30)-MAX($I158,15))/($J158-$I158))</f>
        <v/>
      </c>
      <c r="Y158" s="15" t="str">
        <f aca="false">IF(OR($V158="",$I158="",$J158="",$J158&lt;=$I158),"",$V158*MAX(0,MIN($J158,50)-MAX($I158,30))/($J158-$I158))</f>
        <v/>
      </c>
      <c r="Z158" s="15" t="str">
        <f aca="false">IF(OR($V158="",$I158="",$J158="",$J158&lt;=$I158),"",$V158*MAX(0,MIN($J158,100)-MAX($I158,50))/($J158-$I158))</f>
        <v/>
      </c>
      <c r="AA158" s="16" t="str">
        <f aca="false">IF($A158="","",IF(OR($C158="",$D158="",$D158&lt;=$C158),"CHECK: depths missing, or bottom not below top",IF(COUNTIFS($A$6:$A$205,$A158,$C$6:$C$205,$C158)&gt;1,"DUPLICATE slice",IF(COUNTIFS($A$6:$A$205,$A158,$C$6:$C$205,"&lt;"&amp;$D158,$D$6:$D$205,"&gt;"&amp;$C158)&gt;1,"OVERLAP with another slice",IF(AND($C158&gt;0,COUNTIFS($A$6:$A$205,$A158,$D$6:$D$205,$C158)=0),"GAP above this slice",IF(OR($G158="",$H158=""),"CHECK: Core ID not in Core Log, or its compaction / diameter missing",IF(AND(IF(COUNTIFS('2. Plot &amp; Core Log'!$B$6:$B$35,$A158,'2. Plot &amp; Core Log'!$L$6:$L$35,"&gt;0")=0,"",SUMIFS('2. Plot &amp; Core Log'!$L$6:$L$35,'2. Plot &amp; Core Log'!$B$6:$B$35,$A158))&lt;&gt;"",$D158&gt;IF(COUNTIFS('2. Plot &amp; Core Log'!$B$6:$B$35,$A158,'2. Plot &amp; Core Log'!$L$6:$L$35,"&gt;0")=0,"",SUMIFS('2. Plot &amp; Core Log'!$L$6:$L$35,'2. Plot &amp; Core Log'!$B$6:$B$35,$A158))),"CHECK: slice deeper than the core length on Sheet 2",IF(OR($M158="",$N158="",$O158=""),"AWAITING LAB (dry weight, carbon value or type)",IF(AND(UPPER($O158)&lt;&gt;"OC",UPPER($O158)&lt;&gt;"LOI"),IF(UPPER($O158)="TC","TC is not organic carbon — ask the lab for OC or IC","CHECK: type must be OC, TC or LOI"),IF($R158="",IF(AND(LOI_INTERCEPT&lt;&gt;"",LOI_SLOPE&lt;&gt;""),"CHECK: LOI below the range of the conversion equation (OC would be &lt; 0)","CHECK: LOI conversion not set (Instructions tab)"),IF(OR($Q158&lt;=0,$Q158&gt;2.65,$R158&gt;50),"CHECK: bulk density outside 0–2.65 g/cm3 or OC &gt; 50%","OK")))))))))))</f>
        <v/>
      </c>
    </row>
    <row r="159" customFormat="false" ht="15.75" hidden="false" customHeight="true" outlineLevel="0" collapsed="false">
      <c r="A159" s="14"/>
      <c r="B159" s="14"/>
      <c r="C159" s="24"/>
      <c r="D159" s="24"/>
      <c r="E159" s="14"/>
      <c r="F159" s="16" t="str">
        <f aca="false">IF(OR($C159="",$D159=""),"",$D159-$C159)</f>
        <v/>
      </c>
      <c r="G159" s="25" t="str">
        <f aca="false">IF($A159="","",IFERROR(INDEX('2. Plot &amp; Core Log'!$M$6:$M$35,MATCH($A159,'2. Plot &amp; Core Log'!$B$6:$B$35,0)),""))</f>
        <v/>
      </c>
      <c r="H159" s="26" t="str">
        <f aca="false">IF($A159="","",IFERROR(INDEX('2. Plot &amp; Core Log'!$S$6:$S$35,MATCH($A159,'2. Plot &amp; Core Log'!$B$6:$B$35,0)),""))</f>
        <v/>
      </c>
      <c r="I159" s="16" t="str">
        <f aca="false">IF(OR($C159="",$G159=""),"",$C159*$G159)</f>
        <v/>
      </c>
      <c r="J159" s="16" t="str">
        <f aca="false">IF(OR($D159="",$G159=""),"",$D159*$G159)</f>
        <v/>
      </c>
      <c r="K159" s="16" t="str">
        <f aca="false">IF(OR($F159="",$H159=""),"",PI()*(($H159/2)^2)*$F159)</f>
        <v/>
      </c>
      <c r="L159" s="27"/>
      <c r="M159" s="27"/>
      <c r="N159" s="27"/>
      <c r="O159" s="27"/>
      <c r="P159" s="16" t="str">
        <f aca="false">IF(OR($L159="",$M159="",$L159=0),"",(($L159-$M159)/$L159)*100)</f>
        <v/>
      </c>
      <c r="Q159" s="15" t="str">
        <f aca="false">IF(OR($M159="",$K159="",$K159=0),"",$M159/$K159)</f>
        <v/>
      </c>
      <c r="R159" s="15" t="str">
        <f aca="false">IF(OR($N159="",$O159=""),"",IF(UPPER($O159)="OC",$N159,IF(UPPER($O159)="LOI",IF(OR(LOI_INTERCEPT="",LOI_SLOPE=""),"",IF(LOI_INTERCEPT+LOI_SLOPE*$N159&lt;0,"",LOI_INTERCEPT+LOI_SLOPE*$N159)),"")))</f>
        <v/>
      </c>
      <c r="S159" s="18" t="str">
        <f aca="false">IF($R159="","",$R159*10)</f>
        <v/>
      </c>
      <c r="T159" s="28" t="str">
        <f aca="false">IF(OR($Q159="",$R159=""),"",$Q159*$R159/100)</f>
        <v/>
      </c>
      <c r="U159" s="29" t="str">
        <f aca="false">IF(OR($T159="",$F159=""),"",$T159*$F159)</f>
        <v/>
      </c>
      <c r="V159" s="15" t="str">
        <f aca="false">IF($U159="","",$U159*10)</f>
        <v/>
      </c>
      <c r="W159" s="15" t="str">
        <f aca="false">IF(OR($V159="",$I159="",$J159="",$J159&lt;=$I159),"",$V159*MAX(0,MIN($J159,15)-MAX($I159,0))/($J159-$I159))</f>
        <v/>
      </c>
      <c r="X159" s="15" t="str">
        <f aca="false">IF(OR($V159="",$I159="",$J159="",$J159&lt;=$I159),"",$V159*MAX(0,MIN($J159,30)-MAX($I159,15))/($J159-$I159))</f>
        <v/>
      </c>
      <c r="Y159" s="15" t="str">
        <f aca="false">IF(OR($V159="",$I159="",$J159="",$J159&lt;=$I159),"",$V159*MAX(0,MIN($J159,50)-MAX($I159,30))/($J159-$I159))</f>
        <v/>
      </c>
      <c r="Z159" s="15" t="str">
        <f aca="false">IF(OR($V159="",$I159="",$J159="",$J159&lt;=$I159),"",$V159*MAX(0,MIN($J159,100)-MAX($I159,50))/($J159-$I159))</f>
        <v/>
      </c>
      <c r="AA159" s="16" t="str">
        <f aca="false">IF($A159="","",IF(OR($C159="",$D159="",$D159&lt;=$C159),"CHECK: depths missing, or bottom not below top",IF(COUNTIFS($A$6:$A$205,$A159,$C$6:$C$205,$C159)&gt;1,"DUPLICATE slice",IF(COUNTIFS($A$6:$A$205,$A159,$C$6:$C$205,"&lt;"&amp;$D159,$D$6:$D$205,"&gt;"&amp;$C159)&gt;1,"OVERLAP with another slice",IF(AND($C159&gt;0,COUNTIFS($A$6:$A$205,$A159,$D$6:$D$205,$C159)=0),"GAP above this slice",IF(OR($G159="",$H159=""),"CHECK: Core ID not in Core Log, or its compaction / diameter missing",IF(AND(IF(COUNTIFS('2. Plot &amp; Core Log'!$B$6:$B$35,$A159,'2. Plot &amp; Core Log'!$L$6:$L$35,"&gt;0")=0,"",SUMIFS('2. Plot &amp; Core Log'!$L$6:$L$35,'2. Plot &amp; Core Log'!$B$6:$B$35,$A159))&lt;&gt;"",$D159&gt;IF(COUNTIFS('2. Plot &amp; Core Log'!$B$6:$B$35,$A159,'2. Plot &amp; Core Log'!$L$6:$L$35,"&gt;0")=0,"",SUMIFS('2. Plot &amp; Core Log'!$L$6:$L$35,'2. Plot &amp; Core Log'!$B$6:$B$35,$A159))),"CHECK: slice deeper than the core length on Sheet 2",IF(OR($M159="",$N159="",$O159=""),"AWAITING LAB (dry weight, carbon value or type)",IF(AND(UPPER($O159)&lt;&gt;"OC",UPPER($O159)&lt;&gt;"LOI"),IF(UPPER($O159)="TC","TC is not organic carbon — ask the lab for OC or IC","CHECK: type must be OC, TC or LOI"),IF($R159="",IF(AND(LOI_INTERCEPT&lt;&gt;"",LOI_SLOPE&lt;&gt;""),"CHECK: LOI below the range of the conversion equation (OC would be &lt; 0)","CHECK: LOI conversion not set (Instructions tab)"),IF(OR($Q159&lt;=0,$Q159&gt;2.65,$R159&gt;50),"CHECK: bulk density outside 0–2.65 g/cm3 or OC &gt; 50%","OK")))))))))))</f>
        <v/>
      </c>
    </row>
    <row r="160" customFormat="false" ht="15.75" hidden="false" customHeight="true" outlineLevel="0" collapsed="false">
      <c r="A160" s="14"/>
      <c r="B160" s="14"/>
      <c r="C160" s="24"/>
      <c r="D160" s="24"/>
      <c r="E160" s="14"/>
      <c r="F160" s="16" t="str">
        <f aca="false">IF(OR($C160="",$D160=""),"",$D160-$C160)</f>
        <v/>
      </c>
      <c r="G160" s="25" t="str">
        <f aca="false">IF($A160="","",IFERROR(INDEX('2. Plot &amp; Core Log'!$M$6:$M$35,MATCH($A160,'2. Plot &amp; Core Log'!$B$6:$B$35,0)),""))</f>
        <v/>
      </c>
      <c r="H160" s="26" t="str">
        <f aca="false">IF($A160="","",IFERROR(INDEX('2. Plot &amp; Core Log'!$S$6:$S$35,MATCH($A160,'2. Plot &amp; Core Log'!$B$6:$B$35,0)),""))</f>
        <v/>
      </c>
      <c r="I160" s="16" t="str">
        <f aca="false">IF(OR($C160="",$G160=""),"",$C160*$G160)</f>
        <v/>
      </c>
      <c r="J160" s="16" t="str">
        <f aca="false">IF(OR($D160="",$G160=""),"",$D160*$G160)</f>
        <v/>
      </c>
      <c r="K160" s="16" t="str">
        <f aca="false">IF(OR($F160="",$H160=""),"",PI()*(($H160/2)^2)*$F160)</f>
        <v/>
      </c>
      <c r="L160" s="27"/>
      <c r="M160" s="27"/>
      <c r="N160" s="27"/>
      <c r="O160" s="27"/>
      <c r="P160" s="16" t="str">
        <f aca="false">IF(OR($L160="",$M160="",$L160=0),"",(($L160-$M160)/$L160)*100)</f>
        <v/>
      </c>
      <c r="Q160" s="15" t="str">
        <f aca="false">IF(OR($M160="",$K160="",$K160=0),"",$M160/$K160)</f>
        <v/>
      </c>
      <c r="R160" s="15" t="str">
        <f aca="false">IF(OR($N160="",$O160=""),"",IF(UPPER($O160)="OC",$N160,IF(UPPER($O160)="LOI",IF(OR(LOI_INTERCEPT="",LOI_SLOPE=""),"",IF(LOI_INTERCEPT+LOI_SLOPE*$N160&lt;0,"",LOI_INTERCEPT+LOI_SLOPE*$N160)),"")))</f>
        <v/>
      </c>
      <c r="S160" s="18" t="str">
        <f aca="false">IF($R160="","",$R160*10)</f>
        <v/>
      </c>
      <c r="T160" s="28" t="str">
        <f aca="false">IF(OR($Q160="",$R160=""),"",$Q160*$R160/100)</f>
        <v/>
      </c>
      <c r="U160" s="29" t="str">
        <f aca="false">IF(OR($T160="",$F160=""),"",$T160*$F160)</f>
        <v/>
      </c>
      <c r="V160" s="15" t="str">
        <f aca="false">IF($U160="","",$U160*10)</f>
        <v/>
      </c>
      <c r="W160" s="15" t="str">
        <f aca="false">IF(OR($V160="",$I160="",$J160="",$J160&lt;=$I160),"",$V160*MAX(0,MIN($J160,15)-MAX($I160,0))/($J160-$I160))</f>
        <v/>
      </c>
      <c r="X160" s="15" t="str">
        <f aca="false">IF(OR($V160="",$I160="",$J160="",$J160&lt;=$I160),"",$V160*MAX(0,MIN($J160,30)-MAX($I160,15))/($J160-$I160))</f>
        <v/>
      </c>
      <c r="Y160" s="15" t="str">
        <f aca="false">IF(OR($V160="",$I160="",$J160="",$J160&lt;=$I160),"",$V160*MAX(0,MIN($J160,50)-MAX($I160,30))/($J160-$I160))</f>
        <v/>
      </c>
      <c r="Z160" s="15" t="str">
        <f aca="false">IF(OR($V160="",$I160="",$J160="",$J160&lt;=$I160),"",$V160*MAX(0,MIN($J160,100)-MAX($I160,50))/($J160-$I160))</f>
        <v/>
      </c>
      <c r="AA160" s="16" t="str">
        <f aca="false">IF($A160="","",IF(OR($C160="",$D160="",$D160&lt;=$C160),"CHECK: depths missing, or bottom not below top",IF(COUNTIFS($A$6:$A$205,$A160,$C$6:$C$205,$C160)&gt;1,"DUPLICATE slice",IF(COUNTIFS($A$6:$A$205,$A160,$C$6:$C$205,"&lt;"&amp;$D160,$D$6:$D$205,"&gt;"&amp;$C160)&gt;1,"OVERLAP with another slice",IF(AND($C160&gt;0,COUNTIFS($A$6:$A$205,$A160,$D$6:$D$205,$C160)=0),"GAP above this slice",IF(OR($G160="",$H160=""),"CHECK: Core ID not in Core Log, or its compaction / diameter missing",IF(AND(IF(COUNTIFS('2. Plot &amp; Core Log'!$B$6:$B$35,$A160,'2. Plot &amp; Core Log'!$L$6:$L$35,"&gt;0")=0,"",SUMIFS('2. Plot &amp; Core Log'!$L$6:$L$35,'2. Plot &amp; Core Log'!$B$6:$B$35,$A160))&lt;&gt;"",$D160&gt;IF(COUNTIFS('2. Plot &amp; Core Log'!$B$6:$B$35,$A160,'2. Plot &amp; Core Log'!$L$6:$L$35,"&gt;0")=0,"",SUMIFS('2. Plot &amp; Core Log'!$L$6:$L$35,'2. Plot &amp; Core Log'!$B$6:$B$35,$A160))),"CHECK: slice deeper than the core length on Sheet 2",IF(OR($M160="",$N160="",$O160=""),"AWAITING LAB (dry weight, carbon value or type)",IF(AND(UPPER($O160)&lt;&gt;"OC",UPPER($O160)&lt;&gt;"LOI"),IF(UPPER($O160)="TC","TC is not organic carbon — ask the lab for OC or IC","CHECK: type must be OC, TC or LOI"),IF($R160="",IF(AND(LOI_INTERCEPT&lt;&gt;"",LOI_SLOPE&lt;&gt;""),"CHECK: LOI below the range of the conversion equation (OC would be &lt; 0)","CHECK: LOI conversion not set (Instructions tab)"),IF(OR($Q160&lt;=0,$Q160&gt;2.65,$R160&gt;50),"CHECK: bulk density outside 0–2.65 g/cm3 or OC &gt; 50%","OK")))))))))))</f>
        <v/>
      </c>
    </row>
    <row r="161" customFormat="false" ht="15.75" hidden="false" customHeight="true" outlineLevel="0" collapsed="false">
      <c r="A161" s="14"/>
      <c r="B161" s="14"/>
      <c r="C161" s="24"/>
      <c r="D161" s="24"/>
      <c r="E161" s="14"/>
      <c r="F161" s="16" t="str">
        <f aca="false">IF(OR($C161="",$D161=""),"",$D161-$C161)</f>
        <v/>
      </c>
      <c r="G161" s="25" t="str">
        <f aca="false">IF($A161="","",IFERROR(INDEX('2. Plot &amp; Core Log'!$M$6:$M$35,MATCH($A161,'2. Plot &amp; Core Log'!$B$6:$B$35,0)),""))</f>
        <v/>
      </c>
      <c r="H161" s="26" t="str">
        <f aca="false">IF($A161="","",IFERROR(INDEX('2. Plot &amp; Core Log'!$S$6:$S$35,MATCH($A161,'2. Plot &amp; Core Log'!$B$6:$B$35,0)),""))</f>
        <v/>
      </c>
      <c r="I161" s="16" t="str">
        <f aca="false">IF(OR($C161="",$G161=""),"",$C161*$G161)</f>
        <v/>
      </c>
      <c r="J161" s="16" t="str">
        <f aca="false">IF(OR($D161="",$G161=""),"",$D161*$G161)</f>
        <v/>
      </c>
      <c r="K161" s="16" t="str">
        <f aca="false">IF(OR($F161="",$H161=""),"",PI()*(($H161/2)^2)*$F161)</f>
        <v/>
      </c>
      <c r="L161" s="27"/>
      <c r="M161" s="27"/>
      <c r="N161" s="27"/>
      <c r="O161" s="27"/>
      <c r="P161" s="16" t="str">
        <f aca="false">IF(OR($L161="",$M161="",$L161=0),"",(($L161-$M161)/$L161)*100)</f>
        <v/>
      </c>
      <c r="Q161" s="15" t="str">
        <f aca="false">IF(OR($M161="",$K161="",$K161=0),"",$M161/$K161)</f>
        <v/>
      </c>
      <c r="R161" s="15" t="str">
        <f aca="false">IF(OR($N161="",$O161=""),"",IF(UPPER($O161)="OC",$N161,IF(UPPER($O161)="LOI",IF(OR(LOI_INTERCEPT="",LOI_SLOPE=""),"",IF(LOI_INTERCEPT+LOI_SLOPE*$N161&lt;0,"",LOI_INTERCEPT+LOI_SLOPE*$N161)),"")))</f>
        <v/>
      </c>
      <c r="S161" s="18" t="str">
        <f aca="false">IF($R161="","",$R161*10)</f>
        <v/>
      </c>
      <c r="T161" s="28" t="str">
        <f aca="false">IF(OR($Q161="",$R161=""),"",$Q161*$R161/100)</f>
        <v/>
      </c>
      <c r="U161" s="29" t="str">
        <f aca="false">IF(OR($T161="",$F161=""),"",$T161*$F161)</f>
        <v/>
      </c>
      <c r="V161" s="15" t="str">
        <f aca="false">IF($U161="","",$U161*10)</f>
        <v/>
      </c>
      <c r="W161" s="15" t="str">
        <f aca="false">IF(OR($V161="",$I161="",$J161="",$J161&lt;=$I161),"",$V161*MAX(0,MIN($J161,15)-MAX($I161,0))/($J161-$I161))</f>
        <v/>
      </c>
      <c r="X161" s="15" t="str">
        <f aca="false">IF(OR($V161="",$I161="",$J161="",$J161&lt;=$I161),"",$V161*MAX(0,MIN($J161,30)-MAX($I161,15))/($J161-$I161))</f>
        <v/>
      </c>
      <c r="Y161" s="15" t="str">
        <f aca="false">IF(OR($V161="",$I161="",$J161="",$J161&lt;=$I161),"",$V161*MAX(0,MIN($J161,50)-MAX($I161,30))/($J161-$I161))</f>
        <v/>
      </c>
      <c r="Z161" s="15" t="str">
        <f aca="false">IF(OR($V161="",$I161="",$J161="",$J161&lt;=$I161),"",$V161*MAX(0,MIN($J161,100)-MAX($I161,50))/($J161-$I161))</f>
        <v/>
      </c>
      <c r="AA161" s="16" t="str">
        <f aca="false">IF($A161="","",IF(OR($C161="",$D161="",$D161&lt;=$C161),"CHECK: depths missing, or bottom not below top",IF(COUNTIFS($A$6:$A$205,$A161,$C$6:$C$205,$C161)&gt;1,"DUPLICATE slice",IF(COUNTIFS($A$6:$A$205,$A161,$C$6:$C$205,"&lt;"&amp;$D161,$D$6:$D$205,"&gt;"&amp;$C161)&gt;1,"OVERLAP with another slice",IF(AND($C161&gt;0,COUNTIFS($A$6:$A$205,$A161,$D$6:$D$205,$C161)=0),"GAP above this slice",IF(OR($G161="",$H161=""),"CHECK: Core ID not in Core Log, or its compaction / diameter missing",IF(AND(IF(COUNTIFS('2. Plot &amp; Core Log'!$B$6:$B$35,$A161,'2. Plot &amp; Core Log'!$L$6:$L$35,"&gt;0")=0,"",SUMIFS('2. Plot &amp; Core Log'!$L$6:$L$35,'2. Plot &amp; Core Log'!$B$6:$B$35,$A161))&lt;&gt;"",$D161&gt;IF(COUNTIFS('2. Plot &amp; Core Log'!$B$6:$B$35,$A161,'2. Plot &amp; Core Log'!$L$6:$L$35,"&gt;0")=0,"",SUMIFS('2. Plot &amp; Core Log'!$L$6:$L$35,'2. Plot &amp; Core Log'!$B$6:$B$35,$A161))),"CHECK: slice deeper than the core length on Sheet 2",IF(OR($M161="",$N161="",$O161=""),"AWAITING LAB (dry weight, carbon value or type)",IF(AND(UPPER($O161)&lt;&gt;"OC",UPPER($O161)&lt;&gt;"LOI"),IF(UPPER($O161)="TC","TC is not organic carbon — ask the lab for OC or IC","CHECK: type must be OC, TC or LOI"),IF($R161="",IF(AND(LOI_INTERCEPT&lt;&gt;"",LOI_SLOPE&lt;&gt;""),"CHECK: LOI below the range of the conversion equation (OC would be &lt; 0)","CHECK: LOI conversion not set (Instructions tab)"),IF(OR($Q161&lt;=0,$Q161&gt;2.65,$R161&gt;50),"CHECK: bulk density outside 0–2.65 g/cm3 or OC &gt; 50%","OK")))))))))))</f>
        <v/>
      </c>
    </row>
    <row r="162" customFormat="false" ht="15.75" hidden="false" customHeight="true" outlineLevel="0" collapsed="false">
      <c r="A162" s="14"/>
      <c r="B162" s="14"/>
      <c r="C162" s="24"/>
      <c r="D162" s="24"/>
      <c r="E162" s="14"/>
      <c r="F162" s="16" t="str">
        <f aca="false">IF(OR($C162="",$D162=""),"",$D162-$C162)</f>
        <v/>
      </c>
      <c r="G162" s="25" t="str">
        <f aca="false">IF($A162="","",IFERROR(INDEX('2. Plot &amp; Core Log'!$M$6:$M$35,MATCH($A162,'2. Plot &amp; Core Log'!$B$6:$B$35,0)),""))</f>
        <v/>
      </c>
      <c r="H162" s="26" t="str">
        <f aca="false">IF($A162="","",IFERROR(INDEX('2. Plot &amp; Core Log'!$S$6:$S$35,MATCH($A162,'2. Plot &amp; Core Log'!$B$6:$B$35,0)),""))</f>
        <v/>
      </c>
      <c r="I162" s="16" t="str">
        <f aca="false">IF(OR($C162="",$G162=""),"",$C162*$G162)</f>
        <v/>
      </c>
      <c r="J162" s="16" t="str">
        <f aca="false">IF(OR($D162="",$G162=""),"",$D162*$G162)</f>
        <v/>
      </c>
      <c r="K162" s="16" t="str">
        <f aca="false">IF(OR($F162="",$H162=""),"",PI()*(($H162/2)^2)*$F162)</f>
        <v/>
      </c>
      <c r="L162" s="27"/>
      <c r="M162" s="27"/>
      <c r="N162" s="27"/>
      <c r="O162" s="27"/>
      <c r="P162" s="16" t="str">
        <f aca="false">IF(OR($L162="",$M162="",$L162=0),"",(($L162-$M162)/$L162)*100)</f>
        <v/>
      </c>
      <c r="Q162" s="15" t="str">
        <f aca="false">IF(OR($M162="",$K162="",$K162=0),"",$M162/$K162)</f>
        <v/>
      </c>
      <c r="R162" s="15" t="str">
        <f aca="false">IF(OR($N162="",$O162=""),"",IF(UPPER($O162)="OC",$N162,IF(UPPER($O162)="LOI",IF(OR(LOI_INTERCEPT="",LOI_SLOPE=""),"",IF(LOI_INTERCEPT+LOI_SLOPE*$N162&lt;0,"",LOI_INTERCEPT+LOI_SLOPE*$N162)),"")))</f>
        <v/>
      </c>
      <c r="S162" s="18" t="str">
        <f aca="false">IF($R162="","",$R162*10)</f>
        <v/>
      </c>
      <c r="T162" s="28" t="str">
        <f aca="false">IF(OR($Q162="",$R162=""),"",$Q162*$R162/100)</f>
        <v/>
      </c>
      <c r="U162" s="29" t="str">
        <f aca="false">IF(OR($T162="",$F162=""),"",$T162*$F162)</f>
        <v/>
      </c>
      <c r="V162" s="15" t="str">
        <f aca="false">IF($U162="","",$U162*10)</f>
        <v/>
      </c>
      <c r="W162" s="15" t="str">
        <f aca="false">IF(OR($V162="",$I162="",$J162="",$J162&lt;=$I162),"",$V162*MAX(0,MIN($J162,15)-MAX($I162,0))/($J162-$I162))</f>
        <v/>
      </c>
      <c r="X162" s="15" t="str">
        <f aca="false">IF(OR($V162="",$I162="",$J162="",$J162&lt;=$I162),"",$V162*MAX(0,MIN($J162,30)-MAX($I162,15))/($J162-$I162))</f>
        <v/>
      </c>
      <c r="Y162" s="15" t="str">
        <f aca="false">IF(OR($V162="",$I162="",$J162="",$J162&lt;=$I162),"",$V162*MAX(0,MIN($J162,50)-MAX($I162,30))/($J162-$I162))</f>
        <v/>
      </c>
      <c r="Z162" s="15" t="str">
        <f aca="false">IF(OR($V162="",$I162="",$J162="",$J162&lt;=$I162),"",$V162*MAX(0,MIN($J162,100)-MAX($I162,50))/($J162-$I162))</f>
        <v/>
      </c>
      <c r="AA162" s="16" t="str">
        <f aca="false">IF($A162="","",IF(OR($C162="",$D162="",$D162&lt;=$C162),"CHECK: depths missing, or bottom not below top",IF(COUNTIFS($A$6:$A$205,$A162,$C$6:$C$205,$C162)&gt;1,"DUPLICATE slice",IF(COUNTIFS($A$6:$A$205,$A162,$C$6:$C$205,"&lt;"&amp;$D162,$D$6:$D$205,"&gt;"&amp;$C162)&gt;1,"OVERLAP with another slice",IF(AND($C162&gt;0,COUNTIFS($A$6:$A$205,$A162,$D$6:$D$205,$C162)=0),"GAP above this slice",IF(OR($G162="",$H162=""),"CHECK: Core ID not in Core Log, or its compaction / diameter missing",IF(AND(IF(COUNTIFS('2. Plot &amp; Core Log'!$B$6:$B$35,$A162,'2. Plot &amp; Core Log'!$L$6:$L$35,"&gt;0")=0,"",SUMIFS('2. Plot &amp; Core Log'!$L$6:$L$35,'2. Plot &amp; Core Log'!$B$6:$B$35,$A162))&lt;&gt;"",$D162&gt;IF(COUNTIFS('2. Plot &amp; Core Log'!$B$6:$B$35,$A162,'2. Plot &amp; Core Log'!$L$6:$L$35,"&gt;0")=0,"",SUMIFS('2. Plot &amp; Core Log'!$L$6:$L$35,'2. Plot &amp; Core Log'!$B$6:$B$35,$A162))),"CHECK: slice deeper than the core length on Sheet 2",IF(OR($M162="",$N162="",$O162=""),"AWAITING LAB (dry weight, carbon value or type)",IF(AND(UPPER($O162)&lt;&gt;"OC",UPPER($O162)&lt;&gt;"LOI"),IF(UPPER($O162)="TC","TC is not organic carbon — ask the lab for OC or IC","CHECK: type must be OC, TC or LOI"),IF($R162="",IF(AND(LOI_INTERCEPT&lt;&gt;"",LOI_SLOPE&lt;&gt;""),"CHECK: LOI below the range of the conversion equation (OC would be &lt; 0)","CHECK: LOI conversion not set (Instructions tab)"),IF(OR($Q162&lt;=0,$Q162&gt;2.65,$R162&gt;50),"CHECK: bulk density outside 0–2.65 g/cm3 or OC &gt; 50%","OK")))))))))))</f>
        <v/>
      </c>
    </row>
    <row r="163" customFormat="false" ht="15.75" hidden="false" customHeight="true" outlineLevel="0" collapsed="false">
      <c r="A163" s="14"/>
      <c r="B163" s="14"/>
      <c r="C163" s="24"/>
      <c r="D163" s="24"/>
      <c r="E163" s="14"/>
      <c r="F163" s="16" t="str">
        <f aca="false">IF(OR($C163="",$D163=""),"",$D163-$C163)</f>
        <v/>
      </c>
      <c r="G163" s="25" t="str">
        <f aca="false">IF($A163="","",IFERROR(INDEX('2. Plot &amp; Core Log'!$M$6:$M$35,MATCH($A163,'2. Plot &amp; Core Log'!$B$6:$B$35,0)),""))</f>
        <v/>
      </c>
      <c r="H163" s="26" t="str">
        <f aca="false">IF($A163="","",IFERROR(INDEX('2. Plot &amp; Core Log'!$S$6:$S$35,MATCH($A163,'2. Plot &amp; Core Log'!$B$6:$B$35,0)),""))</f>
        <v/>
      </c>
      <c r="I163" s="16" t="str">
        <f aca="false">IF(OR($C163="",$G163=""),"",$C163*$G163)</f>
        <v/>
      </c>
      <c r="J163" s="16" t="str">
        <f aca="false">IF(OR($D163="",$G163=""),"",$D163*$G163)</f>
        <v/>
      </c>
      <c r="K163" s="16" t="str">
        <f aca="false">IF(OR($F163="",$H163=""),"",PI()*(($H163/2)^2)*$F163)</f>
        <v/>
      </c>
      <c r="L163" s="27"/>
      <c r="M163" s="27"/>
      <c r="N163" s="27"/>
      <c r="O163" s="27"/>
      <c r="P163" s="16" t="str">
        <f aca="false">IF(OR($L163="",$M163="",$L163=0),"",(($L163-$M163)/$L163)*100)</f>
        <v/>
      </c>
      <c r="Q163" s="15" t="str">
        <f aca="false">IF(OR($M163="",$K163="",$K163=0),"",$M163/$K163)</f>
        <v/>
      </c>
      <c r="R163" s="15" t="str">
        <f aca="false">IF(OR($N163="",$O163=""),"",IF(UPPER($O163)="OC",$N163,IF(UPPER($O163)="LOI",IF(OR(LOI_INTERCEPT="",LOI_SLOPE=""),"",IF(LOI_INTERCEPT+LOI_SLOPE*$N163&lt;0,"",LOI_INTERCEPT+LOI_SLOPE*$N163)),"")))</f>
        <v/>
      </c>
      <c r="S163" s="18" t="str">
        <f aca="false">IF($R163="","",$R163*10)</f>
        <v/>
      </c>
      <c r="T163" s="28" t="str">
        <f aca="false">IF(OR($Q163="",$R163=""),"",$Q163*$R163/100)</f>
        <v/>
      </c>
      <c r="U163" s="29" t="str">
        <f aca="false">IF(OR($T163="",$F163=""),"",$T163*$F163)</f>
        <v/>
      </c>
      <c r="V163" s="15" t="str">
        <f aca="false">IF($U163="","",$U163*10)</f>
        <v/>
      </c>
      <c r="W163" s="15" t="str">
        <f aca="false">IF(OR($V163="",$I163="",$J163="",$J163&lt;=$I163),"",$V163*MAX(0,MIN($J163,15)-MAX($I163,0))/($J163-$I163))</f>
        <v/>
      </c>
      <c r="X163" s="15" t="str">
        <f aca="false">IF(OR($V163="",$I163="",$J163="",$J163&lt;=$I163),"",$V163*MAX(0,MIN($J163,30)-MAX($I163,15))/($J163-$I163))</f>
        <v/>
      </c>
      <c r="Y163" s="15" t="str">
        <f aca="false">IF(OR($V163="",$I163="",$J163="",$J163&lt;=$I163),"",$V163*MAX(0,MIN($J163,50)-MAX($I163,30))/($J163-$I163))</f>
        <v/>
      </c>
      <c r="Z163" s="15" t="str">
        <f aca="false">IF(OR($V163="",$I163="",$J163="",$J163&lt;=$I163),"",$V163*MAX(0,MIN($J163,100)-MAX($I163,50))/($J163-$I163))</f>
        <v/>
      </c>
      <c r="AA163" s="16" t="str">
        <f aca="false">IF($A163="","",IF(OR($C163="",$D163="",$D163&lt;=$C163),"CHECK: depths missing, or bottom not below top",IF(COUNTIFS($A$6:$A$205,$A163,$C$6:$C$205,$C163)&gt;1,"DUPLICATE slice",IF(COUNTIFS($A$6:$A$205,$A163,$C$6:$C$205,"&lt;"&amp;$D163,$D$6:$D$205,"&gt;"&amp;$C163)&gt;1,"OVERLAP with another slice",IF(AND($C163&gt;0,COUNTIFS($A$6:$A$205,$A163,$D$6:$D$205,$C163)=0),"GAP above this slice",IF(OR($G163="",$H163=""),"CHECK: Core ID not in Core Log, or its compaction / diameter missing",IF(AND(IF(COUNTIFS('2. Plot &amp; Core Log'!$B$6:$B$35,$A163,'2. Plot &amp; Core Log'!$L$6:$L$35,"&gt;0")=0,"",SUMIFS('2. Plot &amp; Core Log'!$L$6:$L$35,'2. Plot &amp; Core Log'!$B$6:$B$35,$A163))&lt;&gt;"",$D163&gt;IF(COUNTIFS('2. Plot &amp; Core Log'!$B$6:$B$35,$A163,'2. Plot &amp; Core Log'!$L$6:$L$35,"&gt;0")=0,"",SUMIFS('2. Plot &amp; Core Log'!$L$6:$L$35,'2. Plot &amp; Core Log'!$B$6:$B$35,$A163))),"CHECK: slice deeper than the core length on Sheet 2",IF(OR($M163="",$N163="",$O163=""),"AWAITING LAB (dry weight, carbon value or type)",IF(AND(UPPER($O163)&lt;&gt;"OC",UPPER($O163)&lt;&gt;"LOI"),IF(UPPER($O163)="TC","TC is not organic carbon — ask the lab for OC or IC","CHECK: type must be OC, TC or LOI"),IF($R163="",IF(AND(LOI_INTERCEPT&lt;&gt;"",LOI_SLOPE&lt;&gt;""),"CHECK: LOI below the range of the conversion equation (OC would be &lt; 0)","CHECK: LOI conversion not set (Instructions tab)"),IF(OR($Q163&lt;=0,$Q163&gt;2.65,$R163&gt;50),"CHECK: bulk density outside 0–2.65 g/cm3 or OC &gt; 50%","OK")))))))))))</f>
        <v/>
      </c>
    </row>
    <row r="164" customFormat="false" ht="15.75" hidden="false" customHeight="true" outlineLevel="0" collapsed="false">
      <c r="A164" s="14"/>
      <c r="B164" s="14"/>
      <c r="C164" s="24"/>
      <c r="D164" s="24"/>
      <c r="E164" s="14"/>
      <c r="F164" s="16" t="str">
        <f aca="false">IF(OR($C164="",$D164=""),"",$D164-$C164)</f>
        <v/>
      </c>
      <c r="G164" s="25" t="str">
        <f aca="false">IF($A164="","",IFERROR(INDEX('2. Plot &amp; Core Log'!$M$6:$M$35,MATCH($A164,'2. Plot &amp; Core Log'!$B$6:$B$35,0)),""))</f>
        <v/>
      </c>
      <c r="H164" s="26" t="str">
        <f aca="false">IF($A164="","",IFERROR(INDEX('2. Plot &amp; Core Log'!$S$6:$S$35,MATCH($A164,'2. Plot &amp; Core Log'!$B$6:$B$35,0)),""))</f>
        <v/>
      </c>
      <c r="I164" s="16" t="str">
        <f aca="false">IF(OR($C164="",$G164=""),"",$C164*$G164)</f>
        <v/>
      </c>
      <c r="J164" s="16" t="str">
        <f aca="false">IF(OR($D164="",$G164=""),"",$D164*$G164)</f>
        <v/>
      </c>
      <c r="K164" s="16" t="str">
        <f aca="false">IF(OR($F164="",$H164=""),"",PI()*(($H164/2)^2)*$F164)</f>
        <v/>
      </c>
      <c r="L164" s="27"/>
      <c r="M164" s="27"/>
      <c r="N164" s="27"/>
      <c r="O164" s="27"/>
      <c r="P164" s="16" t="str">
        <f aca="false">IF(OR($L164="",$M164="",$L164=0),"",(($L164-$M164)/$L164)*100)</f>
        <v/>
      </c>
      <c r="Q164" s="15" t="str">
        <f aca="false">IF(OR($M164="",$K164="",$K164=0),"",$M164/$K164)</f>
        <v/>
      </c>
      <c r="R164" s="15" t="str">
        <f aca="false">IF(OR($N164="",$O164=""),"",IF(UPPER($O164)="OC",$N164,IF(UPPER($O164)="LOI",IF(OR(LOI_INTERCEPT="",LOI_SLOPE=""),"",IF(LOI_INTERCEPT+LOI_SLOPE*$N164&lt;0,"",LOI_INTERCEPT+LOI_SLOPE*$N164)),"")))</f>
        <v/>
      </c>
      <c r="S164" s="18" t="str">
        <f aca="false">IF($R164="","",$R164*10)</f>
        <v/>
      </c>
      <c r="T164" s="28" t="str">
        <f aca="false">IF(OR($Q164="",$R164=""),"",$Q164*$R164/100)</f>
        <v/>
      </c>
      <c r="U164" s="29" t="str">
        <f aca="false">IF(OR($T164="",$F164=""),"",$T164*$F164)</f>
        <v/>
      </c>
      <c r="V164" s="15" t="str">
        <f aca="false">IF($U164="","",$U164*10)</f>
        <v/>
      </c>
      <c r="W164" s="15" t="str">
        <f aca="false">IF(OR($V164="",$I164="",$J164="",$J164&lt;=$I164),"",$V164*MAX(0,MIN($J164,15)-MAX($I164,0))/($J164-$I164))</f>
        <v/>
      </c>
      <c r="X164" s="15" t="str">
        <f aca="false">IF(OR($V164="",$I164="",$J164="",$J164&lt;=$I164),"",$V164*MAX(0,MIN($J164,30)-MAX($I164,15))/($J164-$I164))</f>
        <v/>
      </c>
      <c r="Y164" s="15" t="str">
        <f aca="false">IF(OR($V164="",$I164="",$J164="",$J164&lt;=$I164),"",$V164*MAX(0,MIN($J164,50)-MAX($I164,30))/($J164-$I164))</f>
        <v/>
      </c>
      <c r="Z164" s="15" t="str">
        <f aca="false">IF(OR($V164="",$I164="",$J164="",$J164&lt;=$I164),"",$V164*MAX(0,MIN($J164,100)-MAX($I164,50))/($J164-$I164))</f>
        <v/>
      </c>
      <c r="AA164" s="16" t="str">
        <f aca="false">IF($A164="","",IF(OR($C164="",$D164="",$D164&lt;=$C164),"CHECK: depths missing, or bottom not below top",IF(COUNTIFS($A$6:$A$205,$A164,$C$6:$C$205,$C164)&gt;1,"DUPLICATE slice",IF(COUNTIFS($A$6:$A$205,$A164,$C$6:$C$205,"&lt;"&amp;$D164,$D$6:$D$205,"&gt;"&amp;$C164)&gt;1,"OVERLAP with another slice",IF(AND($C164&gt;0,COUNTIFS($A$6:$A$205,$A164,$D$6:$D$205,$C164)=0),"GAP above this slice",IF(OR($G164="",$H164=""),"CHECK: Core ID not in Core Log, or its compaction / diameter missing",IF(AND(IF(COUNTIFS('2. Plot &amp; Core Log'!$B$6:$B$35,$A164,'2. Plot &amp; Core Log'!$L$6:$L$35,"&gt;0")=0,"",SUMIFS('2. Plot &amp; Core Log'!$L$6:$L$35,'2. Plot &amp; Core Log'!$B$6:$B$35,$A164))&lt;&gt;"",$D164&gt;IF(COUNTIFS('2. Plot &amp; Core Log'!$B$6:$B$35,$A164,'2. Plot &amp; Core Log'!$L$6:$L$35,"&gt;0")=0,"",SUMIFS('2. Plot &amp; Core Log'!$L$6:$L$35,'2. Plot &amp; Core Log'!$B$6:$B$35,$A164))),"CHECK: slice deeper than the core length on Sheet 2",IF(OR($M164="",$N164="",$O164=""),"AWAITING LAB (dry weight, carbon value or type)",IF(AND(UPPER($O164)&lt;&gt;"OC",UPPER($O164)&lt;&gt;"LOI"),IF(UPPER($O164)="TC","TC is not organic carbon — ask the lab for OC or IC","CHECK: type must be OC, TC or LOI"),IF($R164="",IF(AND(LOI_INTERCEPT&lt;&gt;"",LOI_SLOPE&lt;&gt;""),"CHECK: LOI below the range of the conversion equation (OC would be &lt; 0)","CHECK: LOI conversion not set (Instructions tab)"),IF(OR($Q164&lt;=0,$Q164&gt;2.65,$R164&gt;50),"CHECK: bulk density outside 0–2.65 g/cm3 or OC &gt; 50%","OK")))))))))))</f>
        <v/>
      </c>
    </row>
    <row r="165" customFormat="false" ht="15.75" hidden="false" customHeight="true" outlineLevel="0" collapsed="false">
      <c r="A165" s="14"/>
      <c r="B165" s="14"/>
      <c r="C165" s="24"/>
      <c r="D165" s="24"/>
      <c r="E165" s="14"/>
      <c r="F165" s="16" t="str">
        <f aca="false">IF(OR($C165="",$D165=""),"",$D165-$C165)</f>
        <v/>
      </c>
      <c r="G165" s="25" t="str">
        <f aca="false">IF($A165="","",IFERROR(INDEX('2. Plot &amp; Core Log'!$M$6:$M$35,MATCH($A165,'2. Plot &amp; Core Log'!$B$6:$B$35,0)),""))</f>
        <v/>
      </c>
      <c r="H165" s="26" t="str">
        <f aca="false">IF($A165="","",IFERROR(INDEX('2. Plot &amp; Core Log'!$S$6:$S$35,MATCH($A165,'2. Plot &amp; Core Log'!$B$6:$B$35,0)),""))</f>
        <v/>
      </c>
      <c r="I165" s="16" t="str">
        <f aca="false">IF(OR($C165="",$G165=""),"",$C165*$G165)</f>
        <v/>
      </c>
      <c r="J165" s="16" t="str">
        <f aca="false">IF(OR($D165="",$G165=""),"",$D165*$G165)</f>
        <v/>
      </c>
      <c r="K165" s="16" t="str">
        <f aca="false">IF(OR($F165="",$H165=""),"",PI()*(($H165/2)^2)*$F165)</f>
        <v/>
      </c>
      <c r="L165" s="27"/>
      <c r="M165" s="27"/>
      <c r="N165" s="27"/>
      <c r="O165" s="27"/>
      <c r="P165" s="16" t="str">
        <f aca="false">IF(OR($L165="",$M165="",$L165=0),"",(($L165-$M165)/$L165)*100)</f>
        <v/>
      </c>
      <c r="Q165" s="15" t="str">
        <f aca="false">IF(OR($M165="",$K165="",$K165=0),"",$M165/$K165)</f>
        <v/>
      </c>
      <c r="R165" s="15" t="str">
        <f aca="false">IF(OR($N165="",$O165=""),"",IF(UPPER($O165)="OC",$N165,IF(UPPER($O165)="LOI",IF(OR(LOI_INTERCEPT="",LOI_SLOPE=""),"",IF(LOI_INTERCEPT+LOI_SLOPE*$N165&lt;0,"",LOI_INTERCEPT+LOI_SLOPE*$N165)),"")))</f>
        <v/>
      </c>
      <c r="S165" s="18" t="str">
        <f aca="false">IF($R165="","",$R165*10)</f>
        <v/>
      </c>
      <c r="T165" s="28" t="str">
        <f aca="false">IF(OR($Q165="",$R165=""),"",$Q165*$R165/100)</f>
        <v/>
      </c>
      <c r="U165" s="29" t="str">
        <f aca="false">IF(OR($T165="",$F165=""),"",$T165*$F165)</f>
        <v/>
      </c>
      <c r="V165" s="15" t="str">
        <f aca="false">IF($U165="","",$U165*10)</f>
        <v/>
      </c>
      <c r="W165" s="15" t="str">
        <f aca="false">IF(OR($V165="",$I165="",$J165="",$J165&lt;=$I165),"",$V165*MAX(0,MIN($J165,15)-MAX($I165,0))/($J165-$I165))</f>
        <v/>
      </c>
      <c r="X165" s="15" t="str">
        <f aca="false">IF(OR($V165="",$I165="",$J165="",$J165&lt;=$I165),"",$V165*MAX(0,MIN($J165,30)-MAX($I165,15))/($J165-$I165))</f>
        <v/>
      </c>
      <c r="Y165" s="15" t="str">
        <f aca="false">IF(OR($V165="",$I165="",$J165="",$J165&lt;=$I165),"",$V165*MAX(0,MIN($J165,50)-MAX($I165,30))/($J165-$I165))</f>
        <v/>
      </c>
      <c r="Z165" s="15" t="str">
        <f aca="false">IF(OR($V165="",$I165="",$J165="",$J165&lt;=$I165),"",$V165*MAX(0,MIN($J165,100)-MAX($I165,50))/($J165-$I165))</f>
        <v/>
      </c>
      <c r="AA165" s="16" t="str">
        <f aca="false">IF($A165="","",IF(OR($C165="",$D165="",$D165&lt;=$C165),"CHECK: depths missing, or bottom not below top",IF(COUNTIFS($A$6:$A$205,$A165,$C$6:$C$205,$C165)&gt;1,"DUPLICATE slice",IF(COUNTIFS($A$6:$A$205,$A165,$C$6:$C$205,"&lt;"&amp;$D165,$D$6:$D$205,"&gt;"&amp;$C165)&gt;1,"OVERLAP with another slice",IF(AND($C165&gt;0,COUNTIFS($A$6:$A$205,$A165,$D$6:$D$205,$C165)=0),"GAP above this slice",IF(OR($G165="",$H165=""),"CHECK: Core ID not in Core Log, or its compaction / diameter missing",IF(AND(IF(COUNTIFS('2. Plot &amp; Core Log'!$B$6:$B$35,$A165,'2. Plot &amp; Core Log'!$L$6:$L$35,"&gt;0")=0,"",SUMIFS('2. Plot &amp; Core Log'!$L$6:$L$35,'2. Plot &amp; Core Log'!$B$6:$B$35,$A165))&lt;&gt;"",$D165&gt;IF(COUNTIFS('2. Plot &amp; Core Log'!$B$6:$B$35,$A165,'2. Plot &amp; Core Log'!$L$6:$L$35,"&gt;0")=0,"",SUMIFS('2. Plot &amp; Core Log'!$L$6:$L$35,'2. Plot &amp; Core Log'!$B$6:$B$35,$A165))),"CHECK: slice deeper than the core length on Sheet 2",IF(OR($M165="",$N165="",$O165=""),"AWAITING LAB (dry weight, carbon value or type)",IF(AND(UPPER($O165)&lt;&gt;"OC",UPPER($O165)&lt;&gt;"LOI"),IF(UPPER($O165)="TC","TC is not organic carbon — ask the lab for OC or IC","CHECK: type must be OC, TC or LOI"),IF($R165="",IF(AND(LOI_INTERCEPT&lt;&gt;"",LOI_SLOPE&lt;&gt;""),"CHECK: LOI below the range of the conversion equation (OC would be &lt; 0)","CHECK: LOI conversion not set (Instructions tab)"),IF(OR($Q165&lt;=0,$Q165&gt;2.65,$R165&gt;50),"CHECK: bulk density outside 0–2.65 g/cm3 or OC &gt; 50%","OK")))))))))))</f>
        <v/>
      </c>
    </row>
    <row r="166" customFormat="false" ht="15.75" hidden="false" customHeight="true" outlineLevel="0" collapsed="false">
      <c r="A166" s="14"/>
      <c r="B166" s="14"/>
      <c r="C166" s="24"/>
      <c r="D166" s="24"/>
      <c r="E166" s="14"/>
      <c r="F166" s="16" t="str">
        <f aca="false">IF(OR($C166="",$D166=""),"",$D166-$C166)</f>
        <v/>
      </c>
      <c r="G166" s="25" t="str">
        <f aca="false">IF($A166="","",IFERROR(INDEX('2. Plot &amp; Core Log'!$M$6:$M$35,MATCH($A166,'2. Plot &amp; Core Log'!$B$6:$B$35,0)),""))</f>
        <v/>
      </c>
      <c r="H166" s="26" t="str">
        <f aca="false">IF($A166="","",IFERROR(INDEX('2. Plot &amp; Core Log'!$S$6:$S$35,MATCH($A166,'2. Plot &amp; Core Log'!$B$6:$B$35,0)),""))</f>
        <v/>
      </c>
      <c r="I166" s="16" t="str">
        <f aca="false">IF(OR($C166="",$G166=""),"",$C166*$G166)</f>
        <v/>
      </c>
      <c r="J166" s="16" t="str">
        <f aca="false">IF(OR($D166="",$G166=""),"",$D166*$G166)</f>
        <v/>
      </c>
      <c r="K166" s="16" t="str">
        <f aca="false">IF(OR($F166="",$H166=""),"",PI()*(($H166/2)^2)*$F166)</f>
        <v/>
      </c>
      <c r="L166" s="27"/>
      <c r="M166" s="27"/>
      <c r="N166" s="27"/>
      <c r="O166" s="27"/>
      <c r="P166" s="16" t="str">
        <f aca="false">IF(OR($L166="",$M166="",$L166=0),"",(($L166-$M166)/$L166)*100)</f>
        <v/>
      </c>
      <c r="Q166" s="15" t="str">
        <f aca="false">IF(OR($M166="",$K166="",$K166=0),"",$M166/$K166)</f>
        <v/>
      </c>
      <c r="R166" s="15" t="str">
        <f aca="false">IF(OR($N166="",$O166=""),"",IF(UPPER($O166)="OC",$N166,IF(UPPER($O166)="LOI",IF(OR(LOI_INTERCEPT="",LOI_SLOPE=""),"",IF(LOI_INTERCEPT+LOI_SLOPE*$N166&lt;0,"",LOI_INTERCEPT+LOI_SLOPE*$N166)),"")))</f>
        <v/>
      </c>
      <c r="S166" s="18" t="str">
        <f aca="false">IF($R166="","",$R166*10)</f>
        <v/>
      </c>
      <c r="T166" s="28" t="str">
        <f aca="false">IF(OR($Q166="",$R166=""),"",$Q166*$R166/100)</f>
        <v/>
      </c>
      <c r="U166" s="29" t="str">
        <f aca="false">IF(OR($T166="",$F166=""),"",$T166*$F166)</f>
        <v/>
      </c>
      <c r="V166" s="15" t="str">
        <f aca="false">IF($U166="","",$U166*10)</f>
        <v/>
      </c>
      <c r="W166" s="15" t="str">
        <f aca="false">IF(OR($V166="",$I166="",$J166="",$J166&lt;=$I166),"",$V166*MAX(0,MIN($J166,15)-MAX($I166,0))/($J166-$I166))</f>
        <v/>
      </c>
      <c r="X166" s="15" t="str">
        <f aca="false">IF(OR($V166="",$I166="",$J166="",$J166&lt;=$I166),"",$V166*MAX(0,MIN($J166,30)-MAX($I166,15))/($J166-$I166))</f>
        <v/>
      </c>
      <c r="Y166" s="15" t="str">
        <f aca="false">IF(OR($V166="",$I166="",$J166="",$J166&lt;=$I166),"",$V166*MAX(0,MIN($J166,50)-MAX($I166,30))/($J166-$I166))</f>
        <v/>
      </c>
      <c r="Z166" s="15" t="str">
        <f aca="false">IF(OR($V166="",$I166="",$J166="",$J166&lt;=$I166),"",$V166*MAX(0,MIN($J166,100)-MAX($I166,50))/($J166-$I166))</f>
        <v/>
      </c>
      <c r="AA166" s="16" t="str">
        <f aca="false">IF($A166="","",IF(OR($C166="",$D166="",$D166&lt;=$C166),"CHECK: depths missing, or bottom not below top",IF(COUNTIFS($A$6:$A$205,$A166,$C$6:$C$205,$C166)&gt;1,"DUPLICATE slice",IF(COUNTIFS($A$6:$A$205,$A166,$C$6:$C$205,"&lt;"&amp;$D166,$D$6:$D$205,"&gt;"&amp;$C166)&gt;1,"OVERLAP with another slice",IF(AND($C166&gt;0,COUNTIFS($A$6:$A$205,$A166,$D$6:$D$205,$C166)=0),"GAP above this slice",IF(OR($G166="",$H166=""),"CHECK: Core ID not in Core Log, or its compaction / diameter missing",IF(AND(IF(COUNTIFS('2. Plot &amp; Core Log'!$B$6:$B$35,$A166,'2. Plot &amp; Core Log'!$L$6:$L$35,"&gt;0")=0,"",SUMIFS('2. Plot &amp; Core Log'!$L$6:$L$35,'2. Plot &amp; Core Log'!$B$6:$B$35,$A166))&lt;&gt;"",$D166&gt;IF(COUNTIFS('2. Plot &amp; Core Log'!$B$6:$B$35,$A166,'2. Plot &amp; Core Log'!$L$6:$L$35,"&gt;0")=0,"",SUMIFS('2. Plot &amp; Core Log'!$L$6:$L$35,'2. Plot &amp; Core Log'!$B$6:$B$35,$A166))),"CHECK: slice deeper than the core length on Sheet 2",IF(OR($M166="",$N166="",$O166=""),"AWAITING LAB (dry weight, carbon value or type)",IF(AND(UPPER($O166)&lt;&gt;"OC",UPPER($O166)&lt;&gt;"LOI"),IF(UPPER($O166)="TC","TC is not organic carbon — ask the lab for OC or IC","CHECK: type must be OC, TC or LOI"),IF($R166="",IF(AND(LOI_INTERCEPT&lt;&gt;"",LOI_SLOPE&lt;&gt;""),"CHECK: LOI below the range of the conversion equation (OC would be &lt; 0)","CHECK: LOI conversion not set (Instructions tab)"),IF(OR($Q166&lt;=0,$Q166&gt;2.65,$R166&gt;50),"CHECK: bulk density outside 0–2.65 g/cm3 or OC &gt; 50%","OK")))))))))))</f>
        <v/>
      </c>
    </row>
    <row r="167" customFormat="false" ht="15.75" hidden="false" customHeight="true" outlineLevel="0" collapsed="false">
      <c r="A167" s="14"/>
      <c r="B167" s="14"/>
      <c r="C167" s="24"/>
      <c r="D167" s="24"/>
      <c r="E167" s="14"/>
      <c r="F167" s="16" t="str">
        <f aca="false">IF(OR($C167="",$D167=""),"",$D167-$C167)</f>
        <v/>
      </c>
      <c r="G167" s="25" t="str">
        <f aca="false">IF($A167="","",IFERROR(INDEX('2. Plot &amp; Core Log'!$M$6:$M$35,MATCH($A167,'2. Plot &amp; Core Log'!$B$6:$B$35,0)),""))</f>
        <v/>
      </c>
      <c r="H167" s="26" t="str">
        <f aca="false">IF($A167="","",IFERROR(INDEX('2. Plot &amp; Core Log'!$S$6:$S$35,MATCH($A167,'2. Plot &amp; Core Log'!$B$6:$B$35,0)),""))</f>
        <v/>
      </c>
      <c r="I167" s="16" t="str">
        <f aca="false">IF(OR($C167="",$G167=""),"",$C167*$G167)</f>
        <v/>
      </c>
      <c r="J167" s="16" t="str">
        <f aca="false">IF(OR($D167="",$G167=""),"",$D167*$G167)</f>
        <v/>
      </c>
      <c r="K167" s="16" t="str">
        <f aca="false">IF(OR($F167="",$H167=""),"",PI()*(($H167/2)^2)*$F167)</f>
        <v/>
      </c>
      <c r="L167" s="27"/>
      <c r="M167" s="27"/>
      <c r="N167" s="27"/>
      <c r="O167" s="27"/>
      <c r="P167" s="16" t="str">
        <f aca="false">IF(OR($L167="",$M167="",$L167=0),"",(($L167-$M167)/$L167)*100)</f>
        <v/>
      </c>
      <c r="Q167" s="15" t="str">
        <f aca="false">IF(OR($M167="",$K167="",$K167=0),"",$M167/$K167)</f>
        <v/>
      </c>
      <c r="R167" s="15" t="str">
        <f aca="false">IF(OR($N167="",$O167=""),"",IF(UPPER($O167)="OC",$N167,IF(UPPER($O167)="LOI",IF(OR(LOI_INTERCEPT="",LOI_SLOPE=""),"",IF(LOI_INTERCEPT+LOI_SLOPE*$N167&lt;0,"",LOI_INTERCEPT+LOI_SLOPE*$N167)),"")))</f>
        <v/>
      </c>
      <c r="S167" s="18" t="str">
        <f aca="false">IF($R167="","",$R167*10)</f>
        <v/>
      </c>
      <c r="T167" s="28" t="str">
        <f aca="false">IF(OR($Q167="",$R167=""),"",$Q167*$R167/100)</f>
        <v/>
      </c>
      <c r="U167" s="29" t="str">
        <f aca="false">IF(OR($T167="",$F167=""),"",$T167*$F167)</f>
        <v/>
      </c>
      <c r="V167" s="15" t="str">
        <f aca="false">IF($U167="","",$U167*10)</f>
        <v/>
      </c>
      <c r="W167" s="15" t="str">
        <f aca="false">IF(OR($V167="",$I167="",$J167="",$J167&lt;=$I167),"",$V167*MAX(0,MIN($J167,15)-MAX($I167,0))/($J167-$I167))</f>
        <v/>
      </c>
      <c r="X167" s="15" t="str">
        <f aca="false">IF(OR($V167="",$I167="",$J167="",$J167&lt;=$I167),"",$V167*MAX(0,MIN($J167,30)-MAX($I167,15))/($J167-$I167))</f>
        <v/>
      </c>
      <c r="Y167" s="15" t="str">
        <f aca="false">IF(OR($V167="",$I167="",$J167="",$J167&lt;=$I167),"",$V167*MAX(0,MIN($J167,50)-MAX($I167,30))/($J167-$I167))</f>
        <v/>
      </c>
      <c r="Z167" s="15" t="str">
        <f aca="false">IF(OR($V167="",$I167="",$J167="",$J167&lt;=$I167),"",$V167*MAX(0,MIN($J167,100)-MAX($I167,50))/($J167-$I167))</f>
        <v/>
      </c>
      <c r="AA167" s="16" t="str">
        <f aca="false">IF($A167="","",IF(OR($C167="",$D167="",$D167&lt;=$C167),"CHECK: depths missing, or bottom not below top",IF(COUNTIFS($A$6:$A$205,$A167,$C$6:$C$205,$C167)&gt;1,"DUPLICATE slice",IF(COUNTIFS($A$6:$A$205,$A167,$C$6:$C$205,"&lt;"&amp;$D167,$D$6:$D$205,"&gt;"&amp;$C167)&gt;1,"OVERLAP with another slice",IF(AND($C167&gt;0,COUNTIFS($A$6:$A$205,$A167,$D$6:$D$205,$C167)=0),"GAP above this slice",IF(OR($G167="",$H167=""),"CHECK: Core ID not in Core Log, or its compaction / diameter missing",IF(AND(IF(COUNTIFS('2. Plot &amp; Core Log'!$B$6:$B$35,$A167,'2. Plot &amp; Core Log'!$L$6:$L$35,"&gt;0")=0,"",SUMIFS('2. Plot &amp; Core Log'!$L$6:$L$35,'2. Plot &amp; Core Log'!$B$6:$B$35,$A167))&lt;&gt;"",$D167&gt;IF(COUNTIFS('2. Plot &amp; Core Log'!$B$6:$B$35,$A167,'2. Plot &amp; Core Log'!$L$6:$L$35,"&gt;0")=0,"",SUMIFS('2. Plot &amp; Core Log'!$L$6:$L$35,'2. Plot &amp; Core Log'!$B$6:$B$35,$A167))),"CHECK: slice deeper than the core length on Sheet 2",IF(OR($M167="",$N167="",$O167=""),"AWAITING LAB (dry weight, carbon value or type)",IF(AND(UPPER($O167)&lt;&gt;"OC",UPPER($O167)&lt;&gt;"LOI"),IF(UPPER($O167)="TC","TC is not organic carbon — ask the lab for OC or IC","CHECK: type must be OC, TC or LOI"),IF($R167="",IF(AND(LOI_INTERCEPT&lt;&gt;"",LOI_SLOPE&lt;&gt;""),"CHECK: LOI below the range of the conversion equation (OC would be &lt; 0)","CHECK: LOI conversion not set (Instructions tab)"),IF(OR($Q167&lt;=0,$Q167&gt;2.65,$R167&gt;50),"CHECK: bulk density outside 0–2.65 g/cm3 or OC &gt; 50%","OK")))))))))))</f>
        <v/>
      </c>
    </row>
    <row r="168" customFormat="false" ht="15.75" hidden="false" customHeight="true" outlineLevel="0" collapsed="false">
      <c r="A168" s="14"/>
      <c r="B168" s="14"/>
      <c r="C168" s="24"/>
      <c r="D168" s="24"/>
      <c r="E168" s="14"/>
      <c r="F168" s="16" t="str">
        <f aca="false">IF(OR($C168="",$D168=""),"",$D168-$C168)</f>
        <v/>
      </c>
      <c r="G168" s="25" t="str">
        <f aca="false">IF($A168="","",IFERROR(INDEX('2. Plot &amp; Core Log'!$M$6:$M$35,MATCH($A168,'2. Plot &amp; Core Log'!$B$6:$B$35,0)),""))</f>
        <v/>
      </c>
      <c r="H168" s="26" t="str">
        <f aca="false">IF($A168="","",IFERROR(INDEX('2. Plot &amp; Core Log'!$S$6:$S$35,MATCH($A168,'2. Plot &amp; Core Log'!$B$6:$B$35,0)),""))</f>
        <v/>
      </c>
      <c r="I168" s="16" t="str">
        <f aca="false">IF(OR($C168="",$G168=""),"",$C168*$G168)</f>
        <v/>
      </c>
      <c r="J168" s="16" t="str">
        <f aca="false">IF(OR($D168="",$G168=""),"",$D168*$G168)</f>
        <v/>
      </c>
      <c r="K168" s="16" t="str">
        <f aca="false">IF(OR($F168="",$H168=""),"",PI()*(($H168/2)^2)*$F168)</f>
        <v/>
      </c>
      <c r="L168" s="27"/>
      <c r="M168" s="27"/>
      <c r="N168" s="27"/>
      <c r="O168" s="27"/>
      <c r="P168" s="16" t="str">
        <f aca="false">IF(OR($L168="",$M168="",$L168=0),"",(($L168-$M168)/$L168)*100)</f>
        <v/>
      </c>
      <c r="Q168" s="15" t="str">
        <f aca="false">IF(OR($M168="",$K168="",$K168=0),"",$M168/$K168)</f>
        <v/>
      </c>
      <c r="R168" s="15" t="str">
        <f aca="false">IF(OR($N168="",$O168=""),"",IF(UPPER($O168)="OC",$N168,IF(UPPER($O168)="LOI",IF(OR(LOI_INTERCEPT="",LOI_SLOPE=""),"",IF(LOI_INTERCEPT+LOI_SLOPE*$N168&lt;0,"",LOI_INTERCEPT+LOI_SLOPE*$N168)),"")))</f>
        <v/>
      </c>
      <c r="S168" s="18" t="str">
        <f aca="false">IF($R168="","",$R168*10)</f>
        <v/>
      </c>
      <c r="T168" s="28" t="str">
        <f aca="false">IF(OR($Q168="",$R168=""),"",$Q168*$R168/100)</f>
        <v/>
      </c>
      <c r="U168" s="29" t="str">
        <f aca="false">IF(OR($T168="",$F168=""),"",$T168*$F168)</f>
        <v/>
      </c>
      <c r="V168" s="15" t="str">
        <f aca="false">IF($U168="","",$U168*10)</f>
        <v/>
      </c>
      <c r="W168" s="15" t="str">
        <f aca="false">IF(OR($V168="",$I168="",$J168="",$J168&lt;=$I168),"",$V168*MAX(0,MIN($J168,15)-MAX($I168,0))/($J168-$I168))</f>
        <v/>
      </c>
      <c r="X168" s="15" t="str">
        <f aca="false">IF(OR($V168="",$I168="",$J168="",$J168&lt;=$I168),"",$V168*MAX(0,MIN($J168,30)-MAX($I168,15))/($J168-$I168))</f>
        <v/>
      </c>
      <c r="Y168" s="15" t="str">
        <f aca="false">IF(OR($V168="",$I168="",$J168="",$J168&lt;=$I168),"",$V168*MAX(0,MIN($J168,50)-MAX($I168,30))/($J168-$I168))</f>
        <v/>
      </c>
      <c r="Z168" s="15" t="str">
        <f aca="false">IF(OR($V168="",$I168="",$J168="",$J168&lt;=$I168),"",$V168*MAX(0,MIN($J168,100)-MAX($I168,50))/($J168-$I168))</f>
        <v/>
      </c>
      <c r="AA168" s="16" t="str">
        <f aca="false">IF($A168="","",IF(OR($C168="",$D168="",$D168&lt;=$C168),"CHECK: depths missing, or bottom not below top",IF(COUNTIFS($A$6:$A$205,$A168,$C$6:$C$205,$C168)&gt;1,"DUPLICATE slice",IF(COUNTIFS($A$6:$A$205,$A168,$C$6:$C$205,"&lt;"&amp;$D168,$D$6:$D$205,"&gt;"&amp;$C168)&gt;1,"OVERLAP with another slice",IF(AND($C168&gt;0,COUNTIFS($A$6:$A$205,$A168,$D$6:$D$205,$C168)=0),"GAP above this slice",IF(OR($G168="",$H168=""),"CHECK: Core ID not in Core Log, or its compaction / diameter missing",IF(AND(IF(COUNTIFS('2. Plot &amp; Core Log'!$B$6:$B$35,$A168,'2. Plot &amp; Core Log'!$L$6:$L$35,"&gt;0")=0,"",SUMIFS('2. Plot &amp; Core Log'!$L$6:$L$35,'2. Plot &amp; Core Log'!$B$6:$B$35,$A168))&lt;&gt;"",$D168&gt;IF(COUNTIFS('2. Plot &amp; Core Log'!$B$6:$B$35,$A168,'2. Plot &amp; Core Log'!$L$6:$L$35,"&gt;0")=0,"",SUMIFS('2. Plot &amp; Core Log'!$L$6:$L$35,'2. Plot &amp; Core Log'!$B$6:$B$35,$A168))),"CHECK: slice deeper than the core length on Sheet 2",IF(OR($M168="",$N168="",$O168=""),"AWAITING LAB (dry weight, carbon value or type)",IF(AND(UPPER($O168)&lt;&gt;"OC",UPPER($O168)&lt;&gt;"LOI"),IF(UPPER($O168)="TC","TC is not organic carbon — ask the lab for OC or IC","CHECK: type must be OC, TC or LOI"),IF($R168="",IF(AND(LOI_INTERCEPT&lt;&gt;"",LOI_SLOPE&lt;&gt;""),"CHECK: LOI below the range of the conversion equation (OC would be &lt; 0)","CHECK: LOI conversion not set (Instructions tab)"),IF(OR($Q168&lt;=0,$Q168&gt;2.65,$R168&gt;50),"CHECK: bulk density outside 0–2.65 g/cm3 or OC &gt; 50%","OK")))))))))))</f>
        <v/>
      </c>
    </row>
    <row r="169" customFormat="false" ht="15.75" hidden="false" customHeight="true" outlineLevel="0" collapsed="false">
      <c r="A169" s="14"/>
      <c r="B169" s="14"/>
      <c r="C169" s="24"/>
      <c r="D169" s="24"/>
      <c r="E169" s="14"/>
      <c r="F169" s="16" t="str">
        <f aca="false">IF(OR($C169="",$D169=""),"",$D169-$C169)</f>
        <v/>
      </c>
      <c r="G169" s="25" t="str">
        <f aca="false">IF($A169="","",IFERROR(INDEX('2. Plot &amp; Core Log'!$M$6:$M$35,MATCH($A169,'2. Plot &amp; Core Log'!$B$6:$B$35,0)),""))</f>
        <v/>
      </c>
      <c r="H169" s="26" t="str">
        <f aca="false">IF($A169="","",IFERROR(INDEX('2. Plot &amp; Core Log'!$S$6:$S$35,MATCH($A169,'2. Plot &amp; Core Log'!$B$6:$B$35,0)),""))</f>
        <v/>
      </c>
      <c r="I169" s="16" t="str">
        <f aca="false">IF(OR($C169="",$G169=""),"",$C169*$G169)</f>
        <v/>
      </c>
      <c r="J169" s="16" t="str">
        <f aca="false">IF(OR($D169="",$G169=""),"",$D169*$G169)</f>
        <v/>
      </c>
      <c r="K169" s="16" t="str">
        <f aca="false">IF(OR($F169="",$H169=""),"",PI()*(($H169/2)^2)*$F169)</f>
        <v/>
      </c>
      <c r="L169" s="27"/>
      <c r="M169" s="27"/>
      <c r="N169" s="27"/>
      <c r="O169" s="27"/>
      <c r="P169" s="16" t="str">
        <f aca="false">IF(OR($L169="",$M169="",$L169=0),"",(($L169-$M169)/$L169)*100)</f>
        <v/>
      </c>
      <c r="Q169" s="15" t="str">
        <f aca="false">IF(OR($M169="",$K169="",$K169=0),"",$M169/$K169)</f>
        <v/>
      </c>
      <c r="R169" s="15" t="str">
        <f aca="false">IF(OR($N169="",$O169=""),"",IF(UPPER($O169)="OC",$N169,IF(UPPER($O169)="LOI",IF(OR(LOI_INTERCEPT="",LOI_SLOPE=""),"",IF(LOI_INTERCEPT+LOI_SLOPE*$N169&lt;0,"",LOI_INTERCEPT+LOI_SLOPE*$N169)),"")))</f>
        <v/>
      </c>
      <c r="S169" s="18" t="str">
        <f aca="false">IF($R169="","",$R169*10)</f>
        <v/>
      </c>
      <c r="T169" s="28" t="str">
        <f aca="false">IF(OR($Q169="",$R169=""),"",$Q169*$R169/100)</f>
        <v/>
      </c>
      <c r="U169" s="29" t="str">
        <f aca="false">IF(OR($T169="",$F169=""),"",$T169*$F169)</f>
        <v/>
      </c>
      <c r="V169" s="15" t="str">
        <f aca="false">IF($U169="","",$U169*10)</f>
        <v/>
      </c>
      <c r="W169" s="15" t="str">
        <f aca="false">IF(OR($V169="",$I169="",$J169="",$J169&lt;=$I169),"",$V169*MAX(0,MIN($J169,15)-MAX($I169,0))/($J169-$I169))</f>
        <v/>
      </c>
      <c r="X169" s="15" t="str">
        <f aca="false">IF(OR($V169="",$I169="",$J169="",$J169&lt;=$I169),"",$V169*MAX(0,MIN($J169,30)-MAX($I169,15))/($J169-$I169))</f>
        <v/>
      </c>
      <c r="Y169" s="15" t="str">
        <f aca="false">IF(OR($V169="",$I169="",$J169="",$J169&lt;=$I169),"",$V169*MAX(0,MIN($J169,50)-MAX($I169,30))/($J169-$I169))</f>
        <v/>
      </c>
      <c r="Z169" s="15" t="str">
        <f aca="false">IF(OR($V169="",$I169="",$J169="",$J169&lt;=$I169),"",$V169*MAX(0,MIN($J169,100)-MAX($I169,50))/($J169-$I169))</f>
        <v/>
      </c>
      <c r="AA169" s="16" t="str">
        <f aca="false">IF($A169="","",IF(OR($C169="",$D169="",$D169&lt;=$C169),"CHECK: depths missing, or bottom not below top",IF(COUNTIFS($A$6:$A$205,$A169,$C$6:$C$205,$C169)&gt;1,"DUPLICATE slice",IF(COUNTIFS($A$6:$A$205,$A169,$C$6:$C$205,"&lt;"&amp;$D169,$D$6:$D$205,"&gt;"&amp;$C169)&gt;1,"OVERLAP with another slice",IF(AND($C169&gt;0,COUNTIFS($A$6:$A$205,$A169,$D$6:$D$205,$C169)=0),"GAP above this slice",IF(OR($G169="",$H169=""),"CHECK: Core ID not in Core Log, or its compaction / diameter missing",IF(AND(IF(COUNTIFS('2. Plot &amp; Core Log'!$B$6:$B$35,$A169,'2. Plot &amp; Core Log'!$L$6:$L$35,"&gt;0")=0,"",SUMIFS('2. Plot &amp; Core Log'!$L$6:$L$35,'2. Plot &amp; Core Log'!$B$6:$B$35,$A169))&lt;&gt;"",$D169&gt;IF(COUNTIFS('2. Plot &amp; Core Log'!$B$6:$B$35,$A169,'2. Plot &amp; Core Log'!$L$6:$L$35,"&gt;0")=0,"",SUMIFS('2. Plot &amp; Core Log'!$L$6:$L$35,'2. Plot &amp; Core Log'!$B$6:$B$35,$A169))),"CHECK: slice deeper than the core length on Sheet 2",IF(OR($M169="",$N169="",$O169=""),"AWAITING LAB (dry weight, carbon value or type)",IF(AND(UPPER($O169)&lt;&gt;"OC",UPPER($O169)&lt;&gt;"LOI"),IF(UPPER($O169)="TC","TC is not organic carbon — ask the lab for OC or IC","CHECK: type must be OC, TC or LOI"),IF($R169="",IF(AND(LOI_INTERCEPT&lt;&gt;"",LOI_SLOPE&lt;&gt;""),"CHECK: LOI below the range of the conversion equation (OC would be &lt; 0)","CHECK: LOI conversion not set (Instructions tab)"),IF(OR($Q169&lt;=0,$Q169&gt;2.65,$R169&gt;50),"CHECK: bulk density outside 0–2.65 g/cm3 or OC &gt; 50%","OK")))))))))))</f>
        <v/>
      </c>
    </row>
    <row r="170" customFormat="false" ht="15.75" hidden="false" customHeight="true" outlineLevel="0" collapsed="false">
      <c r="A170" s="14"/>
      <c r="B170" s="14"/>
      <c r="C170" s="24"/>
      <c r="D170" s="24"/>
      <c r="E170" s="14"/>
      <c r="F170" s="16" t="str">
        <f aca="false">IF(OR($C170="",$D170=""),"",$D170-$C170)</f>
        <v/>
      </c>
      <c r="G170" s="25" t="str">
        <f aca="false">IF($A170="","",IFERROR(INDEX('2. Plot &amp; Core Log'!$M$6:$M$35,MATCH($A170,'2. Plot &amp; Core Log'!$B$6:$B$35,0)),""))</f>
        <v/>
      </c>
      <c r="H170" s="26" t="str">
        <f aca="false">IF($A170="","",IFERROR(INDEX('2. Plot &amp; Core Log'!$S$6:$S$35,MATCH($A170,'2. Plot &amp; Core Log'!$B$6:$B$35,0)),""))</f>
        <v/>
      </c>
      <c r="I170" s="16" t="str">
        <f aca="false">IF(OR($C170="",$G170=""),"",$C170*$G170)</f>
        <v/>
      </c>
      <c r="J170" s="16" t="str">
        <f aca="false">IF(OR($D170="",$G170=""),"",$D170*$G170)</f>
        <v/>
      </c>
      <c r="K170" s="16" t="str">
        <f aca="false">IF(OR($F170="",$H170=""),"",PI()*(($H170/2)^2)*$F170)</f>
        <v/>
      </c>
      <c r="L170" s="27"/>
      <c r="M170" s="27"/>
      <c r="N170" s="27"/>
      <c r="O170" s="27"/>
      <c r="P170" s="16" t="str">
        <f aca="false">IF(OR($L170="",$M170="",$L170=0),"",(($L170-$M170)/$L170)*100)</f>
        <v/>
      </c>
      <c r="Q170" s="15" t="str">
        <f aca="false">IF(OR($M170="",$K170="",$K170=0),"",$M170/$K170)</f>
        <v/>
      </c>
      <c r="R170" s="15" t="str">
        <f aca="false">IF(OR($N170="",$O170=""),"",IF(UPPER($O170)="OC",$N170,IF(UPPER($O170)="LOI",IF(OR(LOI_INTERCEPT="",LOI_SLOPE=""),"",IF(LOI_INTERCEPT+LOI_SLOPE*$N170&lt;0,"",LOI_INTERCEPT+LOI_SLOPE*$N170)),"")))</f>
        <v/>
      </c>
      <c r="S170" s="18" t="str">
        <f aca="false">IF($R170="","",$R170*10)</f>
        <v/>
      </c>
      <c r="T170" s="28" t="str">
        <f aca="false">IF(OR($Q170="",$R170=""),"",$Q170*$R170/100)</f>
        <v/>
      </c>
      <c r="U170" s="29" t="str">
        <f aca="false">IF(OR($T170="",$F170=""),"",$T170*$F170)</f>
        <v/>
      </c>
      <c r="V170" s="15" t="str">
        <f aca="false">IF($U170="","",$U170*10)</f>
        <v/>
      </c>
      <c r="W170" s="15" t="str">
        <f aca="false">IF(OR($V170="",$I170="",$J170="",$J170&lt;=$I170),"",$V170*MAX(0,MIN($J170,15)-MAX($I170,0))/($J170-$I170))</f>
        <v/>
      </c>
      <c r="X170" s="15" t="str">
        <f aca="false">IF(OR($V170="",$I170="",$J170="",$J170&lt;=$I170),"",$V170*MAX(0,MIN($J170,30)-MAX($I170,15))/($J170-$I170))</f>
        <v/>
      </c>
      <c r="Y170" s="15" t="str">
        <f aca="false">IF(OR($V170="",$I170="",$J170="",$J170&lt;=$I170),"",$V170*MAX(0,MIN($J170,50)-MAX($I170,30))/($J170-$I170))</f>
        <v/>
      </c>
      <c r="Z170" s="15" t="str">
        <f aca="false">IF(OR($V170="",$I170="",$J170="",$J170&lt;=$I170),"",$V170*MAX(0,MIN($J170,100)-MAX($I170,50))/($J170-$I170))</f>
        <v/>
      </c>
      <c r="AA170" s="16" t="str">
        <f aca="false">IF($A170="","",IF(OR($C170="",$D170="",$D170&lt;=$C170),"CHECK: depths missing, or bottom not below top",IF(COUNTIFS($A$6:$A$205,$A170,$C$6:$C$205,$C170)&gt;1,"DUPLICATE slice",IF(COUNTIFS($A$6:$A$205,$A170,$C$6:$C$205,"&lt;"&amp;$D170,$D$6:$D$205,"&gt;"&amp;$C170)&gt;1,"OVERLAP with another slice",IF(AND($C170&gt;0,COUNTIFS($A$6:$A$205,$A170,$D$6:$D$205,$C170)=0),"GAP above this slice",IF(OR($G170="",$H170=""),"CHECK: Core ID not in Core Log, or its compaction / diameter missing",IF(AND(IF(COUNTIFS('2. Plot &amp; Core Log'!$B$6:$B$35,$A170,'2. Plot &amp; Core Log'!$L$6:$L$35,"&gt;0")=0,"",SUMIFS('2. Plot &amp; Core Log'!$L$6:$L$35,'2. Plot &amp; Core Log'!$B$6:$B$35,$A170))&lt;&gt;"",$D170&gt;IF(COUNTIFS('2. Plot &amp; Core Log'!$B$6:$B$35,$A170,'2. Plot &amp; Core Log'!$L$6:$L$35,"&gt;0")=0,"",SUMIFS('2. Plot &amp; Core Log'!$L$6:$L$35,'2. Plot &amp; Core Log'!$B$6:$B$35,$A170))),"CHECK: slice deeper than the core length on Sheet 2",IF(OR($M170="",$N170="",$O170=""),"AWAITING LAB (dry weight, carbon value or type)",IF(AND(UPPER($O170)&lt;&gt;"OC",UPPER($O170)&lt;&gt;"LOI"),IF(UPPER($O170)="TC","TC is not organic carbon — ask the lab for OC or IC","CHECK: type must be OC, TC or LOI"),IF($R170="",IF(AND(LOI_INTERCEPT&lt;&gt;"",LOI_SLOPE&lt;&gt;""),"CHECK: LOI below the range of the conversion equation (OC would be &lt; 0)","CHECK: LOI conversion not set (Instructions tab)"),IF(OR($Q170&lt;=0,$Q170&gt;2.65,$R170&gt;50),"CHECK: bulk density outside 0–2.65 g/cm3 or OC &gt; 50%","OK")))))))))))</f>
        <v/>
      </c>
    </row>
    <row r="171" customFormat="false" ht="15.75" hidden="false" customHeight="true" outlineLevel="0" collapsed="false">
      <c r="A171" s="14"/>
      <c r="B171" s="14"/>
      <c r="C171" s="24"/>
      <c r="D171" s="24"/>
      <c r="E171" s="14"/>
      <c r="F171" s="16" t="str">
        <f aca="false">IF(OR($C171="",$D171=""),"",$D171-$C171)</f>
        <v/>
      </c>
      <c r="G171" s="25" t="str">
        <f aca="false">IF($A171="","",IFERROR(INDEX('2. Plot &amp; Core Log'!$M$6:$M$35,MATCH($A171,'2. Plot &amp; Core Log'!$B$6:$B$35,0)),""))</f>
        <v/>
      </c>
      <c r="H171" s="26" t="str">
        <f aca="false">IF($A171="","",IFERROR(INDEX('2. Plot &amp; Core Log'!$S$6:$S$35,MATCH($A171,'2. Plot &amp; Core Log'!$B$6:$B$35,0)),""))</f>
        <v/>
      </c>
      <c r="I171" s="16" t="str">
        <f aca="false">IF(OR($C171="",$G171=""),"",$C171*$G171)</f>
        <v/>
      </c>
      <c r="J171" s="16" t="str">
        <f aca="false">IF(OR($D171="",$G171=""),"",$D171*$G171)</f>
        <v/>
      </c>
      <c r="K171" s="16" t="str">
        <f aca="false">IF(OR($F171="",$H171=""),"",PI()*(($H171/2)^2)*$F171)</f>
        <v/>
      </c>
      <c r="L171" s="27"/>
      <c r="M171" s="27"/>
      <c r="N171" s="27"/>
      <c r="O171" s="27"/>
      <c r="P171" s="16" t="str">
        <f aca="false">IF(OR($L171="",$M171="",$L171=0),"",(($L171-$M171)/$L171)*100)</f>
        <v/>
      </c>
      <c r="Q171" s="15" t="str">
        <f aca="false">IF(OR($M171="",$K171="",$K171=0),"",$M171/$K171)</f>
        <v/>
      </c>
      <c r="R171" s="15" t="str">
        <f aca="false">IF(OR($N171="",$O171=""),"",IF(UPPER($O171)="OC",$N171,IF(UPPER($O171)="LOI",IF(OR(LOI_INTERCEPT="",LOI_SLOPE=""),"",IF(LOI_INTERCEPT+LOI_SLOPE*$N171&lt;0,"",LOI_INTERCEPT+LOI_SLOPE*$N171)),"")))</f>
        <v/>
      </c>
      <c r="S171" s="18" t="str">
        <f aca="false">IF($R171="","",$R171*10)</f>
        <v/>
      </c>
      <c r="T171" s="28" t="str">
        <f aca="false">IF(OR($Q171="",$R171=""),"",$Q171*$R171/100)</f>
        <v/>
      </c>
      <c r="U171" s="29" t="str">
        <f aca="false">IF(OR($T171="",$F171=""),"",$T171*$F171)</f>
        <v/>
      </c>
      <c r="V171" s="15" t="str">
        <f aca="false">IF($U171="","",$U171*10)</f>
        <v/>
      </c>
      <c r="W171" s="15" t="str">
        <f aca="false">IF(OR($V171="",$I171="",$J171="",$J171&lt;=$I171),"",$V171*MAX(0,MIN($J171,15)-MAX($I171,0))/($J171-$I171))</f>
        <v/>
      </c>
      <c r="X171" s="15" t="str">
        <f aca="false">IF(OR($V171="",$I171="",$J171="",$J171&lt;=$I171),"",$V171*MAX(0,MIN($J171,30)-MAX($I171,15))/($J171-$I171))</f>
        <v/>
      </c>
      <c r="Y171" s="15" t="str">
        <f aca="false">IF(OR($V171="",$I171="",$J171="",$J171&lt;=$I171),"",$V171*MAX(0,MIN($J171,50)-MAX($I171,30))/($J171-$I171))</f>
        <v/>
      </c>
      <c r="Z171" s="15" t="str">
        <f aca="false">IF(OR($V171="",$I171="",$J171="",$J171&lt;=$I171),"",$V171*MAX(0,MIN($J171,100)-MAX($I171,50))/($J171-$I171))</f>
        <v/>
      </c>
      <c r="AA171" s="16" t="str">
        <f aca="false">IF($A171="","",IF(OR($C171="",$D171="",$D171&lt;=$C171),"CHECK: depths missing, or bottom not below top",IF(COUNTIFS($A$6:$A$205,$A171,$C$6:$C$205,$C171)&gt;1,"DUPLICATE slice",IF(COUNTIFS($A$6:$A$205,$A171,$C$6:$C$205,"&lt;"&amp;$D171,$D$6:$D$205,"&gt;"&amp;$C171)&gt;1,"OVERLAP with another slice",IF(AND($C171&gt;0,COUNTIFS($A$6:$A$205,$A171,$D$6:$D$205,$C171)=0),"GAP above this slice",IF(OR($G171="",$H171=""),"CHECK: Core ID not in Core Log, or its compaction / diameter missing",IF(AND(IF(COUNTIFS('2. Plot &amp; Core Log'!$B$6:$B$35,$A171,'2. Plot &amp; Core Log'!$L$6:$L$35,"&gt;0")=0,"",SUMIFS('2. Plot &amp; Core Log'!$L$6:$L$35,'2. Plot &amp; Core Log'!$B$6:$B$35,$A171))&lt;&gt;"",$D171&gt;IF(COUNTIFS('2. Plot &amp; Core Log'!$B$6:$B$35,$A171,'2. Plot &amp; Core Log'!$L$6:$L$35,"&gt;0")=0,"",SUMIFS('2. Plot &amp; Core Log'!$L$6:$L$35,'2. Plot &amp; Core Log'!$B$6:$B$35,$A171))),"CHECK: slice deeper than the core length on Sheet 2",IF(OR($M171="",$N171="",$O171=""),"AWAITING LAB (dry weight, carbon value or type)",IF(AND(UPPER($O171)&lt;&gt;"OC",UPPER($O171)&lt;&gt;"LOI"),IF(UPPER($O171)="TC","TC is not organic carbon — ask the lab for OC or IC","CHECK: type must be OC, TC or LOI"),IF($R171="",IF(AND(LOI_INTERCEPT&lt;&gt;"",LOI_SLOPE&lt;&gt;""),"CHECK: LOI below the range of the conversion equation (OC would be &lt; 0)","CHECK: LOI conversion not set (Instructions tab)"),IF(OR($Q171&lt;=0,$Q171&gt;2.65,$R171&gt;50),"CHECK: bulk density outside 0–2.65 g/cm3 or OC &gt; 50%","OK")))))))))))</f>
        <v/>
      </c>
    </row>
    <row r="172" customFormat="false" ht="15.75" hidden="false" customHeight="true" outlineLevel="0" collapsed="false">
      <c r="A172" s="14"/>
      <c r="B172" s="14"/>
      <c r="C172" s="24"/>
      <c r="D172" s="24"/>
      <c r="E172" s="14"/>
      <c r="F172" s="16" t="str">
        <f aca="false">IF(OR($C172="",$D172=""),"",$D172-$C172)</f>
        <v/>
      </c>
      <c r="G172" s="25" t="str">
        <f aca="false">IF($A172="","",IFERROR(INDEX('2. Plot &amp; Core Log'!$M$6:$M$35,MATCH($A172,'2. Plot &amp; Core Log'!$B$6:$B$35,0)),""))</f>
        <v/>
      </c>
      <c r="H172" s="26" t="str">
        <f aca="false">IF($A172="","",IFERROR(INDEX('2. Plot &amp; Core Log'!$S$6:$S$35,MATCH($A172,'2. Plot &amp; Core Log'!$B$6:$B$35,0)),""))</f>
        <v/>
      </c>
      <c r="I172" s="16" t="str">
        <f aca="false">IF(OR($C172="",$G172=""),"",$C172*$G172)</f>
        <v/>
      </c>
      <c r="J172" s="16" t="str">
        <f aca="false">IF(OR($D172="",$G172=""),"",$D172*$G172)</f>
        <v/>
      </c>
      <c r="K172" s="16" t="str">
        <f aca="false">IF(OR($F172="",$H172=""),"",PI()*(($H172/2)^2)*$F172)</f>
        <v/>
      </c>
      <c r="L172" s="27"/>
      <c r="M172" s="27"/>
      <c r="N172" s="27"/>
      <c r="O172" s="27"/>
      <c r="P172" s="16" t="str">
        <f aca="false">IF(OR($L172="",$M172="",$L172=0),"",(($L172-$M172)/$L172)*100)</f>
        <v/>
      </c>
      <c r="Q172" s="15" t="str">
        <f aca="false">IF(OR($M172="",$K172="",$K172=0),"",$M172/$K172)</f>
        <v/>
      </c>
      <c r="R172" s="15" t="str">
        <f aca="false">IF(OR($N172="",$O172=""),"",IF(UPPER($O172)="OC",$N172,IF(UPPER($O172)="LOI",IF(OR(LOI_INTERCEPT="",LOI_SLOPE=""),"",IF(LOI_INTERCEPT+LOI_SLOPE*$N172&lt;0,"",LOI_INTERCEPT+LOI_SLOPE*$N172)),"")))</f>
        <v/>
      </c>
      <c r="S172" s="18" t="str">
        <f aca="false">IF($R172="","",$R172*10)</f>
        <v/>
      </c>
      <c r="T172" s="28" t="str">
        <f aca="false">IF(OR($Q172="",$R172=""),"",$Q172*$R172/100)</f>
        <v/>
      </c>
      <c r="U172" s="29" t="str">
        <f aca="false">IF(OR($T172="",$F172=""),"",$T172*$F172)</f>
        <v/>
      </c>
      <c r="V172" s="15" t="str">
        <f aca="false">IF($U172="","",$U172*10)</f>
        <v/>
      </c>
      <c r="W172" s="15" t="str">
        <f aca="false">IF(OR($V172="",$I172="",$J172="",$J172&lt;=$I172),"",$V172*MAX(0,MIN($J172,15)-MAX($I172,0))/($J172-$I172))</f>
        <v/>
      </c>
      <c r="X172" s="15" t="str">
        <f aca="false">IF(OR($V172="",$I172="",$J172="",$J172&lt;=$I172),"",$V172*MAX(0,MIN($J172,30)-MAX($I172,15))/($J172-$I172))</f>
        <v/>
      </c>
      <c r="Y172" s="15" t="str">
        <f aca="false">IF(OR($V172="",$I172="",$J172="",$J172&lt;=$I172),"",$V172*MAX(0,MIN($J172,50)-MAX($I172,30))/($J172-$I172))</f>
        <v/>
      </c>
      <c r="Z172" s="15" t="str">
        <f aca="false">IF(OR($V172="",$I172="",$J172="",$J172&lt;=$I172),"",$V172*MAX(0,MIN($J172,100)-MAX($I172,50))/($J172-$I172))</f>
        <v/>
      </c>
      <c r="AA172" s="16" t="str">
        <f aca="false">IF($A172="","",IF(OR($C172="",$D172="",$D172&lt;=$C172),"CHECK: depths missing, or bottom not below top",IF(COUNTIFS($A$6:$A$205,$A172,$C$6:$C$205,$C172)&gt;1,"DUPLICATE slice",IF(COUNTIFS($A$6:$A$205,$A172,$C$6:$C$205,"&lt;"&amp;$D172,$D$6:$D$205,"&gt;"&amp;$C172)&gt;1,"OVERLAP with another slice",IF(AND($C172&gt;0,COUNTIFS($A$6:$A$205,$A172,$D$6:$D$205,$C172)=0),"GAP above this slice",IF(OR($G172="",$H172=""),"CHECK: Core ID not in Core Log, or its compaction / diameter missing",IF(AND(IF(COUNTIFS('2. Plot &amp; Core Log'!$B$6:$B$35,$A172,'2. Plot &amp; Core Log'!$L$6:$L$35,"&gt;0")=0,"",SUMIFS('2. Plot &amp; Core Log'!$L$6:$L$35,'2. Plot &amp; Core Log'!$B$6:$B$35,$A172))&lt;&gt;"",$D172&gt;IF(COUNTIFS('2. Plot &amp; Core Log'!$B$6:$B$35,$A172,'2. Plot &amp; Core Log'!$L$6:$L$35,"&gt;0")=0,"",SUMIFS('2. Plot &amp; Core Log'!$L$6:$L$35,'2. Plot &amp; Core Log'!$B$6:$B$35,$A172))),"CHECK: slice deeper than the core length on Sheet 2",IF(OR($M172="",$N172="",$O172=""),"AWAITING LAB (dry weight, carbon value or type)",IF(AND(UPPER($O172)&lt;&gt;"OC",UPPER($O172)&lt;&gt;"LOI"),IF(UPPER($O172)="TC","TC is not organic carbon — ask the lab for OC or IC","CHECK: type must be OC, TC or LOI"),IF($R172="",IF(AND(LOI_INTERCEPT&lt;&gt;"",LOI_SLOPE&lt;&gt;""),"CHECK: LOI below the range of the conversion equation (OC would be &lt; 0)","CHECK: LOI conversion not set (Instructions tab)"),IF(OR($Q172&lt;=0,$Q172&gt;2.65,$R172&gt;50),"CHECK: bulk density outside 0–2.65 g/cm3 or OC &gt; 50%","OK")))))))))))</f>
        <v/>
      </c>
    </row>
    <row r="173" customFormat="false" ht="15.75" hidden="false" customHeight="true" outlineLevel="0" collapsed="false">
      <c r="A173" s="14"/>
      <c r="B173" s="14"/>
      <c r="C173" s="24"/>
      <c r="D173" s="24"/>
      <c r="E173" s="14"/>
      <c r="F173" s="16" t="str">
        <f aca="false">IF(OR($C173="",$D173=""),"",$D173-$C173)</f>
        <v/>
      </c>
      <c r="G173" s="25" t="str">
        <f aca="false">IF($A173="","",IFERROR(INDEX('2. Plot &amp; Core Log'!$M$6:$M$35,MATCH($A173,'2. Plot &amp; Core Log'!$B$6:$B$35,0)),""))</f>
        <v/>
      </c>
      <c r="H173" s="26" t="str">
        <f aca="false">IF($A173="","",IFERROR(INDEX('2. Plot &amp; Core Log'!$S$6:$S$35,MATCH($A173,'2. Plot &amp; Core Log'!$B$6:$B$35,0)),""))</f>
        <v/>
      </c>
      <c r="I173" s="16" t="str">
        <f aca="false">IF(OR($C173="",$G173=""),"",$C173*$G173)</f>
        <v/>
      </c>
      <c r="J173" s="16" t="str">
        <f aca="false">IF(OR($D173="",$G173=""),"",$D173*$G173)</f>
        <v/>
      </c>
      <c r="K173" s="16" t="str">
        <f aca="false">IF(OR($F173="",$H173=""),"",PI()*(($H173/2)^2)*$F173)</f>
        <v/>
      </c>
      <c r="L173" s="27"/>
      <c r="M173" s="27"/>
      <c r="N173" s="27"/>
      <c r="O173" s="27"/>
      <c r="P173" s="16" t="str">
        <f aca="false">IF(OR($L173="",$M173="",$L173=0),"",(($L173-$M173)/$L173)*100)</f>
        <v/>
      </c>
      <c r="Q173" s="15" t="str">
        <f aca="false">IF(OR($M173="",$K173="",$K173=0),"",$M173/$K173)</f>
        <v/>
      </c>
      <c r="R173" s="15" t="str">
        <f aca="false">IF(OR($N173="",$O173=""),"",IF(UPPER($O173)="OC",$N173,IF(UPPER($O173)="LOI",IF(OR(LOI_INTERCEPT="",LOI_SLOPE=""),"",IF(LOI_INTERCEPT+LOI_SLOPE*$N173&lt;0,"",LOI_INTERCEPT+LOI_SLOPE*$N173)),"")))</f>
        <v/>
      </c>
      <c r="S173" s="18" t="str">
        <f aca="false">IF($R173="","",$R173*10)</f>
        <v/>
      </c>
      <c r="T173" s="28" t="str">
        <f aca="false">IF(OR($Q173="",$R173=""),"",$Q173*$R173/100)</f>
        <v/>
      </c>
      <c r="U173" s="29" t="str">
        <f aca="false">IF(OR($T173="",$F173=""),"",$T173*$F173)</f>
        <v/>
      </c>
      <c r="V173" s="15" t="str">
        <f aca="false">IF($U173="","",$U173*10)</f>
        <v/>
      </c>
      <c r="W173" s="15" t="str">
        <f aca="false">IF(OR($V173="",$I173="",$J173="",$J173&lt;=$I173),"",$V173*MAX(0,MIN($J173,15)-MAX($I173,0))/($J173-$I173))</f>
        <v/>
      </c>
      <c r="X173" s="15" t="str">
        <f aca="false">IF(OR($V173="",$I173="",$J173="",$J173&lt;=$I173),"",$V173*MAX(0,MIN($J173,30)-MAX($I173,15))/($J173-$I173))</f>
        <v/>
      </c>
      <c r="Y173" s="15" t="str">
        <f aca="false">IF(OR($V173="",$I173="",$J173="",$J173&lt;=$I173),"",$V173*MAX(0,MIN($J173,50)-MAX($I173,30))/($J173-$I173))</f>
        <v/>
      </c>
      <c r="Z173" s="15" t="str">
        <f aca="false">IF(OR($V173="",$I173="",$J173="",$J173&lt;=$I173),"",$V173*MAX(0,MIN($J173,100)-MAX($I173,50))/($J173-$I173))</f>
        <v/>
      </c>
      <c r="AA173" s="16" t="str">
        <f aca="false">IF($A173="","",IF(OR($C173="",$D173="",$D173&lt;=$C173),"CHECK: depths missing, or bottom not below top",IF(COUNTIFS($A$6:$A$205,$A173,$C$6:$C$205,$C173)&gt;1,"DUPLICATE slice",IF(COUNTIFS($A$6:$A$205,$A173,$C$6:$C$205,"&lt;"&amp;$D173,$D$6:$D$205,"&gt;"&amp;$C173)&gt;1,"OVERLAP with another slice",IF(AND($C173&gt;0,COUNTIFS($A$6:$A$205,$A173,$D$6:$D$205,$C173)=0),"GAP above this slice",IF(OR($G173="",$H173=""),"CHECK: Core ID not in Core Log, or its compaction / diameter missing",IF(AND(IF(COUNTIFS('2. Plot &amp; Core Log'!$B$6:$B$35,$A173,'2. Plot &amp; Core Log'!$L$6:$L$35,"&gt;0")=0,"",SUMIFS('2. Plot &amp; Core Log'!$L$6:$L$35,'2. Plot &amp; Core Log'!$B$6:$B$35,$A173))&lt;&gt;"",$D173&gt;IF(COUNTIFS('2. Plot &amp; Core Log'!$B$6:$B$35,$A173,'2. Plot &amp; Core Log'!$L$6:$L$35,"&gt;0")=0,"",SUMIFS('2. Plot &amp; Core Log'!$L$6:$L$35,'2. Plot &amp; Core Log'!$B$6:$B$35,$A173))),"CHECK: slice deeper than the core length on Sheet 2",IF(OR($M173="",$N173="",$O173=""),"AWAITING LAB (dry weight, carbon value or type)",IF(AND(UPPER($O173)&lt;&gt;"OC",UPPER($O173)&lt;&gt;"LOI"),IF(UPPER($O173)="TC","TC is not organic carbon — ask the lab for OC or IC","CHECK: type must be OC, TC or LOI"),IF($R173="",IF(AND(LOI_INTERCEPT&lt;&gt;"",LOI_SLOPE&lt;&gt;""),"CHECK: LOI below the range of the conversion equation (OC would be &lt; 0)","CHECK: LOI conversion not set (Instructions tab)"),IF(OR($Q173&lt;=0,$Q173&gt;2.65,$R173&gt;50),"CHECK: bulk density outside 0–2.65 g/cm3 or OC &gt; 50%","OK")))))))))))</f>
        <v/>
      </c>
    </row>
    <row r="174" customFormat="false" ht="15.75" hidden="false" customHeight="true" outlineLevel="0" collapsed="false">
      <c r="A174" s="14"/>
      <c r="B174" s="14"/>
      <c r="C174" s="24"/>
      <c r="D174" s="24"/>
      <c r="E174" s="14"/>
      <c r="F174" s="16" t="str">
        <f aca="false">IF(OR($C174="",$D174=""),"",$D174-$C174)</f>
        <v/>
      </c>
      <c r="G174" s="25" t="str">
        <f aca="false">IF($A174="","",IFERROR(INDEX('2. Plot &amp; Core Log'!$M$6:$M$35,MATCH($A174,'2. Plot &amp; Core Log'!$B$6:$B$35,0)),""))</f>
        <v/>
      </c>
      <c r="H174" s="26" t="str">
        <f aca="false">IF($A174="","",IFERROR(INDEX('2. Plot &amp; Core Log'!$S$6:$S$35,MATCH($A174,'2. Plot &amp; Core Log'!$B$6:$B$35,0)),""))</f>
        <v/>
      </c>
      <c r="I174" s="16" t="str">
        <f aca="false">IF(OR($C174="",$G174=""),"",$C174*$G174)</f>
        <v/>
      </c>
      <c r="J174" s="16" t="str">
        <f aca="false">IF(OR($D174="",$G174=""),"",$D174*$G174)</f>
        <v/>
      </c>
      <c r="K174" s="16" t="str">
        <f aca="false">IF(OR($F174="",$H174=""),"",PI()*(($H174/2)^2)*$F174)</f>
        <v/>
      </c>
      <c r="L174" s="27"/>
      <c r="M174" s="27"/>
      <c r="N174" s="27"/>
      <c r="O174" s="27"/>
      <c r="P174" s="16" t="str">
        <f aca="false">IF(OR($L174="",$M174="",$L174=0),"",(($L174-$M174)/$L174)*100)</f>
        <v/>
      </c>
      <c r="Q174" s="15" t="str">
        <f aca="false">IF(OR($M174="",$K174="",$K174=0),"",$M174/$K174)</f>
        <v/>
      </c>
      <c r="R174" s="15" t="str">
        <f aca="false">IF(OR($N174="",$O174=""),"",IF(UPPER($O174)="OC",$N174,IF(UPPER($O174)="LOI",IF(OR(LOI_INTERCEPT="",LOI_SLOPE=""),"",IF(LOI_INTERCEPT+LOI_SLOPE*$N174&lt;0,"",LOI_INTERCEPT+LOI_SLOPE*$N174)),"")))</f>
        <v/>
      </c>
      <c r="S174" s="18" t="str">
        <f aca="false">IF($R174="","",$R174*10)</f>
        <v/>
      </c>
      <c r="T174" s="28" t="str">
        <f aca="false">IF(OR($Q174="",$R174=""),"",$Q174*$R174/100)</f>
        <v/>
      </c>
      <c r="U174" s="29" t="str">
        <f aca="false">IF(OR($T174="",$F174=""),"",$T174*$F174)</f>
        <v/>
      </c>
      <c r="V174" s="15" t="str">
        <f aca="false">IF($U174="","",$U174*10)</f>
        <v/>
      </c>
      <c r="W174" s="15" t="str">
        <f aca="false">IF(OR($V174="",$I174="",$J174="",$J174&lt;=$I174),"",$V174*MAX(0,MIN($J174,15)-MAX($I174,0))/($J174-$I174))</f>
        <v/>
      </c>
      <c r="X174" s="15" t="str">
        <f aca="false">IF(OR($V174="",$I174="",$J174="",$J174&lt;=$I174),"",$V174*MAX(0,MIN($J174,30)-MAX($I174,15))/($J174-$I174))</f>
        <v/>
      </c>
      <c r="Y174" s="15" t="str">
        <f aca="false">IF(OR($V174="",$I174="",$J174="",$J174&lt;=$I174),"",$V174*MAX(0,MIN($J174,50)-MAX($I174,30))/($J174-$I174))</f>
        <v/>
      </c>
      <c r="Z174" s="15" t="str">
        <f aca="false">IF(OR($V174="",$I174="",$J174="",$J174&lt;=$I174),"",$V174*MAX(0,MIN($J174,100)-MAX($I174,50))/($J174-$I174))</f>
        <v/>
      </c>
      <c r="AA174" s="16" t="str">
        <f aca="false">IF($A174="","",IF(OR($C174="",$D174="",$D174&lt;=$C174),"CHECK: depths missing, or bottom not below top",IF(COUNTIFS($A$6:$A$205,$A174,$C$6:$C$205,$C174)&gt;1,"DUPLICATE slice",IF(COUNTIFS($A$6:$A$205,$A174,$C$6:$C$205,"&lt;"&amp;$D174,$D$6:$D$205,"&gt;"&amp;$C174)&gt;1,"OVERLAP with another slice",IF(AND($C174&gt;0,COUNTIFS($A$6:$A$205,$A174,$D$6:$D$205,$C174)=0),"GAP above this slice",IF(OR($G174="",$H174=""),"CHECK: Core ID not in Core Log, or its compaction / diameter missing",IF(AND(IF(COUNTIFS('2. Plot &amp; Core Log'!$B$6:$B$35,$A174,'2. Plot &amp; Core Log'!$L$6:$L$35,"&gt;0")=0,"",SUMIFS('2. Plot &amp; Core Log'!$L$6:$L$35,'2. Plot &amp; Core Log'!$B$6:$B$35,$A174))&lt;&gt;"",$D174&gt;IF(COUNTIFS('2. Plot &amp; Core Log'!$B$6:$B$35,$A174,'2. Plot &amp; Core Log'!$L$6:$L$35,"&gt;0")=0,"",SUMIFS('2. Plot &amp; Core Log'!$L$6:$L$35,'2. Plot &amp; Core Log'!$B$6:$B$35,$A174))),"CHECK: slice deeper than the core length on Sheet 2",IF(OR($M174="",$N174="",$O174=""),"AWAITING LAB (dry weight, carbon value or type)",IF(AND(UPPER($O174)&lt;&gt;"OC",UPPER($O174)&lt;&gt;"LOI"),IF(UPPER($O174)="TC","TC is not organic carbon — ask the lab for OC or IC","CHECK: type must be OC, TC or LOI"),IF($R174="",IF(AND(LOI_INTERCEPT&lt;&gt;"",LOI_SLOPE&lt;&gt;""),"CHECK: LOI below the range of the conversion equation (OC would be &lt; 0)","CHECK: LOI conversion not set (Instructions tab)"),IF(OR($Q174&lt;=0,$Q174&gt;2.65,$R174&gt;50),"CHECK: bulk density outside 0–2.65 g/cm3 or OC &gt; 50%","OK")))))))))))</f>
        <v/>
      </c>
    </row>
    <row r="175" customFormat="false" ht="15.75" hidden="false" customHeight="true" outlineLevel="0" collapsed="false">
      <c r="A175" s="14"/>
      <c r="B175" s="14"/>
      <c r="C175" s="24"/>
      <c r="D175" s="24"/>
      <c r="E175" s="14"/>
      <c r="F175" s="16" t="str">
        <f aca="false">IF(OR($C175="",$D175=""),"",$D175-$C175)</f>
        <v/>
      </c>
      <c r="G175" s="25" t="str">
        <f aca="false">IF($A175="","",IFERROR(INDEX('2. Plot &amp; Core Log'!$M$6:$M$35,MATCH($A175,'2. Plot &amp; Core Log'!$B$6:$B$35,0)),""))</f>
        <v/>
      </c>
      <c r="H175" s="26" t="str">
        <f aca="false">IF($A175="","",IFERROR(INDEX('2. Plot &amp; Core Log'!$S$6:$S$35,MATCH($A175,'2. Plot &amp; Core Log'!$B$6:$B$35,0)),""))</f>
        <v/>
      </c>
      <c r="I175" s="16" t="str">
        <f aca="false">IF(OR($C175="",$G175=""),"",$C175*$G175)</f>
        <v/>
      </c>
      <c r="J175" s="16" t="str">
        <f aca="false">IF(OR($D175="",$G175=""),"",$D175*$G175)</f>
        <v/>
      </c>
      <c r="K175" s="16" t="str">
        <f aca="false">IF(OR($F175="",$H175=""),"",PI()*(($H175/2)^2)*$F175)</f>
        <v/>
      </c>
      <c r="L175" s="27"/>
      <c r="M175" s="27"/>
      <c r="N175" s="27"/>
      <c r="O175" s="27"/>
      <c r="P175" s="16" t="str">
        <f aca="false">IF(OR($L175="",$M175="",$L175=0),"",(($L175-$M175)/$L175)*100)</f>
        <v/>
      </c>
      <c r="Q175" s="15" t="str">
        <f aca="false">IF(OR($M175="",$K175="",$K175=0),"",$M175/$K175)</f>
        <v/>
      </c>
      <c r="R175" s="15" t="str">
        <f aca="false">IF(OR($N175="",$O175=""),"",IF(UPPER($O175)="OC",$N175,IF(UPPER($O175)="LOI",IF(OR(LOI_INTERCEPT="",LOI_SLOPE=""),"",IF(LOI_INTERCEPT+LOI_SLOPE*$N175&lt;0,"",LOI_INTERCEPT+LOI_SLOPE*$N175)),"")))</f>
        <v/>
      </c>
      <c r="S175" s="18" t="str">
        <f aca="false">IF($R175="","",$R175*10)</f>
        <v/>
      </c>
      <c r="T175" s="28" t="str">
        <f aca="false">IF(OR($Q175="",$R175=""),"",$Q175*$R175/100)</f>
        <v/>
      </c>
      <c r="U175" s="29" t="str">
        <f aca="false">IF(OR($T175="",$F175=""),"",$T175*$F175)</f>
        <v/>
      </c>
      <c r="V175" s="15" t="str">
        <f aca="false">IF($U175="","",$U175*10)</f>
        <v/>
      </c>
      <c r="W175" s="15" t="str">
        <f aca="false">IF(OR($V175="",$I175="",$J175="",$J175&lt;=$I175),"",$V175*MAX(0,MIN($J175,15)-MAX($I175,0))/($J175-$I175))</f>
        <v/>
      </c>
      <c r="X175" s="15" t="str">
        <f aca="false">IF(OR($V175="",$I175="",$J175="",$J175&lt;=$I175),"",$V175*MAX(0,MIN($J175,30)-MAX($I175,15))/($J175-$I175))</f>
        <v/>
      </c>
      <c r="Y175" s="15" t="str">
        <f aca="false">IF(OR($V175="",$I175="",$J175="",$J175&lt;=$I175),"",$V175*MAX(0,MIN($J175,50)-MAX($I175,30))/($J175-$I175))</f>
        <v/>
      </c>
      <c r="Z175" s="15" t="str">
        <f aca="false">IF(OR($V175="",$I175="",$J175="",$J175&lt;=$I175),"",$V175*MAX(0,MIN($J175,100)-MAX($I175,50))/($J175-$I175))</f>
        <v/>
      </c>
      <c r="AA175" s="16" t="str">
        <f aca="false">IF($A175="","",IF(OR($C175="",$D175="",$D175&lt;=$C175),"CHECK: depths missing, or bottom not below top",IF(COUNTIFS($A$6:$A$205,$A175,$C$6:$C$205,$C175)&gt;1,"DUPLICATE slice",IF(COUNTIFS($A$6:$A$205,$A175,$C$6:$C$205,"&lt;"&amp;$D175,$D$6:$D$205,"&gt;"&amp;$C175)&gt;1,"OVERLAP with another slice",IF(AND($C175&gt;0,COUNTIFS($A$6:$A$205,$A175,$D$6:$D$205,$C175)=0),"GAP above this slice",IF(OR($G175="",$H175=""),"CHECK: Core ID not in Core Log, or its compaction / diameter missing",IF(AND(IF(COUNTIFS('2. Plot &amp; Core Log'!$B$6:$B$35,$A175,'2. Plot &amp; Core Log'!$L$6:$L$35,"&gt;0")=0,"",SUMIFS('2. Plot &amp; Core Log'!$L$6:$L$35,'2. Plot &amp; Core Log'!$B$6:$B$35,$A175))&lt;&gt;"",$D175&gt;IF(COUNTIFS('2. Plot &amp; Core Log'!$B$6:$B$35,$A175,'2. Plot &amp; Core Log'!$L$6:$L$35,"&gt;0")=0,"",SUMIFS('2. Plot &amp; Core Log'!$L$6:$L$35,'2. Plot &amp; Core Log'!$B$6:$B$35,$A175))),"CHECK: slice deeper than the core length on Sheet 2",IF(OR($M175="",$N175="",$O175=""),"AWAITING LAB (dry weight, carbon value or type)",IF(AND(UPPER($O175)&lt;&gt;"OC",UPPER($O175)&lt;&gt;"LOI"),IF(UPPER($O175)="TC","TC is not organic carbon — ask the lab for OC or IC","CHECK: type must be OC, TC or LOI"),IF($R175="",IF(AND(LOI_INTERCEPT&lt;&gt;"",LOI_SLOPE&lt;&gt;""),"CHECK: LOI below the range of the conversion equation (OC would be &lt; 0)","CHECK: LOI conversion not set (Instructions tab)"),IF(OR($Q175&lt;=0,$Q175&gt;2.65,$R175&gt;50),"CHECK: bulk density outside 0–2.65 g/cm3 or OC &gt; 50%","OK")))))))))))</f>
        <v/>
      </c>
    </row>
    <row r="176" customFormat="false" ht="15.75" hidden="false" customHeight="true" outlineLevel="0" collapsed="false">
      <c r="A176" s="14"/>
      <c r="B176" s="14"/>
      <c r="C176" s="24"/>
      <c r="D176" s="24"/>
      <c r="E176" s="14"/>
      <c r="F176" s="16" t="str">
        <f aca="false">IF(OR($C176="",$D176=""),"",$D176-$C176)</f>
        <v/>
      </c>
      <c r="G176" s="25" t="str">
        <f aca="false">IF($A176="","",IFERROR(INDEX('2. Plot &amp; Core Log'!$M$6:$M$35,MATCH($A176,'2. Plot &amp; Core Log'!$B$6:$B$35,0)),""))</f>
        <v/>
      </c>
      <c r="H176" s="26" t="str">
        <f aca="false">IF($A176="","",IFERROR(INDEX('2. Plot &amp; Core Log'!$S$6:$S$35,MATCH($A176,'2. Plot &amp; Core Log'!$B$6:$B$35,0)),""))</f>
        <v/>
      </c>
      <c r="I176" s="16" t="str">
        <f aca="false">IF(OR($C176="",$G176=""),"",$C176*$G176)</f>
        <v/>
      </c>
      <c r="J176" s="16" t="str">
        <f aca="false">IF(OR($D176="",$G176=""),"",$D176*$G176)</f>
        <v/>
      </c>
      <c r="K176" s="16" t="str">
        <f aca="false">IF(OR($F176="",$H176=""),"",PI()*(($H176/2)^2)*$F176)</f>
        <v/>
      </c>
      <c r="L176" s="27"/>
      <c r="M176" s="27"/>
      <c r="N176" s="27"/>
      <c r="O176" s="27"/>
      <c r="P176" s="16" t="str">
        <f aca="false">IF(OR($L176="",$M176="",$L176=0),"",(($L176-$M176)/$L176)*100)</f>
        <v/>
      </c>
      <c r="Q176" s="15" t="str">
        <f aca="false">IF(OR($M176="",$K176="",$K176=0),"",$M176/$K176)</f>
        <v/>
      </c>
      <c r="R176" s="15" t="str">
        <f aca="false">IF(OR($N176="",$O176=""),"",IF(UPPER($O176)="OC",$N176,IF(UPPER($O176)="LOI",IF(OR(LOI_INTERCEPT="",LOI_SLOPE=""),"",IF(LOI_INTERCEPT+LOI_SLOPE*$N176&lt;0,"",LOI_INTERCEPT+LOI_SLOPE*$N176)),"")))</f>
        <v/>
      </c>
      <c r="S176" s="18" t="str">
        <f aca="false">IF($R176="","",$R176*10)</f>
        <v/>
      </c>
      <c r="T176" s="28" t="str">
        <f aca="false">IF(OR($Q176="",$R176=""),"",$Q176*$R176/100)</f>
        <v/>
      </c>
      <c r="U176" s="29" t="str">
        <f aca="false">IF(OR($T176="",$F176=""),"",$T176*$F176)</f>
        <v/>
      </c>
      <c r="V176" s="15" t="str">
        <f aca="false">IF($U176="","",$U176*10)</f>
        <v/>
      </c>
      <c r="W176" s="15" t="str">
        <f aca="false">IF(OR($V176="",$I176="",$J176="",$J176&lt;=$I176),"",$V176*MAX(0,MIN($J176,15)-MAX($I176,0))/($J176-$I176))</f>
        <v/>
      </c>
      <c r="X176" s="15" t="str">
        <f aca="false">IF(OR($V176="",$I176="",$J176="",$J176&lt;=$I176),"",$V176*MAX(0,MIN($J176,30)-MAX($I176,15))/($J176-$I176))</f>
        <v/>
      </c>
      <c r="Y176" s="15" t="str">
        <f aca="false">IF(OR($V176="",$I176="",$J176="",$J176&lt;=$I176),"",$V176*MAX(0,MIN($J176,50)-MAX($I176,30))/($J176-$I176))</f>
        <v/>
      </c>
      <c r="Z176" s="15" t="str">
        <f aca="false">IF(OR($V176="",$I176="",$J176="",$J176&lt;=$I176),"",$V176*MAX(0,MIN($J176,100)-MAX($I176,50))/($J176-$I176))</f>
        <v/>
      </c>
      <c r="AA176" s="16" t="str">
        <f aca="false">IF($A176="","",IF(OR($C176="",$D176="",$D176&lt;=$C176),"CHECK: depths missing, or bottom not below top",IF(COUNTIFS($A$6:$A$205,$A176,$C$6:$C$205,$C176)&gt;1,"DUPLICATE slice",IF(COUNTIFS($A$6:$A$205,$A176,$C$6:$C$205,"&lt;"&amp;$D176,$D$6:$D$205,"&gt;"&amp;$C176)&gt;1,"OVERLAP with another slice",IF(AND($C176&gt;0,COUNTIFS($A$6:$A$205,$A176,$D$6:$D$205,$C176)=0),"GAP above this slice",IF(OR($G176="",$H176=""),"CHECK: Core ID not in Core Log, or its compaction / diameter missing",IF(AND(IF(COUNTIFS('2. Plot &amp; Core Log'!$B$6:$B$35,$A176,'2. Plot &amp; Core Log'!$L$6:$L$35,"&gt;0")=0,"",SUMIFS('2. Plot &amp; Core Log'!$L$6:$L$35,'2. Plot &amp; Core Log'!$B$6:$B$35,$A176))&lt;&gt;"",$D176&gt;IF(COUNTIFS('2. Plot &amp; Core Log'!$B$6:$B$35,$A176,'2. Plot &amp; Core Log'!$L$6:$L$35,"&gt;0")=0,"",SUMIFS('2. Plot &amp; Core Log'!$L$6:$L$35,'2. Plot &amp; Core Log'!$B$6:$B$35,$A176))),"CHECK: slice deeper than the core length on Sheet 2",IF(OR($M176="",$N176="",$O176=""),"AWAITING LAB (dry weight, carbon value or type)",IF(AND(UPPER($O176)&lt;&gt;"OC",UPPER($O176)&lt;&gt;"LOI"),IF(UPPER($O176)="TC","TC is not organic carbon — ask the lab for OC or IC","CHECK: type must be OC, TC or LOI"),IF($R176="",IF(AND(LOI_INTERCEPT&lt;&gt;"",LOI_SLOPE&lt;&gt;""),"CHECK: LOI below the range of the conversion equation (OC would be &lt; 0)","CHECK: LOI conversion not set (Instructions tab)"),IF(OR($Q176&lt;=0,$Q176&gt;2.65,$R176&gt;50),"CHECK: bulk density outside 0–2.65 g/cm3 or OC &gt; 50%","OK")))))))))))</f>
        <v/>
      </c>
    </row>
    <row r="177" customFormat="false" ht="15.75" hidden="false" customHeight="true" outlineLevel="0" collapsed="false">
      <c r="A177" s="14"/>
      <c r="B177" s="14"/>
      <c r="C177" s="24"/>
      <c r="D177" s="24"/>
      <c r="E177" s="14"/>
      <c r="F177" s="16" t="str">
        <f aca="false">IF(OR($C177="",$D177=""),"",$D177-$C177)</f>
        <v/>
      </c>
      <c r="G177" s="25" t="str">
        <f aca="false">IF($A177="","",IFERROR(INDEX('2. Plot &amp; Core Log'!$M$6:$M$35,MATCH($A177,'2. Plot &amp; Core Log'!$B$6:$B$35,0)),""))</f>
        <v/>
      </c>
      <c r="H177" s="26" t="str">
        <f aca="false">IF($A177="","",IFERROR(INDEX('2. Plot &amp; Core Log'!$S$6:$S$35,MATCH($A177,'2. Plot &amp; Core Log'!$B$6:$B$35,0)),""))</f>
        <v/>
      </c>
      <c r="I177" s="16" t="str">
        <f aca="false">IF(OR($C177="",$G177=""),"",$C177*$G177)</f>
        <v/>
      </c>
      <c r="J177" s="16" t="str">
        <f aca="false">IF(OR($D177="",$G177=""),"",$D177*$G177)</f>
        <v/>
      </c>
      <c r="K177" s="16" t="str">
        <f aca="false">IF(OR($F177="",$H177=""),"",PI()*(($H177/2)^2)*$F177)</f>
        <v/>
      </c>
      <c r="L177" s="27"/>
      <c r="M177" s="27"/>
      <c r="N177" s="27"/>
      <c r="O177" s="27"/>
      <c r="P177" s="16" t="str">
        <f aca="false">IF(OR($L177="",$M177="",$L177=0),"",(($L177-$M177)/$L177)*100)</f>
        <v/>
      </c>
      <c r="Q177" s="15" t="str">
        <f aca="false">IF(OR($M177="",$K177="",$K177=0),"",$M177/$K177)</f>
        <v/>
      </c>
      <c r="R177" s="15" t="str">
        <f aca="false">IF(OR($N177="",$O177=""),"",IF(UPPER($O177)="OC",$N177,IF(UPPER($O177)="LOI",IF(OR(LOI_INTERCEPT="",LOI_SLOPE=""),"",IF(LOI_INTERCEPT+LOI_SLOPE*$N177&lt;0,"",LOI_INTERCEPT+LOI_SLOPE*$N177)),"")))</f>
        <v/>
      </c>
      <c r="S177" s="18" t="str">
        <f aca="false">IF($R177="","",$R177*10)</f>
        <v/>
      </c>
      <c r="T177" s="28" t="str">
        <f aca="false">IF(OR($Q177="",$R177=""),"",$Q177*$R177/100)</f>
        <v/>
      </c>
      <c r="U177" s="29" t="str">
        <f aca="false">IF(OR($T177="",$F177=""),"",$T177*$F177)</f>
        <v/>
      </c>
      <c r="V177" s="15" t="str">
        <f aca="false">IF($U177="","",$U177*10)</f>
        <v/>
      </c>
      <c r="W177" s="15" t="str">
        <f aca="false">IF(OR($V177="",$I177="",$J177="",$J177&lt;=$I177),"",$V177*MAX(0,MIN($J177,15)-MAX($I177,0))/($J177-$I177))</f>
        <v/>
      </c>
      <c r="X177" s="15" t="str">
        <f aca="false">IF(OR($V177="",$I177="",$J177="",$J177&lt;=$I177),"",$V177*MAX(0,MIN($J177,30)-MAX($I177,15))/($J177-$I177))</f>
        <v/>
      </c>
      <c r="Y177" s="15" t="str">
        <f aca="false">IF(OR($V177="",$I177="",$J177="",$J177&lt;=$I177),"",$V177*MAX(0,MIN($J177,50)-MAX($I177,30))/($J177-$I177))</f>
        <v/>
      </c>
      <c r="Z177" s="15" t="str">
        <f aca="false">IF(OR($V177="",$I177="",$J177="",$J177&lt;=$I177),"",$V177*MAX(0,MIN($J177,100)-MAX($I177,50))/($J177-$I177))</f>
        <v/>
      </c>
      <c r="AA177" s="16" t="str">
        <f aca="false">IF($A177="","",IF(OR($C177="",$D177="",$D177&lt;=$C177),"CHECK: depths missing, or bottom not below top",IF(COUNTIFS($A$6:$A$205,$A177,$C$6:$C$205,$C177)&gt;1,"DUPLICATE slice",IF(COUNTIFS($A$6:$A$205,$A177,$C$6:$C$205,"&lt;"&amp;$D177,$D$6:$D$205,"&gt;"&amp;$C177)&gt;1,"OVERLAP with another slice",IF(AND($C177&gt;0,COUNTIFS($A$6:$A$205,$A177,$D$6:$D$205,$C177)=0),"GAP above this slice",IF(OR($G177="",$H177=""),"CHECK: Core ID not in Core Log, or its compaction / diameter missing",IF(AND(IF(COUNTIFS('2. Plot &amp; Core Log'!$B$6:$B$35,$A177,'2. Plot &amp; Core Log'!$L$6:$L$35,"&gt;0")=0,"",SUMIFS('2. Plot &amp; Core Log'!$L$6:$L$35,'2. Plot &amp; Core Log'!$B$6:$B$35,$A177))&lt;&gt;"",$D177&gt;IF(COUNTIFS('2. Plot &amp; Core Log'!$B$6:$B$35,$A177,'2. Plot &amp; Core Log'!$L$6:$L$35,"&gt;0")=0,"",SUMIFS('2. Plot &amp; Core Log'!$L$6:$L$35,'2. Plot &amp; Core Log'!$B$6:$B$35,$A177))),"CHECK: slice deeper than the core length on Sheet 2",IF(OR($M177="",$N177="",$O177=""),"AWAITING LAB (dry weight, carbon value or type)",IF(AND(UPPER($O177)&lt;&gt;"OC",UPPER($O177)&lt;&gt;"LOI"),IF(UPPER($O177)="TC","TC is not organic carbon — ask the lab for OC or IC","CHECK: type must be OC, TC or LOI"),IF($R177="",IF(AND(LOI_INTERCEPT&lt;&gt;"",LOI_SLOPE&lt;&gt;""),"CHECK: LOI below the range of the conversion equation (OC would be &lt; 0)","CHECK: LOI conversion not set (Instructions tab)"),IF(OR($Q177&lt;=0,$Q177&gt;2.65,$R177&gt;50),"CHECK: bulk density outside 0–2.65 g/cm3 or OC &gt; 50%","OK")))))))))))</f>
        <v/>
      </c>
    </row>
    <row r="178" customFormat="false" ht="15.75" hidden="false" customHeight="true" outlineLevel="0" collapsed="false">
      <c r="A178" s="14"/>
      <c r="B178" s="14"/>
      <c r="C178" s="24"/>
      <c r="D178" s="24"/>
      <c r="E178" s="14"/>
      <c r="F178" s="16" t="str">
        <f aca="false">IF(OR($C178="",$D178=""),"",$D178-$C178)</f>
        <v/>
      </c>
      <c r="G178" s="25" t="str">
        <f aca="false">IF($A178="","",IFERROR(INDEX('2. Plot &amp; Core Log'!$M$6:$M$35,MATCH($A178,'2. Plot &amp; Core Log'!$B$6:$B$35,0)),""))</f>
        <v/>
      </c>
      <c r="H178" s="26" t="str">
        <f aca="false">IF($A178="","",IFERROR(INDEX('2. Plot &amp; Core Log'!$S$6:$S$35,MATCH($A178,'2. Plot &amp; Core Log'!$B$6:$B$35,0)),""))</f>
        <v/>
      </c>
      <c r="I178" s="16" t="str">
        <f aca="false">IF(OR($C178="",$G178=""),"",$C178*$G178)</f>
        <v/>
      </c>
      <c r="J178" s="16" t="str">
        <f aca="false">IF(OR($D178="",$G178=""),"",$D178*$G178)</f>
        <v/>
      </c>
      <c r="K178" s="16" t="str">
        <f aca="false">IF(OR($F178="",$H178=""),"",PI()*(($H178/2)^2)*$F178)</f>
        <v/>
      </c>
      <c r="L178" s="27"/>
      <c r="M178" s="27"/>
      <c r="N178" s="27"/>
      <c r="O178" s="27"/>
      <c r="P178" s="16" t="str">
        <f aca="false">IF(OR($L178="",$M178="",$L178=0),"",(($L178-$M178)/$L178)*100)</f>
        <v/>
      </c>
      <c r="Q178" s="15" t="str">
        <f aca="false">IF(OR($M178="",$K178="",$K178=0),"",$M178/$K178)</f>
        <v/>
      </c>
      <c r="R178" s="15" t="str">
        <f aca="false">IF(OR($N178="",$O178=""),"",IF(UPPER($O178)="OC",$N178,IF(UPPER($O178)="LOI",IF(OR(LOI_INTERCEPT="",LOI_SLOPE=""),"",IF(LOI_INTERCEPT+LOI_SLOPE*$N178&lt;0,"",LOI_INTERCEPT+LOI_SLOPE*$N178)),"")))</f>
        <v/>
      </c>
      <c r="S178" s="18" t="str">
        <f aca="false">IF($R178="","",$R178*10)</f>
        <v/>
      </c>
      <c r="T178" s="28" t="str">
        <f aca="false">IF(OR($Q178="",$R178=""),"",$Q178*$R178/100)</f>
        <v/>
      </c>
      <c r="U178" s="29" t="str">
        <f aca="false">IF(OR($T178="",$F178=""),"",$T178*$F178)</f>
        <v/>
      </c>
      <c r="V178" s="15" t="str">
        <f aca="false">IF($U178="","",$U178*10)</f>
        <v/>
      </c>
      <c r="W178" s="15" t="str">
        <f aca="false">IF(OR($V178="",$I178="",$J178="",$J178&lt;=$I178),"",$V178*MAX(0,MIN($J178,15)-MAX($I178,0))/($J178-$I178))</f>
        <v/>
      </c>
      <c r="X178" s="15" t="str">
        <f aca="false">IF(OR($V178="",$I178="",$J178="",$J178&lt;=$I178),"",$V178*MAX(0,MIN($J178,30)-MAX($I178,15))/($J178-$I178))</f>
        <v/>
      </c>
      <c r="Y178" s="15" t="str">
        <f aca="false">IF(OR($V178="",$I178="",$J178="",$J178&lt;=$I178),"",$V178*MAX(0,MIN($J178,50)-MAX($I178,30))/($J178-$I178))</f>
        <v/>
      </c>
      <c r="Z178" s="15" t="str">
        <f aca="false">IF(OR($V178="",$I178="",$J178="",$J178&lt;=$I178),"",$V178*MAX(0,MIN($J178,100)-MAX($I178,50))/($J178-$I178))</f>
        <v/>
      </c>
      <c r="AA178" s="16" t="str">
        <f aca="false">IF($A178="","",IF(OR($C178="",$D178="",$D178&lt;=$C178),"CHECK: depths missing, or bottom not below top",IF(COUNTIFS($A$6:$A$205,$A178,$C$6:$C$205,$C178)&gt;1,"DUPLICATE slice",IF(COUNTIFS($A$6:$A$205,$A178,$C$6:$C$205,"&lt;"&amp;$D178,$D$6:$D$205,"&gt;"&amp;$C178)&gt;1,"OVERLAP with another slice",IF(AND($C178&gt;0,COUNTIFS($A$6:$A$205,$A178,$D$6:$D$205,$C178)=0),"GAP above this slice",IF(OR($G178="",$H178=""),"CHECK: Core ID not in Core Log, or its compaction / diameter missing",IF(AND(IF(COUNTIFS('2. Plot &amp; Core Log'!$B$6:$B$35,$A178,'2. Plot &amp; Core Log'!$L$6:$L$35,"&gt;0")=0,"",SUMIFS('2. Plot &amp; Core Log'!$L$6:$L$35,'2. Plot &amp; Core Log'!$B$6:$B$35,$A178))&lt;&gt;"",$D178&gt;IF(COUNTIFS('2. Plot &amp; Core Log'!$B$6:$B$35,$A178,'2. Plot &amp; Core Log'!$L$6:$L$35,"&gt;0")=0,"",SUMIFS('2. Plot &amp; Core Log'!$L$6:$L$35,'2. Plot &amp; Core Log'!$B$6:$B$35,$A178))),"CHECK: slice deeper than the core length on Sheet 2",IF(OR($M178="",$N178="",$O178=""),"AWAITING LAB (dry weight, carbon value or type)",IF(AND(UPPER($O178)&lt;&gt;"OC",UPPER($O178)&lt;&gt;"LOI"),IF(UPPER($O178)="TC","TC is not organic carbon — ask the lab for OC or IC","CHECK: type must be OC, TC or LOI"),IF($R178="",IF(AND(LOI_INTERCEPT&lt;&gt;"",LOI_SLOPE&lt;&gt;""),"CHECK: LOI below the range of the conversion equation (OC would be &lt; 0)","CHECK: LOI conversion not set (Instructions tab)"),IF(OR($Q178&lt;=0,$Q178&gt;2.65,$R178&gt;50),"CHECK: bulk density outside 0–2.65 g/cm3 or OC &gt; 50%","OK")))))))))))</f>
        <v/>
      </c>
    </row>
    <row r="179" customFormat="false" ht="15.75" hidden="false" customHeight="true" outlineLevel="0" collapsed="false">
      <c r="A179" s="14"/>
      <c r="B179" s="14"/>
      <c r="C179" s="24"/>
      <c r="D179" s="24"/>
      <c r="E179" s="14"/>
      <c r="F179" s="16" t="str">
        <f aca="false">IF(OR($C179="",$D179=""),"",$D179-$C179)</f>
        <v/>
      </c>
      <c r="G179" s="25" t="str">
        <f aca="false">IF($A179="","",IFERROR(INDEX('2. Plot &amp; Core Log'!$M$6:$M$35,MATCH($A179,'2. Plot &amp; Core Log'!$B$6:$B$35,0)),""))</f>
        <v/>
      </c>
      <c r="H179" s="26" t="str">
        <f aca="false">IF($A179="","",IFERROR(INDEX('2. Plot &amp; Core Log'!$S$6:$S$35,MATCH($A179,'2. Plot &amp; Core Log'!$B$6:$B$35,0)),""))</f>
        <v/>
      </c>
      <c r="I179" s="16" t="str">
        <f aca="false">IF(OR($C179="",$G179=""),"",$C179*$G179)</f>
        <v/>
      </c>
      <c r="J179" s="16" t="str">
        <f aca="false">IF(OR($D179="",$G179=""),"",$D179*$G179)</f>
        <v/>
      </c>
      <c r="K179" s="16" t="str">
        <f aca="false">IF(OR($F179="",$H179=""),"",PI()*(($H179/2)^2)*$F179)</f>
        <v/>
      </c>
      <c r="L179" s="27"/>
      <c r="M179" s="27"/>
      <c r="N179" s="27"/>
      <c r="O179" s="27"/>
      <c r="P179" s="16" t="str">
        <f aca="false">IF(OR($L179="",$M179="",$L179=0),"",(($L179-$M179)/$L179)*100)</f>
        <v/>
      </c>
      <c r="Q179" s="15" t="str">
        <f aca="false">IF(OR($M179="",$K179="",$K179=0),"",$M179/$K179)</f>
        <v/>
      </c>
      <c r="R179" s="15" t="str">
        <f aca="false">IF(OR($N179="",$O179=""),"",IF(UPPER($O179)="OC",$N179,IF(UPPER($O179)="LOI",IF(OR(LOI_INTERCEPT="",LOI_SLOPE=""),"",IF(LOI_INTERCEPT+LOI_SLOPE*$N179&lt;0,"",LOI_INTERCEPT+LOI_SLOPE*$N179)),"")))</f>
        <v/>
      </c>
      <c r="S179" s="18" t="str">
        <f aca="false">IF($R179="","",$R179*10)</f>
        <v/>
      </c>
      <c r="T179" s="28" t="str">
        <f aca="false">IF(OR($Q179="",$R179=""),"",$Q179*$R179/100)</f>
        <v/>
      </c>
      <c r="U179" s="29" t="str">
        <f aca="false">IF(OR($T179="",$F179=""),"",$T179*$F179)</f>
        <v/>
      </c>
      <c r="V179" s="15" t="str">
        <f aca="false">IF($U179="","",$U179*10)</f>
        <v/>
      </c>
      <c r="W179" s="15" t="str">
        <f aca="false">IF(OR($V179="",$I179="",$J179="",$J179&lt;=$I179),"",$V179*MAX(0,MIN($J179,15)-MAX($I179,0))/($J179-$I179))</f>
        <v/>
      </c>
      <c r="X179" s="15" t="str">
        <f aca="false">IF(OR($V179="",$I179="",$J179="",$J179&lt;=$I179),"",$V179*MAX(0,MIN($J179,30)-MAX($I179,15))/($J179-$I179))</f>
        <v/>
      </c>
      <c r="Y179" s="15" t="str">
        <f aca="false">IF(OR($V179="",$I179="",$J179="",$J179&lt;=$I179),"",$V179*MAX(0,MIN($J179,50)-MAX($I179,30))/($J179-$I179))</f>
        <v/>
      </c>
      <c r="Z179" s="15" t="str">
        <f aca="false">IF(OR($V179="",$I179="",$J179="",$J179&lt;=$I179),"",$V179*MAX(0,MIN($J179,100)-MAX($I179,50))/($J179-$I179))</f>
        <v/>
      </c>
      <c r="AA179" s="16" t="str">
        <f aca="false">IF($A179="","",IF(OR($C179="",$D179="",$D179&lt;=$C179),"CHECK: depths missing, or bottom not below top",IF(COUNTIFS($A$6:$A$205,$A179,$C$6:$C$205,$C179)&gt;1,"DUPLICATE slice",IF(COUNTIFS($A$6:$A$205,$A179,$C$6:$C$205,"&lt;"&amp;$D179,$D$6:$D$205,"&gt;"&amp;$C179)&gt;1,"OVERLAP with another slice",IF(AND($C179&gt;0,COUNTIFS($A$6:$A$205,$A179,$D$6:$D$205,$C179)=0),"GAP above this slice",IF(OR($G179="",$H179=""),"CHECK: Core ID not in Core Log, or its compaction / diameter missing",IF(AND(IF(COUNTIFS('2. Plot &amp; Core Log'!$B$6:$B$35,$A179,'2. Plot &amp; Core Log'!$L$6:$L$35,"&gt;0")=0,"",SUMIFS('2. Plot &amp; Core Log'!$L$6:$L$35,'2. Plot &amp; Core Log'!$B$6:$B$35,$A179))&lt;&gt;"",$D179&gt;IF(COUNTIFS('2. Plot &amp; Core Log'!$B$6:$B$35,$A179,'2. Plot &amp; Core Log'!$L$6:$L$35,"&gt;0")=0,"",SUMIFS('2. Plot &amp; Core Log'!$L$6:$L$35,'2. Plot &amp; Core Log'!$B$6:$B$35,$A179))),"CHECK: slice deeper than the core length on Sheet 2",IF(OR($M179="",$N179="",$O179=""),"AWAITING LAB (dry weight, carbon value or type)",IF(AND(UPPER($O179)&lt;&gt;"OC",UPPER($O179)&lt;&gt;"LOI"),IF(UPPER($O179)="TC","TC is not organic carbon — ask the lab for OC or IC","CHECK: type must be OC, TC or LOI"),IF($R179="",IF(AND(LOI_INTERCEPT&lt;&gt;"",LOI_SLOPE&lt;&gt;""),"CHECK: LOI below the range of the conversion equation (OC would be &lt; 0)","CHECK: LOI conversion not set (Instructions tab)"),IF(OR($Q179&lt;=0,$Q179&gt;2.65,$R179&gt;50),"CHECK: bulk density outside 0–2.65 g/cm3 or OC &gt; 50%","OK")))))))))))</f>
        <v/>
      </c>
    </row>
    <row r="180" customFormat="false" ht="15.75" hidden="false" customHeight="true" outlineLevel="0" collapsed="false">
      <c r="A180" s="14"/>
      <c r="B180" s="14"/>
      <c r="C180" s="24"/>
      <c r="D180" s="24"/>
      <c r="E180" s="14"/>
      <c r="F180" s="16" t="str">
        <f aca="false">IF(OR($C180="",$D180=""),"",$D180-$C180)</f>
        <v/>
      </c>
      <c r="G180" s="25" t="str">
        <f aca="false">IF($A180="","",IFERROR(INDEX('2. Plot &amp; Core Log'!$M$6:$M$35,MATCH($A180,'2. Plot &amp; Core Log'!$B$6:$B$35,0)),""))</f>
        <v/>
      </c>
      <c r="H180" s="26" t="str">
        <f aca="false">IF($A180="","",IFERROR(INDEX('2. Plot &amp; Core Log'!$S$6:$S$35,MATCH($A180,'2. Plot &amp; Core Log'!$B$6:$B$35,0)),""))</f>
        <v/>
      </c>
      <c r="I180" s="16" t="str">
        <f aca="false">IF(OR($C180="",$G180=""),"",$C180*$G180)</f>
        <v/>
      </c>
      <c r="J180" s="16" t="str">
        <f aca="false">IF(OR($D180="",$G180=""),"",$D180*$G180)</f>
        <v/>
      </c>
      <c r="K180" s="16" t="str">
        <f aca="false">IF(OR($F180="",$H180=""),"",PI()*(($H180/2)^2)*$F180)</f>
        <v/>
      </c>
      <c r="L180" s="27"/>
      <c r="M180" s="27"/>
      <c r="N180" s="27"/>
      <c r="O180" s="27"/>
      <c r="P180" s="16" t="str">
        <f aca="false">IF(OR($L180="",$M180="",$L180=0),"",(($L180-$M180)/$L180)*100)</f>
        <v/>
      </c>
      <c r="Q180" s="15" t="str">
        <f aca="false">IF(OR($M180="",$K180="",$K180=0),"",$M180/$K180)</f>
        <v/>
      </c>
      <c r="R180" s="15" t="str">
        <f aca="false">IF(OR($N180="",$O180=""),"",IF(UPPER($O180)="OC",$N180,IF(UPPER($O180)="LOI",IF(OR(LOI_INTERCEPT="",LOI_SLOPE=""),"",IF(LOI_INTERCEPT+LOI_SLOPE*$N180&lt;0,"",LOI_INTERCEPT+LOI_SLOPE*$N180)),"")))</f>
        <v/>
      </c>
      <c r="S180" s="18" t="str">
        <f aca="false">IF($R180="","",$R180*10)</f>
        <v/>
      </c>
      <c r="T180" s="28" t="str">
        <f aca="false">IF(OR($Q180="",$R180=""),"",$Q180*$R180/100)</f>
        <v/>
      </c>
      <c r="U180" s="29" t="str">
        <f aca="false">IF(OR($T180="",$F180=""),"",$T180*$F180)</f>
        <v/>
      </c>
      <c r="V180" s="15" t="str">
        <f aca="false">IF($U180="","",$U180*10)</f>
        <v/>
      </c>
      <c r="W180" s="15" t="str">
        <f aca="false">IF(OR($V180="",$I180="",$J180="",$J180&lt;=$I180),"",$V180*MAX(0,MIN($J180,15)-MAX($I180,0))/($J180-$I180))</f>
        <v/>
      </c>
      <c r="X180" s="15" t="str">
        <f aca="false">IF(OR($V180="",$I180="",$J180="",$J180&lt;=$I180),"",$V180*MAX(0,MIN($J180,30)-MAX($I180,15))/($J180-$I180))</f>
        <v/>
      </c>
      <c r="Y180" s="15" t="str">
        <f aca="false">IF(OR($V180="",$I180="",$J180="",$J180&lt;=$I180),"",$V180*MAX(0,MIN($J180,50)-MAX($I180,30))/($J180-$I180))</f>
        <v/>
      </c>
      <c r="Z180" s="15" t="str">
        <f aca="false">IF(OR($V180="",$I180="",$J180="",$J180&lt;=$I180),"",$V180*MAX(0,MIN($J180,100)-MAX($I180,50))/($J180-$I180))</f>
        <v/>
      </c>
      <c r="AA180" s="16" t="str">
        <f aca="false">IF($A180="","",IF(OR($C180="",$D180="",$D180&lt;=$C180),"CHECK: depths missing, or bottom not below top",IF(COUNTIFS($A$6:$A$205,$A180,$C$6:$C$205,$C180)&gt;1,"DUPLICATE slice",IF(COUNTIFS($A$6:$A$205,$A180,$C$6:$C$205,"&lt;"&amp;$D180,$D$6:$D$205,"&gt;"&amp;$C180)&gt;1,"OVERLAP with another slice",IF(AND($C180&gt;0,COUNTIFS($A$6:$A$205,$A180,$D$6:$D$205,$C180)=0),"GAP above this slice",IF(OR($G180="",$H180=""),"CHECK: Core ID not in Core Log, or its compaction / diameter missing",IF(AND(IF(COUNTIFS('2. Plot &amp; Core Log'!$B$6:$B$35,$A180,'2. Plot &amp; Core Log'!$L$6:$L$35,"&gt;0")=0,"",SUMIFS('2. Plot &amp; Core Log'!$L$6:$L$35,'2. Plot &amp; Core Log'!$B$6:$B$35,$A180))&lt;&gt;"",$D180&gt;IF(COUNTIFS('2. Plot &amp; Core Log'!$B$6:$B$35,$A180,'2. Plot &amp; Core Log'!$L$6:$L$35,"&gt;0")=0,"",SUMIFS('2. Plot &amp; Core Log'!$L$6:$L$35,'2. Plot &amp; Core Log'!$B$6:$B$35,$A180))),"CHECK: slice deeper than the core length on Sheet 2",IF(OR($M180="",$N180="",$O180=""),"AWAITING LAB (dry weight, carbon value or type)",IF(AND(UPPER($O180)&lt;&gt;"OC",UPPER($O180)&lt;&gt;"LOI"),IF(UPPER($O180)="TC","TC is not organic carbon — ask the lab for OC or IC","CHECK: type must be OC, TC or LOI"),IF($R180="",IF(AND(LOI_INTERCEPT&lt;&gt;"",LOI_SLOPE&lt;&gt;""),"CHECK: LOI below the range of the conversion equation (OC would be &lt; 0)","CHECK: LOI conversion not set (Instructions tab)"),IF(OR($Q180&lt;=0,$Q180&gt;2.65,$R180&gt;50),"CHECK: bulk density outside 0–2.65 g/cm3 or OC &gt; 50%","OK")))))))))))</f>
        <v/>
      </c>
    </row>
    <row r="181" customFormat="false" ht="15.75" hidden="false" customHeight="true" outlineLevel="0" collapsed="false">
      <c r="A181" s="14"/>
      <c r="B181" s="14"/>
      <c r="C181" s="24"/>
      <c r="D181" s="24"/>
      <c r="E181" s="14"/>
      <c r="F181" s="16" t="str">
        <f aca="false">IF(OR($C181="",$D181=""),"",$D181-$C181)</f>
        <v/>
      </c>
      <c r="G181" s="25" t="str">
        <f aca="false">IF($A181="","",IFERROR(INDEX('2. Plot &amp; Core Log'!$M$6:$M$35,MATCH($A181,'2. Plot &amp; Core Log'!$B$6:$B$35,0)),""))</f>
        <v/>
      </c>
      <c r="H181" s="26" t="str">
        <f aca="false">IF($A181="","",IFERROR(INDEX('2. Plot &amp; Core Log'!$S$6:$S$35,MATCH($A181,'2. Plot &amp; Core Log'!$B$6:$B$35,0)),""))</f>
        <v/>
      </c>
      <c r="I181" s="16" t="str">
        <f aca="false">IF(OR($C181="",$G181=""),"",$C181*$G181)</f>
        <v/>
      </c>
      <c r="J181" s="16" t="str">
        <f aca="false">IF(OR($D181="",$G181=""),"",$D181*$G181)</f>
        <v/>
      </c>
      <c r="K181" s="16" t="str">
        <f aca="false">IF(OR($F181="",$H181=""),"",PI()*(($H181/2)^2)*$F181)</f>
        <v/>
      </c>
      <c r="L181" s="27"/>
      <c r="M181" s="27"/>
      <c r="N181" s="27"/>
      <c r="O181" s="27"/>
      <c r="P181" s="16" t="str">
        <f aca="false">IF(OR($L181="",$M181="",$L181=0),"",(($L181-$M181)/$L181)*100)</f>
        <v/>
      </c>
      <c r="Q181" s="15" t="str">
        <f aca="false">IF(OR($M181="",$K181="",$K181=0),"",$M181/$K181)</f>
        <v/>
      </c>
      <c r="R181" s="15" t="str">
        <f aca="false">IF(OR($N181="",$O181=""),"",IF(UPPER($O181)="OC",$N181,IF(UPPER($O181)="LOI",IF(OR(LOI_INTERCEPT="",LOI_SLOPE=""),"",IF(LOI_INTERCEPT+LOI_SLOPE*$N181&lt;0,"",LOI_INTERCEPT+LOI_SLOPE*$N181)),"")))</f>
        <v/>
      </c>
      <c r="S181" s="18" t="str">
        <f aca="false">IF($R181="","",$R181*10)</f>
        <v/>
      </c>
      <c r="T181" s="28" t="str">
        <f aca="false">IF(OR($Q181="",$R181=""),"",$Q181*$R181/100)</f>
        <v/>
      </c>
      <c r="U181" s="29" t="str">
        <f aca="false">IF(OR($T181="",$F181=""),"",$T181*$F181)</f>
        <v/>
      </c>
      <c r="V181" s="15" t="str">
        <f aca="false">IF($U181="","",$U181*10)</f>
        <v/>
      </c>
      <c r="W181" s="15" t="str">
        <f aca="false">IF(OR($V181="",$I181="",$J181="",$J181&lt;=$I181),"",$V181*MAX(0,MIN($J181,15)-MAX($I181,0))/($J181-$I181))</f>
        <v/>
      </c>
      <c r="X181" s="15" t="str">
        <f aca="false">IF(OR($V181="",$I181="",$J181="",$J181&lt;=$I181),"",$V181*MAX(0,MIN($J181,30)-MAX($I181,15))/($J181-$I181))</f>
        <v/>
      </c>
      <c r="Y181" s="15" t="str">
        <f aca="false">IF(OR($V181="",$I181="",$J181="",$J181&lt;=$I181),"",$V181*MAX(0,MIN($J181,50)-MAX($I181,30))/($J181-$I181))</f>
        <v/>
      </c>
      <c r="Z181" s="15" t="str">
        <f aca="false">IF(OR($V181="",$I181="",$J181="",$J181&lt;=$I181),"",$V181*MAX(0,MIN($J181,100)-MAX($I181,50))/($J181-$I181))</f>
        <v/>
      </c>
      <c r="AA181" s="16" t="str">
        <f aca="false">IF($A181="","",IF(OR($C181="",$D181="",$D181&lt;=$C181),"CHECK: depths missing, or bottom not below top",IF(COUNTIFS($A$6:$A$205,$A181,$C$6:$C$205,$C181)&gt;1,"DUPLICATE slice",IF(COUNTIFS($A$6:$A$205,$A181,$C$6:$C$205,"&lt;"&amp;$D181,$D$6:$D$205,"&gt;"&amp;$C181)&gt;1,"OVERLAP with another slice",IF(AND($C181&gt;0,COUNTIFS($A$6:$A$205,$A181,$D$6:$D$205,$C181)=0),"GAP above this slice",IF(OR($G181="",$H181=""),"CHECK: Core ID not in Core Log, or its compaction / diameter missing",IF(AND(IF(COUNTIFS('2. Plot &amp; Core Log'!$B$6:$B$35,$A181,'2. Plot &amp; Core Log'!$L$6:$L$35,"&gt;0")=0,"",SUMIFS('2. Plot &amp; Core Log'!$L$6:$L$35,'2. Plot &amp; Core Log'!$B$6:$B$35,$A181))&lt;&gt;"",$D181&gt;IF(COUNTIFS('2. Plot &amp; Core Log'!$B$6:$B$35,$A181,'2. Plot &amp; Core Log'!$L$6:$L$35,"&gt;0")=0,"",SUMIFS('2. Plot &amp; Core Log'!$L$6:$L$35,'2. Plot &amp; Core Log'!$B$6:$B$35,$A181))),"CHECK: slice deeper than the core length on Sheet 2",IF(OR($M181="",$N181="",$O181=""),"AWAITING LAB (dry weight, carbon value or type)",IF(AND(UPPER($O181)&lt;&gt;"OC",UPPER($O181)&lt;&gt;"LOI"),IF(UPPER($O181)="TC","TC is not organic carbon — ask the lab for OC or IC","CHECK: type must be OC, TC or LOI"),IF($R181="",IF(AND(LOI_INTERCEPT&lt;&gt;"",LOI_SLOPE&lt;&gt;""),"CHECK: LOI below the range of the conversion equation (OC would be &lt; 0)","CHECK: LOI conversion not set (Instructions tab)"),IF(OR($Q181&lt;=0,$Q181&gt;2.65,$R181&gt;50),"CHECK: bulk density outside 0–2.65 g/cm3 or OC &gt; 50%","OK")))))))))))</f>
        <v/>
      </c>
    </row>
    <row r="182" customFormat="false" ht="15.75" hidden="false" customHeight="true" outlineLevel="0" collapsed="false">
      <c r="A182" s="14"/>
      <c r="B182" s="14"/>
      <c r="C182" s="24"/>
      <c r="D182" s="24"/>
      <c r="E182" s="14"/>
      <c r="F182" s="16" t="str">
        <f aca="false">IF(OR($C182="",$D182=""),"",$D182-$C182)</f>
        <v/>
      </c>
      <c r="G182" s="25" t="str">
        <f aca="false">IF($A182="","",IFERROR(INDEX('2. Plot &amp; Core Log'!$M$6:$M$35,MATCH($A182,'2. Plot &amp; Core Log'!$B$6:$B$35,0)),""))</f>
        <v/>
      </c>
      <c r="H182" s="26" t="str">
        <f aca="false">IF($A182="","",IFERROR(INDEX('2. Plot &amp; Core Log'!$S$6:$S$35,MATCH($A182,'2. Plot &amp; Core Log'!$B$6:$B$35,0)),""))</f>
        <v/>
      </c>
      <c r="I182" s="16" t="str">
        <f aca="false">IF(OR($C182="",$G182=""),"",$C182*$G182)</f>
        <v/>
      </c>
      <c r="J182" s="16" t="str">
        <f aca="false">IF(OR($D182="",$G182=""),"",$D182*$G182)</f>
        <v/>
      </c>
      <c r="K182" s="16" t="str">
        <f aca="false">IF(OR($F182="",$H182=""),"",PI()*(($H182/2)^2)*$F182)</f>
        <v/>
      </c>
      <c r="L182" s="27"/>
      <c r="M182" s="27"/>
      <c r="N182" s="27"/>
      <c r="O182" s="27"/>
      <c r="P182" s="16" t="str">
        <f aca="false">IF(OR($L182="",$M182="",$L182=0),"",(($L182-$M182)/$L182)*100)</f>
        <v/>
      </c>
      <c r="Q182" s="15" t="str">
        <f aca="false">IF(OR($M182="",$K182="",$K182=0),"",$M182/$K182)</f>
        <v/>
      </c>
      <c r="R182" s="15" t="str">
        <f aca="false">IF(OR($N182="",$O182=""),"",IF(UPPER($O182)="OC",$N182,IF(UPPER($O182)="LOI",IF(OR(LOI_INTERCEPT="",LOI_SLOPE=""),"",IF(LOI_INTERCEPT+LOI_SLOPE*$N182&lt;0,"",LOI_INTERCEPT+LOI_SLOPE*$N182)),"")))</f>
        <v/>
      </c>
      <c r="S182" s="18" t="str">
        <f aca="false">IF($R182="","",$R182*10)</f>
        <v/>
      </c>
      <c r="T182" s="28" t="str">
        <f aca="false">IF(OR($Q182="",$R182=""),"",$Q182*$R182/100)</f>
        <v/>
      </c>
      <c r="U182" s="29" t="str">
        <f aca="false">IF(OR($T182="",$F182=""),"",$T182*$F182)</f>
        <v/>
      </c>
      <c r="V182" s="15" t="str">
        <f aca="false">IF($U182="","",$U182*10)</f>
        <v/>
      </c>
      <c r="W182" s="15" t="str">
        <f aca="false">IF(OR($V182="",$I182="",$J182="",$J182&lt;=$I182),"",$V182*MAX(0,MIN($J182,15)-MAX($I182,0))/($J182-$I182))</f>
        <v/>
      </c>
      <c r="X182" s="15" t="str">
        <f aca="false">IF(OR($V182="",$I182="",$J182="",$J182&lt;=$I182),"",$V182*MAX(0,MIN($J182,30)-MAX($I182,15))/($J182-$I182))</f>
        <v/>
      </c>
      <c r="Y182" s="15" t="str">
        <f aca="false">IF(OR($V182="",$I182="",$J182="",$J182&lt;=$I182),"",$V182*MAX(0,MIN($J182,50)-MAX($I182,30))/($J182-$I182))</f>
        <v/>
      </c>
      <c r="Z182" s="15" t="str">
        <f aca="false">IF(OR($V182="",$I182="",$J182="",$J182&lt;=$I182),"",$V182*MAX(0,MIN($J182,100)-MAX($I182,50))/($J182-$I182))</f>
        <v/>
      </c>
      <c r="AA182" s="16" t="str">
        <f aca="false">IF($A182="","",IF(OR($C182="",$D182="",$D182&lt;=$C182),"CHECK: depths missing, or bottom not below top",IF(COUNTIFS($A$6:$A$205,$A182,$C$6:$C$205,$C182)&gt;1,"DUPLICATE slice",IF(COUNTIFS($A$6:$A$205,$A182,$C$6:$C$205,"&lt;"&amp;$D182,$D$6:$D$205,"&gt;"&amp;$C182)&gt;1,"OVERLAP with another slice",IF(AND($C182&gt;0,COUNTIFS($A$6:$A$205,$A182,$D$6:$D$205,$C182)=0),"GAP above this slice",IF(OR($G182="",$H182=""),"CHECK: Core ID not in Core Log, or its compaction / diameter missing",IF(AND(IF(COUNTIFS('2. Plot &amp; Core Log'!$B$6:$B$35,$A182,'2. Plot &amp; Core Log'!$L$6:$L$35,"&gt;0")=0,"",SUMIFS('2. Plot &amp; Core Log'!$L$6:$L$35,'2. Plot &amp; Core Log'!$B$6:$B$35,$A182))&lt;&gt;"",$D182&gt;IF(COUNTIFS('2. Plot &amp; Core Log'!$B$6:$B$35,$A182,'2. Plot &amp; Core Log'!$L$6:$L$35,"&gt;0")=0,"",SUMIFS('2. Plot &amp; Core Log'!$L$6:$L$35,'2. Plot &amp; Core Log'!$B$6:$B$35,$A182))),"CHECK: slice deeper than the core length on Sheet 2",IF(OR($M182="",$N182="",$O182=""),"AWAITING LAB (dry weight, carbon value or type)",IF(AND(UPPER($O182)&lt;&gt;"OC",UPPER($O182)&lt;&gt;"LOI"),IF(UPPER($O182)="TC","TC is not organic carbon — ask the lab for OC or IC","CHECK: type must be OC, TC or LOI"),IF($R182="",IF(AND(LOI_INTERCEPT&lt;&gt;"",LOI_SLOPE&lt;&gt;""),"CHECK: LOI below the range of the conversion equation (OC would be &lt; 0)","CHECK: LOI conversion not set (Instructions tab)"),IF(OR($Q182&lt;=0,$Q182&gt;2.65,$R182&gt;50),"CHECK: bulk density outside 0–2.65 g/cm3 or OC &gt; 50%","OK")))))))))))</f>
        <v/>
      </c>
    </row>
    <row r="183" customFormat="false" ht="15.75" hidden="false" customHeight="true" outlineLevel="0" collapsed="false">
      <c r="A183" s="14"/>
      <c r="B183" s="14"/>
      <c r="C183" s="24"/>
      <c r="D183" s="24"/>
      <c r="E183" s="14"/>
      <c r="F183" s="16" t="str">
        <f aca="false">IF(OR($C183="",$D183=""),"",$D183-$C183)</f>
        <v/>
      </c>
      <c r="G183" s="25" t="str">
        <f aca="false">IF($A183="","",IFERROR(INDEX('2. Plot &amp; Core Log'!$M$6:$M$35,MATCH($A183,'2. Plot &amp; Core Log'!$B$6:$B$35,0)),""))</f>
        <v/>
      </c>
      <c r="H183" s="26" t="str">
        <f aca="false">IF($A183="","",IFERROR(INDEX('2. Plot &amp; Core Log'!$S$6:$S$35,MATCH($A183,'2. Plot &amp; Core Log'!$B$6:$B$35,0)),""))</f>
        <v/>
      </c>
      <c r="I183" s="16" t="str">
        <f aca="false">IF(OR($C183="",$G183=""),"",$C183*$G183)</f>
        <v/>
      </c>
      <c r="J183" s="16" t="str">
        <f aca="false">IF(OR($D183="",$G183=""),"",$D183*$G183)</f>
        <v/>
      </c>
      <c r="K183" s="16" t="str">
        <f aca="false">IF(OR($F183="",$H183=""),"",PI()*(($H183/2)^2)*$F183)</f>
        <v/>
      </c>
      <c r="L183" s="27"/>
      <c r="M183" s="27"/>
      <c r="N183" s="27"/>
      <c r="O183" s="27"/>
      <c r="P183" s="16" t="str">
        <f aca="false">IF(OR($L183="",$M183="",$L183=0),"",(($L183-$M183)/$L183)*100)</f>
        <v/>
      </c>
      <c r="Q183" s="15" t="str">
        <f aca="false">IF(OR($M183="",$K183="",$K183=0),"",$M183/$K183)</f>
        <v/>
      </c>
      <c r="R183" s="15" t="str">
        <f aca="false">IF(OR($N183="",$O183=""),"",IF(UPPER($O183)="OC",$N183,IF(UPPER($O183)="LOI",IF(OR(LOI_INTERCEPT="",LOI_SLOPE=""),"",IF(LOI_INTERCEPT+LOI_SLOPE*$N183&lt;0,"",LOI_INTERCEPT+LOI_SLOPE*$N183)),"")))</f>
        <v/>
      </c>
      <c r="S183" s="18" t="str">
        <f aca="false">IF($R183="","",$R183*10)</f>
        <v/>
      </c>
      <c r="T183" s="28" t="str">
        <f aca="false">IF(OR($Q183="",$R183=""),"",$Q183*$R183/100)</f>
        <v/>
      </c>
      <c r="U183" s="29" t="str">
        <f aca="false">IF(OR($T183="",$F183=""),"",$T183*$F183)</f>
        <v/>
      </c>
      <c r="V183" s="15" t="str">
        <f aca="false">IF($U183="","",$U183*10)</f>
        <v/>
      </c>
      <c r="W183" s="15" t="str">
        <f aca="false">IF(OR($V183="",$I183="",$J183="",$J183&lt;=$I183),"",$V183*MAX(0,MIN($J183,15)-MAX($I183,0))/($J183-$I183))</f>
        <v/>
      </c>
      <c r="X183" s="15" t="str">
        <f aca="false">IF(OR($V183="",$I183="",$J183="",$J183&lt;=$I183),"",$V183*MAX(0,MIN($J183,30)-MAX($I183,15))/($J183-$I183))</f>
        <v/>
      </c>
      <c r="Y183" s="15" t="str">
        <f aca="false">IF(OR($V183="",$I183="",$J183="",$J183&lt;=$I183),"",$V183*MAX(0,MIN($J183,50)-MAX($I183,30))/($J183-$I183))</f>
        <v/>
      </c>
      <c r="Z183" s="15" t="str">
        <f aca="false">IF(OR($V183="",$I183="",$J183="",$J183&lt;=$I183),"",$V183*MAX(0,MIN($J183,100)-MAX($I183,50))/($J183-$I183))</f>
        <v/>
      </c>
      <c r="AA183" s="16" t="str">
        <f aca="false">IF($A183="","",IF(OR($C183="",$D183="",$D183&lt;=$C183),"CHECK: depths missing, or bottom not below top",IF(COUNTIFS($A$6:$A$205,$A183,$C$6:$C$205,$C183)&gt;1,"DUPLICATE slice",IF(COUNTIFS($A$6:$A$205,$A183,$C$6:$C$205,"&lt;"&amp;$D183,$D$6:$D$205,"&gt;"&amp;$C183)&gt;1,"OVERLAP with another slice",IF(AND($C183&gt;0,COUNTIFS($A$6:$A$205,$A183,$D$6:$D$205,$C183)=0),"GAP above this slice",IF(OR($G183="",$H183=""),"CHECK: Core ID not in Core Log, or its compaction / diameter missing",IF(AND(IF(COUNTIFS('2. Plot &amp; Core Log'!$B$6:$B$35,$A183,'2. Plot &amp; Core Log'!$L$6:$L$35,"&gt;0")=0,"",SUMIFS('2. Plot &amp; Core Log'!$L$6:$L$35,'2. Plot &amp; Core Log'!$B$6:$B$35,$A183))&lt;&gt;"",$D183&gt;IF(COUNTIFS('2. Plot &amp; Core Log'!$B$6:$B$35,$A183,'2. Plot &amp; Core Log'!$L$6:$L$35,"&gt;0")=0,"",SUMIFS('2. Plot &amp; Core Log'!$L$6:$L$35,'2. Plot &amp; Core Log'!$B$6:$B$35,$A183))),"CHECK: slice deeper than the core length on Sheet 2",IF(OR($M183="",$N183="",$O183=""),"AWAITING LAB (dry weight, carbon value or type)",IF(AND(UPPER($O183)&lt;&gt;"OC",UPPER($O183)&lt;&gt;"LOI"),IF(UPPER($O183)="TC","TC is not organic carbon — ask the lab for OC or IC","CHECK: type must be OC, TC or LOI"),IF($R183="",IF(AND(LOI_INTERCEPT&lt;&gt;"",LOI_SLOPE&lt;&gt;""),"CHECK: LOI below the range of the conversion equation (OC would be &lt; 0)","CHECK: LOI conversion not set (Instructions tab)"),IF(OR($Q183&lt;=0,$Q183&gt;2.65,$R183&gt;50),"CHECK: bulk density outside 0–2.65 g/cm3 or OC &gt; 50%","OK")))))))))))</f>
        <v/>
      </c>
    </row>
    <row r="184" customFormat="false" ht="15.75" hidden="false" customHeight="true" outlineLevel="0" collapsed="false">
      <c r="A184" s="14"/>
      <c r="B184" s="14"/>
      <c r="C184" s="24"/>
      <c r="D184" s="24"/>
      <c r="E184" s="14"/>
      <c r="F184" s="16" t="str">
        <f aca="false">IF(OR($C184="",$D184=""),"",$D184-$C184)</f>
        <v/>
      </c>
      <c r="G184" s="25" t="str">
        <f aca="false">IF($A184="","",IFERROR(INDEX('2. Plot &amp; Core Log'!$M$6:$M$35,MATCH($A184,'2. Plot &amp; Core Log'!$B$6:$B$35,0)),""))</f>
        <v/>
      </c>
      <c r="H184" s="26" t="str">
        <f aca="false">IF($A184="","",IFERROR(INDEX('2. Plot &amp; Core Log'!$S$6:$S$35,MATCH($A184,'2. Plot &amp; Core Log'!$B$6:$B$35,0)),""))</f>
        <v/>
      </c>
      <c r="I184" s="16" t="str">
        <f aca="false">IF(OR($C184="",$G184=""),"",$C184*$G184)</f>
        <v/>
      </c>
      <c r="J184" s="16" t="str">
        <f aca="false">IF(OR($D184="",$G184=""),"",$D184*$G184)</f>
        <v/>
      </c>
      <c r="K184" s="16" t="str">
        <f aca="false">IF(OR($F184="",$H184=""),"",PI()*(($H184/2)^2)*$F184)</f>
        <v/>
      </c>
      <c r="L184" s="27"/>
      <c r="M184" s="27"/>
      <c r="N184" s="27"/>
      <c r="O184" s="27"/>
      <c r="P184" s="16" t="str">
        <f aca="false">IF(OR($L184="",$M184="",$L184=0),"",(($L184-$M184)/$L184)*100)</f>
        <v/>
      </c>
      <c r="Q184" s="15" t="str">
        <f aca="false">IF(OR($M184="",$K184="",$K184=0),"",$M184/$K184)</f>
        <v/>
      </c>
      <c r="R184" s="15" t="str">
        <f aca="false">IF(OR($N184="",$O184=""),"",IF(UPPER($O184)="OC",$N184,IF(UPPER($O184)="LOI",IF(OR(LOI_INTERCEPT="",LOI_SLOPE=""),"",IF(LOI_INTERCEPT+LOI_SLOPE*$N184&lt;0,"",LOI_INTERCEPT+LOI_SLOPE*$N184)),"")))</f>
        <v/>
      </c>
      <c r="S184" s="18" t="str">
        <f aca="false">IF($R184="","",$R184*10)</f>
        <v/>
      </c>
      <c r="T184" s="28" t="str">
        <f aca="false">IF(OR($Q184="",$R184=""),"",$Q184*$R184/100)</f>
        <v/>
      </c>
      <c r="U184" s="29" t="str">
        <f aca="false">IF(OR($T184="",$F184=""),"",$T184*$F184)</f>
        <v/>
      </c>
      <c r="V184" s="15" t="str">
        <f aca="false">IF($U184="","",$U184*10)</f>
        <v/>
      </c>
      <c r="W184" s="15" t="str">
        <f aca="false">IF(OR($V184="",$I184="",$J184="",$J184&lt;=$I184),"",$V184*MAX(0,MIN($J184,15)-MAX($I184,0))/($J184-$I184))</f>
        <v/>
      </c>
      <c r="X184" s="15" t="str">
        <f aca="false">IF(OR($V184="",$I184="",$J184="",$J184&lt;=$I184),"",$V184*MAX(0,MIN($J184,30)-MAX($I184,15))/($J184-$I184))</f>
        <v/>
      </c>
      <c r="Y184" s="15" t="str">
        <f aca="false">IF(OR($V184="",$I184="",$J184="",$J184&lt;=$I184),"",$V184*MAX(0,MIN($J184,50)-MAX($I184,30))/($J184-$I184))</f>
        <v/>
      </c>
      <c r="Z184" s="15" t="str">
        <f aca="false">IF(OR($V184="",$I184="",$J184="",$J184&lt;=$I184),"",$V184*MAX(0,MIN($J184,100)-MAX($I184,50))/($J184-$I184))</f>
        <v/>
      </c>
      <c r="AA184" s="16" t="str">
        <f aca="false">IF($A184="","",IF(OR($C184="",$D184="",$D184&lt;=$C184),"CHECK: depths missing, or bottom not below top",IF(COUNTIFS($A$6:$A$205,$A184,$C$6:$C$205,$C184)&gt;1,"DUPLICATE slice",IF(COUNTIFS($A$6:$A$205,$A184,$C$6:$C$205,"&lt;"&amp;$D184,$D$6:$D$205,"&gt;"&amp;$C184)&gt;1,"OVERLAP with another slice",IF(AND($C184&gt;0,COUNTIFS($A$6:$A$205,$A184,$D$6:$D$205,$C184)=0),"GAP above this slice",IF(OR($G184="",$H184=""),"CHECK: Core ID not in Core Log, or its compaction / diameter missing",IF(AND(IF(COUNTIFS('2. Plot &amp; Core Log'!$B$6:$B$35,$A184,'2. Plot &amp; Core Log'!$L$6:$L$35,"&gt;0")=0,"",SUMIFS('2. Plot &amp; Core Log'!$L$6:$L$35,'2. Plot &amp; Core Log'!$B$6:$B$35,$A184))&lt;&gt;"",$D184&gt;IF(COUNTIFS('2. Plot &amp; Core Log'!$B$6:$B$35,$A184,'2. Plot &amp; Core Log'!$L$6:$L$35,"&gt;0")=0,"",SUMIFS('2. Plot &amp; Core Log'!$L$6:$L$35,'2. Plot &amp; Core Log'!$B$6:$B$35,$A184))),"CHECK: slice deeper than the core length on Sheet 2",IF(OR($M184="",$N184="",$O184=""),"AWAITING LAB (dry weight, carbon value or type)",IF(AND(UPPER($O184)&lt;&gt;"OC",UPPER($O184)&lt;&gt;"LOI"),IF(UPPER($O184)="TC","TC is not organic carbon — ask the lab for OC or IC","CHECK: type must be OC, TC or LOI"),IF($R184="",IF(AND(LOI_INTERCEPT&lt;&gt;"",LOI_SLOPE&lt;&gt;""),"CHECK: LOI below the range of the conversion equation (OC would be &lt; 0)","CHECK: LOI conversion not set (Instructions tab)"),IF(OR($Q184&lt;=0,$Q184&gt;2.65,$R184&gt;50),"CHECK: bulk density outside 0–2.65 g/cm3 or OC &gt; 50%","OK")))))))))))</f>
        <v/>
      </c>
    </row>
    <row r="185" customFormat="false" ht="15.75" hidden="false" customHeight="true" outlineLevel="0" collapsed="false">
      <c r="A185" s="14"/>
      <c r="B185" s="14"/>
      <c r="C185" s="24"/>
      <c r="D185" s="24"/>
      <c r="E185" s="14"/>
      <c r="F185" s="16" t="str">
        <f aca="false">IF(OR($C185="",$D185=""),"",$D185-$C185)</f>
        <v/>
      </c>
      <c r="G185" s="25" t="str">
        <f aca="false">IF($A185="","",IFERROR(INDEX('2. Plot &amp; Core Log'!$M$6:$M$35,MATCH($A185,'2. Plot &amp; Core Log'!$B$6:$B$35,0)),""))</f>
        <v/>
      </c>
      <c r="H185" s="26" t="str">
        <f aca="false">IF($A185="","",IFERROR(INDEX('2. Plot &amp; Core Log'!$S$6:$S$35,MATCH($A185,'2. Plot &amp; Core Log'!$B$6:$B$35,0)),""))</f>
        <v/>
      </c>
      <c r="I185" s="16" t="str">
        <f aca="false">IF(OR($C185="",$G185=""),"",$C185*$G185)</f>
        <v/>
      </c>
      <c r="J185" s="16" t="str">
        <f aca="false">IF(OR($D185="",$G185=""),"",$D185*$G185)</f>
        <v/>
      </c>
      <c r="K185" s="16" t="str">
        <f aca="false">IF(OR($F185="",$H185=""),"",PI()*(($H185/2)^2)*$F185)</f>
        <v/>
      </c>
      <c r="L185" s="27"/>
      <c r="M185" s="27"/>
      <c r="N185" s="27"/>
      <c r="O185" s="27"/>
      <c r="P185" s="16" t="str">
        <f aca="false">IF(OR($L185="",$M185="",$L185=0),"",(($L185-$M185)/$L185)*100)</f>
        <v/>
      </c>
      <c r="Q185" s="15" t="str">
        <f aca="false">IF(OR($M185="",$K185="",$K185=0),"",$M185/$K185)</f>
        <v/>
      </c>
      <c r="R185" s="15" t="str">
        <f aca="false">IF(OR($N185="",$O185=""),"",IF(UPPER($O185)="OC",$N185,IF(UPPER($O185)="LOI",IF(OR(LOI_INTERCEPT="",LOI_SLOPE=""),"",IF(LOI_INTERCEPT+LOI_SLOPE*$N185&lt;0,"",LOI_INTERCEPT+LOI_SLOPE*$N185)),"")))</f>
        <v/>
      </c>
      <c r="S185" s="18" t="str">
        <f aca="false">IF($R185="","",$R185*10)</f>
        <v/>
      </c>
      <c r="T185" s="28" t="str">
        <f aca="false">IF(OR($Q185="",$R185=""),"",$Q185*$R185/100)</f>
        <v/>
      </c>
      <c r="U185" s="29" t="str">
        <f aca="false">IF(OR($T185="",$F185=""),"",$T185*$F185)</f>
        <v/>
      </c>
      <c r="V185" s="15" t="str">
        <f aca="false">IF($U185="","",$U185*10)</f>
        <v/>
      </c>
      <c r="W185" s="15" t="str">
        <f aca="false">IF(OR($V185="",$I185="",$J185="",$J185&lt;=$I185),"",$V185*MAX(0,MIN($J185,15)-MAX($I185,0))/($J185-$I185))</f>
        <v/>
      </c>
      <c r="X185" s="15" t="str">
        <f aca="false">IF(OR($V185="",$I185="",$J185="",$J185&lt;=$I185),"",$V185*MAX(0,MIN($J185,30)-MAX($I185,15))/($J185-$I185))</f>
        <v/>
      </c>
      <c r="Y185" s="15" t="str">
        <f aca="false">IF(OR($V185="",$I185="",$J185="",$J185&lt;=$I185),"",$V185*MAX(0,MIN($J185,50)-MAX($I185,30))/($J185-$I185))</f>
        <v/>
      </c>
      <c r="Z185" s="15" t="str">
        <f aca="false">IF(OR($V185="",$I185="",$J185="",$J185&lt;=$I185),"",$V185*MAX(0,MIN($J185,100)-MAX($I185,50))/($J185-$I185))</f>
        <v/>
      </c>
      <c r="AA185" s="16" t="str">
        <f aca="false">IF($A185="","",IF(OR($C185="",$D185="",$D185&lt;=$C185),"CHECK: depths missing, or bottom not below top",IF(COUNTIFS($A$6:$A$205,$A185,$C$6:$C$205,$C185)&gt;1,"DUPLICATE slice",IF(COUNTIFS($A$6:$A$205,$A185,$C$6:$C$205,"&lt;"&amp;$D185,$D$6:$D$205,"&gt;"&amp;$C185)&gt;1,"OVERLAP with another slice",IF(AND($C185&gt;0,COUNTIFS($A$6:$A$205,$A185,$D$6:$D$205,$C185)=0),"GAP above this slice",IF(OR($G185="",$H185=""),"CHECK: Core ID not in Core Log, or its compaction / diameter missing",IF(AND(IF(COUNTIFS('2. Plot &amp; Core Log'!$B$6:$B$35,$A185,'2. Plot &amp; Core Log'!$L$6:$L$35,"&gt;0")=0,"",SUMIFS('2. Plot &amp; Core Log'!$L$6:$L$35,'2. Plot &amp; Core Log'!$B$6:$B$35,$A185))&lt;&gt;"",$D185&gt;IF(COUNTIFS('2. Plot &amp; Core Log'!$B$6:$B$35,$A185,'2. Plot &amp; Core Log'!$L$6:$L$35,"&gt;0")=0,"",SUMIFS('2. Plot &amp; Core Log'!$L$6:$L$35,'2. Plot &amp; Core Log'!$B$6:$B$35,$A185))),"CHECK: slice deeper than the core length on Sheet 2",IF(OR($M185="",$N185="",$O185=""),"AWAITING LAB (dry weight, carbon value or type)",IF(AND(UPPER($O185)&lt;&gt;"OC",UPPER($O185)&lt;&gt;"LOI"),IF(UPPER($O185)="TC","TC is not organic carbon — ask the lab for OC or IC","CHECK: type must be OC, TC or LOI"),IF($R185="",IF(AND(LOI_INTERCEPT&lt;&gt;"",LOI_SLOPE&lt;&gt;""),"CHECK: LOI below the range of the conversion equation (OC would be &lt; 0)","CHECK: LOI conversion not set (Instructions tab)"),IF(OR($Q185&lt;=0,$Q185&gt;2.65,$R185&gt;50),"CHECK: bulk density outside 0–2.65 g/cm3 or OC &gt; 50%","OK")))))))))))</f>
        <v/>
      </c>
    </row>
    <row r="186" customFormat="false" ht="15.75" hidden="false" customHeight="true" outlineLevel="0" collapsed="false">
      <c r="A186" s="14"/>
      <c r="B186" s="14"/>
      <c r="C186" s="24"/>
      <c r="D186" s="24"/>
      <c r="E186" s="14"/>
      <c r="F186" s="16" t="str">
        <f aca="false">IF(OR($C186="",$D186=""),"",$D186-$C186)</f>
        <v/>
      </c>
      <c r="G186" s="25" t="str">
        <f aca="false">IF($A186="","",IFERROR(INDEX('2. Plot &amp; Core Log'!$M$6:$M$35,MATCH($A186,'2. Plot &amp; Core Log'!$B$6:$B$35,0)),""))</f>
        <v/>
      </c>
      <c r="H186" s="26" t="str">
        <f aca="false">IF($A186="","",IFERROR(INDEX('2. Plot &amp; Core Log'!$S$6:$S$35,MATCH($A186,'2. Plot &amp; Core Log'!$B$6:$B$35,0)),""))</f>
        <v/>
      </c>
      <c r="I186" s="16" t="str">
        <f aca="false">IF(OR($C186="",$G186=""),"",$C186*$G186)</f>
        <v/>
      </c>
      <c r="J186" s="16" t="str">
        <f aca="false">IF(OR($D186="",$G186=""),"",$D186*$G186)</f>
        <v/>
      </c>
      <c r="K186" s="16" t="str">
        <f aca="false">IF(OR($F186="",$H186=""),"",PI()*(($H186/2)^2)*$F186)</f>
        <v/>
      </c>
      <c r="L186" s="27"/>
      <c r="M186" s="27"/>
      <c r="N186" s="27"/>
      <c r="O186" s="27"/>
      <c r="P186" s="16" t="str">
        <f aca="false">IF(OR($L186="",$M186="",$L186=0),"",(($L186-$M186)/$L186)*100)</f>
        <v/>
      </c>
      <c r="Q186" s="15" t="str">
        <f aca="false">IF(OR($M186="",$K186="",$K186=0),"",$M186/$K186)</f>
        <v/>
      </c>
      <c r="R186" s="15" t="str">
        <f aca="false">IF(OR($N186="",$O186=""),"",IF(UPPER($O186)="OC",$N186,IF(UPPER($O186)="LOI",IF(OR(LOI_INTERCEPT="",LOI_SLOPE=""),"",IF(LOI_INTERCEPT+LOI_SLOPE*$N186&lt;0,"",LOI_INTERCEPT+LOI_SLOPE*$N186)),"")))</f>
        <v/>
      </c>
      <c r="S186" s="18" t="str">
        <f aca="false">IF($R186="","",$R186*10)</f>
        <v/>
      </c>
      <c r="T186" s="28" t="str">
        <f aca="false">IF(OR($Q186="",$R186=""),"",$Q186*$R186/100)</f>
        <v/>
      </c>
      <c r="U186" s="29" t="str">
        <f aca="false">IF(OR($T186="",$F186=""),"",$T186*$F186)</f>
        <v/>
      </c>
      <c r="V186" s="15" t="str">
        <f aca="false">IF($U186="","",$U186*10)</f>
        <v/>
      </c>
      <c r="W186" s="15" t="str">
        <f aca="false">IF(OR($V186="",$I186="",$J186="",$J186&lt;=$I186),"",$V186*MAX(0,MIN($J186,15)-MAX($I186,0))/($J186-$I186))</f>
        <v/>
      </c>
      <c r="X186" s="15" t="str">
        <f aca="false">IF(OR($V186="",$I186="",$J186="",$J186&lt;=$I186),"",$V186*MAX(0,MIN($J186,30)-MAX($I186,15))/($J186-$I186))</f>
        <v/>
      </c>
      <c r="Y186" s="15" t="str">
        <f aca="false">IF(OR($V186="",$I186="",$J186="",$J186&lt;=$I186),"",$V186*MAX(0,MIN($J186,50)-MAX($I186,30))/($J186-$I186))</f>
        <v/>
      </c>
      <c r="Z186" s="15" t="str">
        <f aca="false">IF(OR($V186="",$I186="",$J186="",$J186&lt;=$I186),"",$V186*MAX(0,MIN($J186,100)-MAX($I186,50))/($J186-$I186))</f>
        <v/>
      </c>
      <c r="AA186" s="16" t="str">
        <f aca="false">IF($A186="","",IF(OR($C186="",$D186="",$D186&lt;=$C186),"CHECK: depths missing, or bottom not below top",IF(COUNTIFS($A$6:$A$205,$A186,$C$6:$C$205,$C186)&gt;1,"DUPLICATE slice",IF(COUNTIFS($A$6:$A$205,$A186,$C$6:$C$205,"&lt;"&amp;$D186,$D$6:$D$205,"&gt;"&amp;$C186)&gt;1,"OVERLAP with another slice",IF(AND($C186&gt;0,COUNTIFS($A$6:$A$205,$A186,$D$6:$D$205,$C186)=0),"GAP above this slice",IF(OR($G186="",$H186=""),"CHECK: Core ID not in Core Log, or its compaction / diameter missing",IF(AND(IF(COUNTIFS('2. Plot &amp; Core Log'!$B$6:$B$35,$A186,'2. Plot &amp; Core Log'!$L$6:$L$35,"&gt;0")=0,"",SUMIFS('2. Plot &amp; Core Log'!$L$6:$L$35,'2. Plot &amp; Core Log'!$B$6:$B$35,$A186))&lt;&gt;"",$D186&gt;IF(COUNTIFS('2. Plot &amp; Core Log'!$B$6:$B$35,$A186,'2. Plot &amp; Core Log'!$L$6:$L$35,"&gt;0")=0,"",SUMIFS('2. Plot &amp; Core Log'!$L$6:$L$35,'2. Plot &amp; Core Log'!$B$6:$B$35,$A186))),"CHECK: slice deeper than the core length on Sheet 2",IF(OR($M186="",$N186="",$O186=""),"AWAITING LAB (dry weight, carbon value or type)",IF(AND(UPPER($O186)&lt;&gt;"OC",UPPER($O186)&lt;&gt;"LOI"),IF(UPPER($O186)="TC","TC is not organic carbon — ask the lab for OC or IC","CHECK: type must be OC, TC or LOI"),IF($R186="",IF(AND(LOI_INTERCEPT&lt;&gt;"",LOI_SLOPE&lt;&gt;""),"CHECK: LOI below the range of the conversion equation (OC would be &lt; 0)","CHECK: LOI conversion not set (Instructions tab)"),IF(OR($Q186&lt;=0,$Q186&gt;2.65,$R186&gt;50),"CHECK: bulk density outside 0–2.65 g/cm3 or OC &gt; 50%","OK")))))))))))</f>
        <v/>
      </c>
    </row>
    <row r="187" customFormat="false" ht="15.75" hidden="false" customHeight="true" outlineLevel="0" collapsed="false">
      <c r="A187" s="14"/>
      <c r="B187" s="14"/>
      <c r="C187" s="24"/>
      <c r="D187" s="24"/>
      <c r="E187" s="14"/>
      <c r="F187" s="16" t="str">
        <f aca="false">IF(OR($C187="",$D187=""),"",$D187-$C187)</f>
        <v/>
      </c>
      <c r="G187" s="25" t="str">
        <f aca="false">IF($A187="","",IFERROR(INDEX('2. Plot &amp; Core Log'!$M$6:$M$35,MATCH($A187,'2. Plot &amp; Core Log'!$B$6:$B$35,0)),""))</f>
        <v/>
      </c>
      <c r="H187" s="26" t="str">
        <f aca="false">IF($A187="","",IFERROR(INDEX('2. Plot &amp; Core Log'!$S$6:$S$35,MATCH($A187,'2. Plot &amp; Core Log'!$B$6:$B$35,0)),""))</f>
        <v/>
      </c>
      <c r="I187" s="16" t="str">
        <f aca="false">IF(OR($C187="",$G187=""),"",$C187*$G187)</f>
        <v/>
      </c>
      <c r="J187" s="16" t="str">
        <f aca="false">IF(OR($D187="",$G187=""),"",$D187*$G187)</f>
        <v/>
      </c>
      <c r="K187" s="16" t="str">
        <f aca="false">IF(OR($F187="",$H187=""),"",PI()*(($H187/2)^2)*$F187)</f>
        <v/>
      </c>
      <c r="L187" s="27"/>
      <c r="M187" s="27"/>
      <c r="N187" s="27"/>
      <c r="O187" s="27"/>
      <c r="P187" s="16" t="str">
        <f aca="false">IF(OR($L187="",$M187="",$L187=0),"",(($L187-$M187)/$L187)*100)</f>
        <v/>
      </c>
      <c r="Q187" s="15" t="str">
        <f aca="false">IF(OR($M187="",$K187="",$K187=0),"",$M187/$K187)</f>
        <v/>
      </c>
      <c r="R187" s="15" t="str">
        <f aca="false">IF(OR($N187="",$O187=""),"",IF(UPPER($O187)="OC",$N187,IF(UPPER($O187)="LOI",IF(OR(LOI_INTERCEPT="",LOI_SLOPE=""),"",IF(LOI_INTERCEPT+LOI_SLOPE*$N187&lt;0,"",LOI_INTERCEPT+LOI_SLOPE*$N187)),"")))</f>
        <v/>
      </c>
      <c r="S187" s="18" t="str">
        <f aca="false">IF($R187="","",$R187*10)</f>
        <v/>
      </c>
      <c r="T187" s="28" t="str">
        <f aca="false">IF(OR($Q187="",$R187=""),"",$Q187*$R187/100)</f>
        <v/>
      </c>
      <c r="U187" s="29" t="str">
        <f aca="false">IF(OR($T187="",$F187=""),"",$T187*$F187)</f>
        <v/>
      </c>
      <c r="V187" s="15" t="str">
        <f aca="false">IF($U187="","",$U187*10)</f>
        <v/>
      </c>
      <c r="W187" s="15" t="str">
        <f aca="false">IF(OR($V187="",$I187="",$J187="",$J187&lt;=$I187),"",$V187*MAX(0,MIN($J187,15)-MAX($I187,0))/($J187-$I187))</f>
        <v/>
      </c>
      <c r="X187" s="15" t="str">
        <f aca="false">IF(OR($V187="",$I187="",$J187="",$J187&lt;=$I187),"",$V187*MAX(0,MIN($J187,30)-MAX($I187,15))/($J187-$I187))</f>
        <v/>
      </c>
      <c r="Y187" s="15" t="str">
        <f aca="false">IF(OR($V187="",$I187="",$J187="",$J187&lt;=$I187),"",$V187*MAX(0,MIN($J187,50)-MAX($I187,30))/($J187-$I187))</f>
        <v/>
      </c>
      <c r="Z187" s="15" t="str">
        <f aca="false">IF(OR($V187="",$I187="",$J187="",$J187&lt;=$I187),"",$V187*MAX(0,MIN($J187,100)-MAX($I187,50))/($J187-$I187))</f>
        <v/>
      </c>
      <c r="AA187" s="16" t="str">
        <f aca="false">IF($A187="","",IF(OR($C187="",$D187="",$D187&lt;=$C187),"CHECK: depths missing, or bottom not below top",IF(COUNTIFS($A$6:$A$205,$A187,$C$6:$C$205,$C187)&gt;1,"DUPLICATE slice",IF(COUNTIFS($A$6:$A$205,$A187,$C$6:$C$205,"&lt;"&amp;$D187,$D$6:$D$205,"&gt;"&amp;$C187)&gt;1,"OVERLAP with another slice",IF(AND($C187&gt;0,COUNTIFS($A$6:$A$205,$A187,$D$6:$D$205,$C187)=0),"GAP above this slice",IF(OR($G187="",$H187=""),"CHECK: Core ID not in Core Log, or its compaction / diameter missing",IF(AND(IF(COUNTIFS('2. Plot &amp; Core Log'!$B$6:$B$35,$A187,'2. Plot &amp; Core Log'!$L$6:$L$35,"&gt;0")=0,"",SUMIFS('2. Plot &amp; Core Log'!$L$6:$L$35,'2. Plot &amp; Core Log'!$B$6:$B$35,$A187))&lt;&gt;"",$D187&gt;IF(COUNTIFS('2. Plot &amp; Core Log'!$B$6:$B$35,$A187,'2. Plot &amp; Core Log'!$L$6:$L$35,"&gt;0")=0,"",SUMIFS('2. Plot &amp; Core Log'!$L$6:$L$35,'2. Plot &amp; Core Log'!$B$6:$B$35,$A187))),"CHECK: slice deeper than the core length on Sheet 2",IF(OR($M187="",$N187="",$O187=""),"AWAITING LAB (dry weight, carbon value or type)",IF(AND(UPPER($O187)&lt;&gt;"OC",UPPER($O187)&lt;&gt;"LOI"),IF(UPPER($O187)="TC","TC is not organic carbon — ask the lab for OC or IC","CHECK: type must be OC, TC or LOI"),IF($R187="",IF(AND(LOI_INTERCEPT&lt;&gt;"",LOI_SLOPE&lt;&gt;""),"CHECK: LOI below the range of the conversion equation (OC would be &lt; 0)","CHECK: LOI conversion not set (Instructions tab)"),IF(OR($Q187&lt;=0,$Q187&gt;2.65,$R187&gt;50),"CHECK: bulk density outside 0–2.65 g/cm3 or OC &gt; 50%","OK")))))))))))</f>
        <v/>
      </c>
    </row>
    <row r="188" customFormat="false" ht="15.75" hidden="false" customHeight="true" outlineLevel="0" collapsed="false">
      <c r="A188" s="14"/>
      <c r="B188" s="14"/>
      <c r="C188" s="24"/>
      <c r="D188" s="24"/>
      <c r="E188" s="14"/>
      <c r="F188" s="16" t="str">
        <f aca="false">IF(OR($C188="",$D188=""),"",$D188-$C188)</f>
        <v/>
      </c>
      <c r="G188" s="25" t="str">
        <f aca="false">IF($A188="","",IFERROR(INDEX('2. Plot &amp; Core Log'!$M$6:$M$35,MATCH($A188,'2. Plot &amp; Core Log'!$B$6:$B$35,0)),""))</f>
        <v/>
      </c>
      <c r="H188" s="26" t="str">
        <f aca="false">IF($A188="","",IFERROR(INDEX('2. Plot &amp; Core Log'!$S$6:$S$35,MATCH($A188,'2. Plot &amp; Core Log'!$B$6:$B$35,0)),""))</f>
        <v/>
      </c>
      <c r="I188" s="16" t="str">
        <f aca="false">IF(OR($C188="",$G188=""),"",$C188*$G188)</f>
        <v/>
      </c>
      <c r="J188" s="16" t="str">
        <f aca="false">IF(OR($D188="",$G188=""),"",$D188*$G188)</f>
        <v/>
      </c>
      <c r="K188" s="16" t="str">
        <f aca="false">IF(OR($F188="",$H188=""),"",PI()*(($H188/2)^2)*$F188)</f>
        <v/>
      </c>
      <c r="L188" s="27"/>
      <c r="M188" s="27"/>
      <c r="N188" s="27"/>
      <c r="O188" s="27"/>
      <c r="P188" s="16" t="str">
        <f aca="false">IF(OR($L188="",$M188="",$L188=0),"",(($L188-$M188)/$L188)*100)</f>
        <v/>
      </c>
      <c r="Q188" s="15" t="str">
        <f aca="false">IF(OR($M188="",$K188="",$K188=0),"",$M188/$K188)</f>
        <v/>
      </c>
      <c r="R188" s="15" t="str">
        <f aca="false">IF(OR($N188="",$O188=""),"",IF(UPPER($O188)="OC",$N188,IF(UPPER($O188)="LOI",IF(OR(LOI_INTERCEPT="",LOI_SLOPE=""),"",IF(LOI_INTERCEPT+LOI_SLOPE*$N188&lt;0,"",LOI_INTERCEPT+LOI_SLOPE*$N188)),"")))</f>
        <v/>
      </c>
      <c r="S188" s="18" t="str">
        <f aca="false">IF($R188="","",$R188*10)</f>
        <v/>
      </c>
      <c r="T188" s="28" t="str">
        <f aca="false">IF(OR($Q188="",$R188=""),"",$Q188*$R188/100)</f>
        <v/>
      </c>
      <c r="U188" s="29" t="str">
        <f aca="false">IF(OR($T188="",$F188=""),"",$T188*$F188)</f>
        <v/>
      </c>
      <c r="V188" s="15" t="str">
        <f aca="false">IF($U188="","",$U188*10)</f>
        <v/>
      </c>
      <c r="W188" s="15" t="str">
        <f aca="false">IF(OR($V188="",$I188="",$J188="",$J188&lt;=$I188),"",$V188*MAX(0,MIN($J188,15)-MAX($I188,0))/($J188-$I188))</f>
        <v/>
      </c>
      <c r="X188" s="15" t="str">
        <f aca="false">IF(OR($V188="",$I188="",$J188="",$J188&lt;=$I188),"",$V188*MAX(0,MIN($J188,30)-MAX($I188,15))/($J188-$I188))</f>
        <v/>
      </c>
      <c r="Y188" s="15" t="str">
        <f aca="false">IF(OR($V188="",$I188="",$J188="",$J188&lt;=$I188),"",$V188*MAX(0,MIN($J188,50)-MAX($I188,30))/($J188-$I188))</f>
        <v/>
      </c>
      <c r="Z188" s="15" t="str">
        <f aca="false">IF(OR($V188="",$I188="",$J188="",$J188&lt;=$I188),"",$V188*MAX(0,MIN($J188,100)-MAX($I188,50))/($J188-$I188))</f>
        <v/>
      </c>
      <c r="AA188" s="16" t="str">
        <f aca="false">IF($A188="","",IF(OR($C188="",$D188="",$D188&lt;=$C188),"CHECK: depths missing, or bottom not below top",IF(COUNTIFS($A$6:$A$205,$A188,$C$6:$C$205,$C188)&gt;1,"DUPLICATE slice",IF(COUNTIFS($A$6:$A$205,$A188,$C$6:$C$205,"&lt;"&amp;$D188,$D$6:$D$205,"&gt;"&amp;$C188)&gt;1,"OVERLAP with another slice",IF(AND($C188&gt;0,COUNTIFS($A$6:$A$205,$A188,$D$6:$D$205,$C188)=0),"GAP above this slice",IF(OR($G188="",$H188=""),"CHECK: Core ID not in Core Log, or its compaction / diameter missing",IF(AND(IF(COUNTIFS('2. Plot &amp; Core Log'!$B$6:$B$35,$A188,'2. Plot &amp; Core Log'!$L$6:$L$35,"&gt;0")=0,"",SUMIFS('2. Plot &amp; Core Log'!$L$6:$L$35,'2. Plot &amp; Core Log'!$B$6:$B$35,$A188))&lt;&gt;"",$D188&gt;IF(COUNTIFS('2. Plot &amp; Core Log'!$B$6:$B$35,$A188,'2. Plot &amp; Core Log'!$L$6:$L$35,"&gt;0")=0,"",SUMIFS('2. Plot &amp; Core Log'!$L$6:$L$35,'2. Plot &amp; Core Log'!$B$6:$B$35,$A188))),"CHECK: slice deeper than the core length on Sheet 2",IF(OR($M188="",$N188="",$O188=""),"AWAITING LAB (dry weight, carbon value or type)",IF(AND(UPPER($O188)&lt;&gt;"OC",UPPER($O188)&lt;&gt;"LOI"),IF(UPPER($O188)="TC","TC is not organic carbon — ask the lab for OC or IC","CHECK: type must be OC, TC or LOI"),IF($R188="",IF(AND(LOI_INTERCEPT&lt;&gt;"",LOI_SLOPE&lt;&gt;""),"CHECK: LOI below the range of the conversion equation (OC would be &lt; 0)","CHECK: LOI conversion not set (Instructions tab)"),IF(OR($Q188&lt;=0,$Q188&gt;2.65,$R188&gt;50),"CHECK: bulk density outside 0–2.65 g/cm3 or OC &gt; 50%","OK")))))))))))</f>
        <v/>
      </c>
    </row>
    <row r="189" customFormat="false" ht="15.75" hidden="false" customHeight="true" outlineLevel="0" collapsed="false">
      <c r="A189" s="14"/>
      <c r="B189" s="14"/>
      <c r="C189" s="24"/>
      <c r="D189" s="24"/>
      <c r="E189" s="14"/>
      <c r="F189" s="16" t="str">
        <f aca="false">IF(OR($C189="",$D189=""),"",$D189-$C189)</f>
        <v/>
      </c>
      <c r="G189" s="25" t="str">
        <f aca="false">IF($A189="","",IFERROR(INDEX('2. Plot &amp; Core Log'!$M$6:$M$35,MATCH($A189,'2. Plot &amp; Core Log'!$B$6:$B$35,0)),""))</f>
        <v/>
      </c>
      <c r="H189" s="26" t="str">
        <f aca="false">IF($A189="","",IFERROR(INDEX('2. Plot &amp; Core Log'!$S$6:$S$35,MATCH($A189,'2. Plot &amp; Core Log'!$B$6:$B$35,0)),""))</f>
        <v/>
      </c>
      <c r="I189" s="16" t="str">
        <f aca="false">IF(OR($C189="",$G189=""),"",$C189*$G189)</f>
        <v/>
      </c>
      <c r="J189" s="16" t="str">
        <f aca="false">IF(OR($D189="",$G189=""),"",$D189*$G189)</f>
        <v/>
      </c>
      <c r="K189" s="16" t="str">
        <f aca="false">IF(OR($F189="",$H189=""),"",PI()*(($H189/2)^2)*$F189)</f>
        <v/>
      </c>
      <c r="L189" s="27"/>
      <c r="M189" s="27"/>
      <c r="N189" s="27"/>
      <c r="O189" s="27"/>
      <c r="P189" s="16" t="str">
        <f aca="false">IF(OR($L189="",$M189="",$L189=0),"",(($L189-$M189)/$L189)*100)</f>
        <v/>
      </c>
      <c r="Q189" s="15" t="str">
        <f aca="false">IF(OR($M189="",$K189="",$K189=0),"",$M189/$K189)</f>
        <v/>
      </c>
      <c r="R189" s="15" t="str">
        <f aca="false">IF(OR($N189="",$O189=""),"",IF(UPPER($O189)="OC",$N189,IF(UPPER($O189)="LOI",IF(OR(LOI_INTERCEPT="",LOI_SLOPE=""),"",IF(LOI_INTERCEPT+LOI_SLOPE*$N189&lt;0,"",LOI_INTERCEPT+LOI_SLOPE*$N189)),"")))</f>
        <v/>
      </c>
      <c r="S189" s="18" t="str">
        <f aca="false">IF($R189="","",$R189*10)</f>
        <v/>
      </c>
      <c r="T189" s="28" t="str">
        <f aca="false">IF(OR($Q189="",$R189=""),"",$Q189*$R189/100)</f>
        <v/>
      </c>
      <c r="U189" s="29" t="str">
        <f aca="false">IF(OR($T189="",$F189=""),"",$T189*$F189)</f>
        <v/>
      </c>
      <c r="V189" s="15" t="str">
        <f aca="false">IF($U189="","",$U189*10)</f>
        <v/>
      </c>
      <c r="W189" s="15" t="str">
        <f aca="false">IF(OR($V189="",$I189="",$J189="",$J189&lt;=$I189),"",$V189*MAX(0,MIN($J189,15)-MAX($I189,0))/($J189-$I189))</f>
        <v/>
      </c>
      <c r="X189" s="15" t="str">
        <f aca="false">IF(OR($V189="",$I189="",$J189="",$J189&lt;=$I189),"",$V189*MAX(0,MIN($J189,30)-MAX($I189,15))/($J189-$I189))</f>
        <v/>
      </c>
      <c r="Y189" s="15" t="str">
        <f aca="false">IF(OR($V189="",$I189="",$J189="",$J189&lt;=$I189),"",$V189*MAX(0,MIN($J189,50)-MAX($I189,30))/($J189-$I189))</f>
        <v/>
      </c>
      <c r="Z189" s="15" t="str">
        <f aca="false">IF(OR($V189="",$I189="",$J189="",$J189&lt;=$I189),"",$V189*MAX(0,MIN($J189,100)-MAX($I189,50))/($J189-$I189))</f>
        <v/>
      </c>
      <c r="AA189" s="16" t="str">
        <f aca="false">IF($A189="","",IF(OR($C189="",$D189="",$D189&lt;=$C189),"CHECK: depths missing, or bottom not below top",IF(COUNTIFS($A$6:$A$205,$A189,$C$6:$C$205,$C189)&gt;1,"DUPLICATE slice",IF(COUNTIFS($A$6:$A$205,$A189,$C$6:$C$205,"&lt;"&amp;$D189,$D$6:$D$205,"&gt;"&amp;$C189)&gt;1,"OVERLAP with another slice",IF(AND($C189&gt;0,COUNTIFS($A$6:$A$205,$A189,$D$6:$D$205,$C189)=0),"GAP above this slice",IF(OR($G189="",$H189=""),"CHECK: Core ID not in Core Log, or its compaction / diameter missing",IF(AND(IF(COUNTIFS('2. Plot &amp; Core Log'!$B$6:$B$35,$A189,'2. Plot &amp; Core Log'!$L$6:$L$35,"&gt;0")=0,"",SUMIFS('2. Plot &amp; Core Log'!$L$6:$L$35,'2. Plot &amp; Core Log'!$B$6:$B$35,$A189))&lt;&gt;"",$D189&gt;IF(COUNTIFS('2. Plot &amp; Core Log'!$B$6:$B$35,$A189,'2. Plot &amp; Core Log'!$L$6:$L$35,"&gt;0")=0,"",SUMIFS('2. Plot &amp; Core Log'!$L$6:$L$35,'2. Plot &amp; Core Log'!$B$6:$B$35,$A189))),"CHECK: slice deeper than the core length on Sheet 2",IF(OR($M189="",$N189="",$O189=""),"AWAITING LAB (dry weight, carbon value or type)",IF(AND(UPPER($O189)&lt;&gt;"OC",UPPER($O189)&lt;&gt;"LOI"),IF(UPPER($O189)="TC","TC is not organic carbon — ask the lab for OC or IC","CHECK: type must be OC, TC or LOI"),IF($R189="",IF(AND(LOI_INTERCEPT&lt;&gt;"",LOI_SLOPE&lt;&gt;""),"CHECK: LOI below the range of the conversion equation (OC would be &lt; 0)","CHECK: LOI conversion not set (Instructions tab)"),IF(OR($Q189&lt;=0,$Q189&gt;2.65,$R189&gt;50),"CHECK: bulk density outside 0–2.65 g/cm3 or OC &gt; 50%","OK")))))))))))</f>
        <v/>
      </c>
    </row>
    <row r="190" customFormat="false" ht="15.75" hidden="false" customHeight="true" outlineLevel="0" collapsed="false">
      <c r="A190" s="14"/>
      <c r="B190" s="14"/>
      <c r="C190" s="24"/>
      <c r="D190" s="24"/>
      <c r="E190" s="14"/>
      <c r="F190" s="16" t="str">
        <f aca="false">IF(OR($C190="",$D190=""),"",$D190-$C190)</f>
        <v/>
      </c>
      <c r="G190" s="25" t="str">
        <f aca="false">IF($A190="","",IFERROR(INDEX('2. Plot &amp; Core Log'!$M$6:$M$35,MATCH($A190,'2. Plot &amp; Core Log'!$B$6:$B$35,0)),""))</f>
        <v/>
      </c>
      <c r="H190" s="26" t="str">
        <f aca="false">IF($A190="","",IFERROR(INDEX('2. Plot &amp; Core Log'!$S$6:$S$35,MATCH($A190,'2. Plot &amp; Core Log'!$B$6:$B$35,0)),""))</f>
        <v/>
      </c>
      <c r="I190" s="16" t="str">
        <f aca="false">IF(OR($C190="",$G190=""),"",$C190*$G190)</f>
        <v/>
      </c>
      <c r="J190" s="16" t="str">
        <f aca="false">IF(OR($D190="",$G190=""),"",$D190*$G190)</f>
        <v/>
      </c>
      <c r="K190" s="16" t="str">
        <f aca="false">IF(OR($F190="",$H190=""),"",PI()*(($H190/2)^2)*$F190)</f>
        <v/>
      </c>
      <c r="L190" s="27"/>
      <c r="M190" s="27"/>
      <c r="N190" s="27"/>
      <c r="O190" s="27"/>
      <c r="P190" s="16" t="str">
        <f aca="false">IF(OR($L190="",$M190="",$L190=0),"",(($L190-$M190)/$L190)*100)</f>
        <v/>
      </c>
      <c r="Q190" s="15" t="str">
        <f aca="false">IF(OR($M190="",$K190="",$K190=0),"",$M190/$K190)</f>
        <v/>
      </c>
      <c r="R190" s="15" t="str">
        <f aca="false">IF(OR($N190="",$O190=""),"",IF(UPPER($O190)="OC",$N190,IF(UPPER($O190)="LOI",IF(OR(LOI_INTERCEPT="",LOI_SLOPE=""),"",IF(LOI_INTERCEPT+LOI_SLOPE*$N190&lt;0,"",LOI_INTERCEPT+LOI_SLOPE*$N190)),"")))</f>
        <v/>
      </c>
      <c r="S190" s="18" t="str">
        <f aca="false">IF($R190="","",$R190*10)</f>
        <v/>
      </c>
      <c r="T190" s="28" t="str">
        <f aca="false">IF(OR($Q190="",$R190=""),"",$Q190*$R190/100)</f>
        <v/>
      </c>
      <c r="U190" s="29" t="str">
        <f aca="false">IF(OR($T190="",$F190=""),"",$T190*$F190)</f>
        <v/>
      </c>
      <c r="V190" s="15" t="str">
        <f aca="false">IF($U190="","",$U190*10)</f>
        <v/>
      </c>
      <c r="W190" s="15" t="str">
        <f aca="false">IF(OR($V190="",$I190="",$J190="",$J190&lt;=$I190),"",$V190*MAX(0,MIN($J190,15)-MAX($I190,0))/($J190-$I190))</f>
        <v/>
      </c>
      <c r="X190" s="15" t="str">
        <f aca="false">IF(OR($V190="",$I190="",$J190="",$J190&lt;=$I190),"",$V190*MAX(0,MIN($J190,30)-MAX($I190,15))/($J190-$I190))</f>
        <v/>
      </c>
      <c r="Y190" s="15" t="str">
        <f aca="false">IF(OR($V190="",$I190="",$J190="",$J190&lt;=$I190),"",$V190*MAX(0,MIN($J190,50)-MAX($I190,30))/($J190-$I190))</f>
        <v/>
      </c>
      <c r="Z190" s="15" t="str">
        <f aca="false">IF(OR($V190="",$I190="",$J190="",$J190&lt;=$I190),"",$V190*MAX(0,MIN($J190,100)-MAX($I190,50))/($J190-$I190))</f>
        <v/>
      </c>
      <c r="AA190" s="16" t="str">
        <f aca="false">IF($A190="","",IF(OR($C190="",$D190="",$D190&lt;=$C190),"CHECK: depths missing, or bottom not below top",IF(COUNTIFS($A$6:$A$205,$A190,$C$6:$C$205,$C190)&gt;1,"DUPLICATE slice",IF(COUNTIFS($A$6:$A$205,$A190,$C$6:$C$205,"&lt;"&amp;$D190,$D$6:$D$205,"&gt;"&amp;$C190)&gt;1,"OVERLAP with another slice",IF(AND($C190&gt;0,COUNTIFS($A$6:$A$205,$A190,$D$6:$D$205,$C190)=0),"GAP above this slice",IF(OR($G190="",$H190=""),"CHECK: Core ID not in Core Log, or its compaction / diameter missing",IF(AND(IF(COUNTIFS('2. Plot &amp; Core Log'!$B$6:$B$35,$A190,'2. Plot &amp; Core Log'!$L$6:$L$35,"&gt;0")=0,"",SUMIFS('2. Plot &amp; Core Log'!$L$6:$L$35,'2. Plot &amp; Core Log'!$B$6:$B$35,$A190))&lt;&gt;"",$D190&gt;IF(COUNTIFS('2. Plot &amp; Core Log'!$B$6:$B$35,$A190,'2. Plot &amp; Core Log'!$L$6:$L$35,"&gt;0")=0,"",SUMIFS('2. Plot &amp; Core Log'!$L$6:$L$35,'2. Plot &amp; Core Log'!$B$6:$B$35,$A190))),"CHECK: slice deeper than the core length on Sheet 2",IF(OR($M190="",$N190="",$O190=""),"AWAITING LAB (dry weight, carbon value or type)",IF(AND(UPPER($O190)&lt;&gt;"OC",UPPER($O190)&lt;&gt;"LOI"),IF(UPPER($O190)="TC","TC is not organic carbon — ask the lab for OC or IC","CHECK: type must be OC, TC or LOI"),IF($R190="",IF(AND(LOI_INTERCEPT&lt;&gt;"",LOI_SLOPE&lt;&gt;""),"CHECK: LOI below the range of the conversion equation (OC would be &lt; 0)","CHECK: LOI conversion not set (Instructions tab)"),IF(OR($Q190&lt;=0,$Q190&gt;2.65,$R190&gt;50),"CHECK: bulk density outside 0–2.65 g/cm3 or OC &gt; 50%","OK")))))))))))</f>
        <v/>
      </c>
    </row>
    <row r="191" customFormat="false" ht="15.75" hidden="false" customHeight="true" outlineLevel="0" collapsed="false">
      <c r="A191" s="14"/>
      <c r="B191" s="14"/>
      <c r="C191" s="24"/>
      <c r="D191" s="24"/>
      <c r="E191" s="14"/>
      <c r="F191" s="16" t="str">
        <f aca="false">IF(OR($C191="",$D191=""),"",$D191-$C191)</f>
        <v/>
      </c>
      <c r="G191" s="25" t="str">
        <f aca="false">IF($A191="","",IFERROR(INDEX('2. Plot &amp; Core Log'!$M$6:$M$35,MATCH($A191,'2. Plot &amp; Core Log'!$B$6:$B$35,0)),""))</f>
        <v/>
      </c>
      <c r="H191" s="26" t="str">
        <f aca="false">IF($A191="","",IFERROR(INDEX('2. Plot &amp; Core Log'!$S$6:$S$35,MATCH($A191,'2. Plot &amp; Core Log'!$B$6:$B$35,0)),""))</f>
        <v/>
      </c>
      <c r="I191" s="16" t="str">
        <f aca="false">IF(OR($C191="",$G191=""),"",$C191*$G191)</f>
        <v/>
      </c>
      <c r="J191" s="16" t="str">
        <f aca="false">IF(OR($D191="",$G191=""),"",$D191*$G191)</f>
        <v/>
      </c>
      <c r="K191" s="16" t="str">
        <f aca="false">IF(OR($F191="",$H191=""),"",PI()*(($H191/2)^2)*$F191)</f>
        <v/>
      </c>
      <c r="L191" s="27"/>
      <c r="M191" s="27"/>
      <c r="N191" s="27"/>
      <c r="O191" s="27"/>
      <c r="P191" s="16" t="str">
        <f aca="false">IF(OR($L191="",$M191="",$L191=0),"",(($L191-$M191)/$L191)*100)</f>
        <v/>
      </c>
      <c r="Q191" s="15" t="str">
        <f aca="false">IF(OR($M191="",$K191="",$K191=0),"",$M191/$K191)</f>
        <v/>
      </c>
      <c r="R191" s="15" t="str">
        <f aca="false">IF(OR($N191="",$O191=""),"",IF(UPPER($O191)="OC",$N191,IF(UPPER($O191)="LOI",IF(OR(LOI_INTERCEPT="",LOI_SLOPE=""),"",IF(LOI_INTERCEPT+LOI_SLOPE*$N191&lt;0,"",LOI_INTERCEPT+LOI_SLOPE*$N191)),"")))</f>
        <v/>
      </c>
      <c r="S191" s="18" t="str">
        <f aca="false">IF($R191="","",$R191*10)</f>
        <v/>
      </c>
      <c r="T191" s="28" t="str">
        <f aca="false">IF(OR($Q191="",$R191=""),"",$Q191*$R191/100)</f>
        <v/>
      </c>
      <c r="U191" s="29" t="str">
        <f aca="false">IF(OR($T191="",$F191=""),"",$T191*$F191)</f>
        <v/>
      </c>
      <c r="V191" s="15" t="str">
        <f aca="false">IF($U191="","",$U191*10)</f>
        <v/>
      </c>
      <c r="W191" s="15" t="str">
        <f aca="false">IF(OR($V191="",$I191="",$J191="",$J191&lt;=$I191),"",$V191*MAX(0,MIN($J191,15)-MAX($I191,0))/($J191-$I191))</f>
        <v/>
      </c>
      <c r="X191" s="15" t="str">
        <f aca="false">IF(OR($V191="",$I191="",$J191="",$J191&lt;=$I191),"",$V191*MAX(0,MIN($J191,30)-MAX($I191,15))/($J191-$I191))</f>
        <v/>
      </c>
      <c r="Y191" s="15" t="str">
        <f aca="false">IF(OR($V191="",$I191="",$J191="",$J191&lt;=$I191),"",$V191*MAX(0,MIN($J191,50)-MAX($I191,30))/($J191-$I191))</f>
        <v/>
      </c>
      <c r="Z191" s="15" t="str">
        <f aca="false">IF(OR($V191="",$I191="",$J191="",$J191&lt;=$I191),"",$V191*MAX(0,MIN($J191,100)-MAX($I191,50))/($J191-$I191))</f>
        <v/>
      </c>
      <c r="AA191" s="16" t="str">
        <f aca="false">IF($A191="","",IF(OR($C191="",$D191="",$D191&lt;=$C191),"CHECK: depths missing, or bottom not below top",IF(COUNTIFS($A$6:$A$205,$A191,$C$6:$C$205,$C191)&gt;1,"DUPLICATE slice",IF(COUNTIFS($A$6:$A$205,$A191,$C$6:$C$205,"&lt;"&amp;$D191,$D$6:$D$205,"&gt;"&amp;$C191)&gt;1,"OVERLAP with another slice",IF(AND($C191&gt;0,COUNTIFS($A$6:$A$205,$A191,$D$6:$D$205,$C191)=0),"GAP above this slice",IF(OR($G191="",$H191=""),"CHECK: Core ID not in Core Log, or its compaction / diameter missing",IF(AND(IF(COUNTIFS('2. Plot &amp; Core Log'!$B$6:$B$35,$A191,'2. Plot &amp; Core Log'!$L$6:$L$35,"&gt;0")=0,"",SUMIFS('2. Plot &amp; Core Log'!$L$6:$L$35,'2. Plot &amp; Core Log'!$B$6:$B$35,$A191))&lt;&gt;"",$D191&gt;IF(COUNTIFS('2. Plot &amp; Core Log'!$B$6:$B$35,$A191,'2. Plot &amp; Core Log'!$L$6:$L$35,"&gt;0")=0,"",SUMIFS('2. Plot &amp; Core Log'!$L$6:$L$35,'2. Plot &amp; Core Log'!$B$6:$B$35,$A191))),"CHECK: slice deeper than the core length on Sheet 2",IF(OR($M191="",$N191="",$O191=""),"AWAITING LAB (dry weight, carbon value or type)",IF(AND(UPPER($O191)&lt;&gt;"OC",UPPER($O191)&lt;&gt;"LOI"),IF(UPPER($O191)="TC","TC is not organic carbon — ask the lab for OC or IC","CHECK: type must be OC, TC or LOI"),IF($R191="",IF(AND(LOI_INTERCEPT&lt;&gt;"",LOI_SLOPE&lt;&gt;""),"CHECK: LOI below the range of the conversion equation (OC would be &lt; 0)","CHECK: LOI conversion not set (Instructions tab)"),IF(OR($Q191&lt;=0,$Q191&gt;2.65,$R191&gt;50),"CHECK: bulk density outside 0–2.65 g/cm3 or OC &gt; 50%","OK")))))))))))</f>
        <v/>
      </c>
    </row>
    <row r="192" customFormat="false" ht="15.75" hidden="false" customHeight="true" outlineLevel="0" collapsed="false">
      <c r="A192" s="14"/>
      <c r="B192" s="14"/>
      <c r="C192" s="24"/>
      <c r="D192" s="24"/>
      <c r="E192" s="14"/>
      <c r="F192" s="16" t="str">
        <f aca="false">IF(OR($C192="",$D192=""),"",$D192-$C192)</f>
        <v/>
      </c>
      <c r="G192" s="25" t="str">
        <f aca="false">IF($A192="","",IFERROR(INDEX('2. Plot &amp; Core Log'!$M$6:$M$35,MATCH($A192,'2. Plot &amp; Core Log'!$B$6:$B$35,0)),""))</f>
        <v/>
      </c>
      <c r="H192" s="26" t="str">
        <f aca="false">IF($A192="","",IFERROR(INDEX('2. Plot &amp; Core Log'!$S$6:$S$35,MATCH($A192,'2. Plot &amp; Core Log'!$B$6:$B$35,0)),""))</f>
        <v/>
      </c>
      <c r="I192" s="16" t="str">
        <f aca="false">IF(OR($C192="",$G192=""),"",$C192*$G192)</f>
        <v/>
      </c>
      <c r="J192" s="16" t="str">
        <f aca="false">IF(OR($D192="",$G192=""),"",$D192*$G192)</f>
        <v/>
      </c>
      <c r="K192" s="16" t="str">
        <f aca="false">IF(OR($F192="",$H192=""),"",PI()*(($H192/2)^2)*$F192)</f>
        <v/>
      </c>
      <c r="L192" s="27"/>
      <c r="M192" s="27"/>
      <c r="N192" s="27"/>
      <c r="O192" s="27"/>
      <c r="P192" s="16" t="str">
        <f aca="false">IF(OR($L192="",$M192="",$L192=0),"",(($L192-$M192)/$L192)*100)</f>
        <v/>
      </c>
      <c r="Q192" s="15" t="str">
        <f aca="false">IF(OR($M192="",$K192="",$K192=0),"",$M192/$K192)</f>
        <v/>
      </c>
      <c r="R192" s="15" t="str">
        <f aca="false">IF(OR($N192="",$O192=""),"",IF(UPPER($O192)="OC",$N192,IF(UPPER($O192)="LOI",IF(OR(LOI_INTERCEPT="",LOI_SLOPE=""),"",IF(LOI_INTERCEPT+LOI_SLOPE*$N192&lt;0,"",LOI_INTERCEPT+LOI_SLOPE*$N192)),"")))</f>
        <v/>
      </c>
      <c r="S192" s="18" t="str">
        <f aca="false">IF($R192="","",$R192*10)</f>
        <v/>
      </c>
      <c r="T192" s="28" t="str">
        <f aca="false">IF(OR($Q192="",$R192=""),"",$Q192*$R192/100)</f>
        <v/>
      </c>
      <c r="U192" s="29" t="str">
        <f aca="false">IF(OR($T192="",$F192=""),"",$T192*$F192)</f>
        <v/>
      </c>
      <c r="V192" s="15" t="str">
        <f aca="false">IF($U192="","",$U192*10)</f>
        <v/>
      </c>
      <c r="W192" s="15" t="str">
        <f aca="false">IF(OR($V192="",$I192="",$J192="",$J192&lt;=$I192),"",$V192*MAX(0,MIN($J192,15)-MAX($I192,0))/($J192-$I192))</f>
        <v/>
      </c>
      <c r="X192" s="15" t="str">
        <f aca="false">IF(OR($V192="",$I192="",$J192="",$J192&lt;=$I192),"",$V192*MAX(0,MIN($J192,30)-MAX($I192,15))/($J192-$I192))</f>
        <v/>
      </c>
      <c r="Y192" s="15" t="str">
        <f aca="false">IF(OR($V192="",$I192="",$J192="",$J192&lt;=$I192),"",$V192*MAX(0,MIN($J192,50)-MAX($I192,30))/($J192-$I192))</f>
        <v/>
      </c>
      <c r="Z192" s="15" t="str">
        <f aca="false">IF(OR($V192="",$I192="",$J192="",$J192&lt;=$I192),"",$V192*MAX(0,MIN($J192,100)-MAX($I192,50))/($J192-$I192))</f>
        <v/>
      </c>
      <c r="AA192" s="16" t="str">
        <f aca="false">IF($A192="","",IF(OR($C192="",$D192="",$D192&lt;=$C192),"CHECK: depths missing, or bottom not below top",IF(COUNTIFS($A$6:$A$205,$A192,$C$6:$C$205,$C192)&gt;1,"DUPLICATE slice",IF(COUNTIFS($A$6:$A$205,$A192,$C$6:$C$205,"&lt;"&amp;$D192,$D$6:$D$205,"&gt;"&amp;$C192)&gt;1,"OVERLAP with another slice",IF(AND($C192&gt;0,COUNTIFS($A$6:$A$205,$A192,$D$6:$D$205,$C192)=0),"GAP above this slice",IF(OR($G192="",$H192=""),"CHECK: Core ID not in Core Log, or its compaction / diameter missing",IF(AND(IF(COUNTIFS('2. Plot &amp; Core Log'!$B$6:$B$35,$A192,'2. Plot &amp; Core Log'!$L$6:$L$35,"&gt;0")=0,"",SUMIFS('2. Plot &amp; Core Log'!$L$6:$L$35,'2. Plot &amp; Core Log'!$B$6:$B$35,$A192))&lt;&gt;"",$D192&gt;IF(COUNTIFS('2. Plot &amp; Core Log'!$B$6:$B$35,$A192,'2. Plot &amp; Core Log'!$L$6:$L$35,"&gt;0")=0,"",SUMIFS('2. Plot &amp; Core Log'!$L$6:$L$35,'2. Plot &amp; Core Log'!$B$6:$B$35,$A192))),"CHECK: slice deeper than the core length on Sheet 2",IF(OR($M192="",$N192="",$O192=""),"AWAITING LAB (dry weight, carbon value or type)",IF(AND(UPPER($O192)&lt;&gt;"OC",UPPER($O192)&lt;&gt;"LOI"),IF(UPPER($O192)="TC","TC is not organic carbon — ask the lab for OC or IC","CHECK: type must be OC, TC or LOI"),IF($R192="",IF(AND(LOI_INTERCEPT&lt;&gt;"",LOI_SLOPE&lt;&gt;""),"CHECK: LOI below the range of the conversion equation (OC would be &lt; 0)","CHECK: LOI conversion not set (Instructions tab)"),IF(OR($Q192&lt;=0,$Q192&gt;2.65,$R192&gt;50),"CHECK: bulk density outside 0–2.65 g/cm3 or OC &gt; 50%","OK")))))))))))</f>
        <v/>
      </c>
    </row>
    <row r="193" customFormat="false" ht="15.75" hidden="false" customHeight="true" outlineLevel="0" collapsed="false">
      <c r="A193" s="14"/>
      <c r="B193" s="14"/>
      <c r="C193" s="24"/>
      <c r="D193" s="24"/>
      <c r="E193" s="14"/>
      <c r="F193" s="16" t="str">
        <f aca="false">IF(OR($C193="",$D193=""),"",$D193-$C193)</f>
        <v/>
      </c>
      <c r="G193" s="25" t="str">
        <f aca="false">IF($A193="","",IFERROR(INDEX('2. Plot &amp; Core Log'!$M$6:$M$35,MATCH($A193,'2. Plot &amp; Core Log'!$B$6:$B$35,0)),""))</f>
        <v/>
      </c>
      <c r="H193" s="26" t="str">
        <f aca="false">IF($A193="","",IFERROR(INDEX('2. Plot &amp; Core Log'!$S$6:$S$35,MATCH($A193,'2. Plot &amp; Core Log'!$B$6:$B$35,0)),""))</f>
        <v/>
      </c>
      <c r="I193" s="16" t="str">
        <f aca="false">IF(OR($C193="",$G193=""),"",$C193*$G193)</f>
        <v/>
      </c>
      <c r="J193" s="16" t="str">
        <f aca="false">IF(OR($D193="",$G193=""),"",$D193*$G193)</f>
        <v/>
      </c>
      <c r="K193" s="16" t="str">
        <f aca="false">IF(OR($F193="",$H193=""),"",PI()*(($H193/2)^2)*$F193)</f>
        <v/>
      </c>
      <c r="L193" s="27"/>
      <c r="M193" s="27"/>
      <c r="N193" s="27"/>
      <c r="O193" s="27"/>
      <c r="P193" s="16" t="str">
        <f aca="false">IF(OR($L193="",$M193="",$L193=0),"",(($L193-$M193)/$L193)*100)</f>
        <v/>
      </c>
      <c r="Q193" s="15" t="str">
        <f aca="false">IF(OR($M193="",$K193="",$K193=0),"",$M193/$K193)</f>
        <v/>
      </c>
      <c r="R193" s="15" t="str">
        <f aca="false">IF(OR($N193="",$O193=""),"",IF(UPPER($O193)="OC",$N193,IF(UPPER($O193)="LOI",IF(OR(LOI_INTERCEPT="",LOI_SLOPE=""),"",IF(LOI_INTERCEPT+LOI_SLOPE*$N193&lt;0,"",LOI_INTERCEPT+LOI_SLOPE*$N193)),"")))</f>
        <v/>
      </c>
      <c r="S193" s="18" t="str">
        <f aca="false">IF($R193="","",$R193*10)</f>
        <v/>
      </c>
      <c r="T193" s="28" t="str">
        <f aca="false">IF(OR($Q193="",$R193=""),"",$Q193*$R193/100)</f>
        <v/>
      </c>
      <c r="U193" s="29" t="str">
        <f aca="false">IF(OR($T193="",$F193=""),"",$T193*$F193)</f>
        <v/>
      </c>
      <c r="V193" s="15" t="str">
        <f aca="false">IF($U193="","",$U193*10)</f>
        <v/>
      </c>
      <c r="W193" s="15" t="str">
        <f aca="false">IF(OR($V193="",$I193="",$J193="",$J193&lt;=$I193),"",$V193*MAX(0,MIN($J193,15)-MAX($I193,0))/($J193-$I193))</f>
        <v/>
      </c>
      <c r="X193" s="15" t="str">
        <f aca="false">IF(OR($V193="",$I193="",$J193="",$J193&lt;=$I193),"",$V193*MAX(0,MIN($J193,30)-MAX($I193,15))/($J193-$I193))</f>
        <v/>
      </c>
      <c r="Y193" s="15" t="str">
        <f aca="false">IF(OR($V193="",$I193="",$J193="",$J193&lt;=$I193),"",$V193*MAX(0,MIN($J193,50)-MAX($I193,30))/($J193-$I193))</f>
        <v/>
      </c>
      <c r="Z193" s="15" t="str">
        <f aca="false">IF(OR($V193="",$I193="",$J193="",$J193&lt;=$I193),"",$V193*MAX(0,MIN($J193,100)-MAX($I193,50))/($J193-$I193))</f>
        <v/>
      </c>
      <c r="AA193" s="16" t="str">
        <f aca="false">IF($A193="","",IF(OR($C193="",$D193="",$D193&lt;=$C193),"CHECK: depths missing, or bottom not below top",IF(COUNTIFS($A$6:$A$205,$A193,$C$6:$C$205,$C193)&gt;1,"DUPLICATE slice",IF(COUNTIFS($A$6:$A$205,$A193,$C$6:$C$205,"&lt;"&amp;$D193,$D$6:$D$205,"&gt;"&amp;$C193)&gt;1,"OVERLAP with another slice",IF(AND($C193&gt;0,COUNTIFS($A$6:$A$205,$A193,$D$6:$D$205,$C193)=0),"GAP above this slice",IF(OR($G193="",$H193=""),"CHECK: Core ID not in Core Log, or its compaction / diameter missing",IF(AND(IF(COUNTIFS('2. Plot &amp; Core Log'!$B$6:$B$35,$A193,'2. Plot &amp; Core Log'!$L$6:$L$35,"&gt;0")=0,"",SUMIFS('2. Plot &amp; Core Log'!$L$6:$L$35,'2. Plot &amp; Core Log'!$B$6:$B$35,$A193))&lt;&gt;"",$D193&gt;IF(COUNTIFS('2. Plot &amp; Core Log'!$B$6:$B$35,$A193,'2. Plot &amp; Core Log'!$L$6:$L$35,"&gt;0")=0,"",SUMIFS('2. Plot &amp; Core Log'!$L$6:$L$35,'2. Plot &amp; Core Log'!$B$6:$B$35,$A193))),"CHECK: slice deeper than the core length on Sheet 2",IF(OR($M193="",$N193="",$O193=""),"AWAITING LAB (dry weight, carbon value or type)",IF(AND(UPPER($O193)&lt;&gt;"OC",UPPER($O193)&lt;&gt;"LOI"),IF(UPPER($O193)="TC","TC is not organic carbon — ask the lab for OC or IC","CHECK: type must be OC, TC or LOI"),IF($R193="",IF(AND(LOI_INTERCEPT&lt;&gt;"",LOI_SLOPE&lt;&gt;""),"CHECK: LOI below the range of the conversion equation (OC would be &lt; 0)","CHECK: LOI conversion not set (Instructions tab)"),IF(OR($Q193&lt;=0,$Q193&gt;2.65,$R193&gt;50),"CHECK: bulk density outside 0–2.65 g/cm3 or OC &gt; 50%","OK")))))))))))</f>
        <v/>
      </c>
    </row>
    <row r="194" customFormat="false" ht="15.75" hidden="false" customHeight="true" outlineLevel="0" collapsed="false">
      <c r="A194" s="14"/>
      <c r="B194" s="14"/>
      <c r="C194" s="24"/>
      <c r="D194" s="24"/>
      <c r="E194" s="14"/>
      <c r="F194" s="16" t="str">
        <f aca="false">IF(OR($C194="",$D194=""),"",$D194-$C194)</f>
        <v/>
      </c>
      <c r="G194" s="25" t="str">
        <f aca="false">IF($A194="","",IFERROR(INDEX('2. Plot &amp; Core Log'!$M$6:$M$35,MATCH($A194,'2. Plot &amp; Core Log'!$B$6:$B$35,0)),""))</f>
        <v/>
      </c>
      <c r="H194" s="26" t="str">
        <f aca="false">IF($A194="","",IFERROR(INDEX('2. Plot &amp; Core Log'!$S$6:$S$35,MATCH($A194,'2. Plot &amp; Core Log'!$B$6:$B$35,0)),""))</f>
        <v/>
      </c>
      <c r="I194" s="16" t="str">
        <f aca="false">IF(OR($C194="",$G194=""),"",$C194*$G194)</f>
        <v/>
      </c>
      <c r="J194" s="16" t="str">
        <f aca="false">IF(OR($D194="",$G194=""),"",$D194*$G194)</f>
        <v/>
      </c>
      <c r="K194" s="16" t="str">
        <f aca="false">IF(OR($F194="",$H194=""),"",PI()*(($H194/2)^2)*$F194)</f>
        <v/>
      </c>
      <c r="L194" s="27"/>
      <c r="M194" s="27"/>
      <c r="N194" s="27"/>
      <c r="O194" s="27"/>
      <c r="P194" s="16" t="str">
        <f aca="false">IF(OR($L194="",$M194="",$L194=0),"",(($L194-$M194)/$L194)*100)</f>
        <v/>
      </c>
      <c r="Q194" s="15" t="str">
        <f aca="false">IF(OR($M194="",$K194="",$K194=0),"",$M194/$K194)</f>
        <v/>
      </c>
      <c r="R194" s="15" t="str">
        <f aca="false">IF(OR($N194="",$O194=""),"",IF(UPPER($O194)="OC",$N194,IF(UPPER($O194)="LOI",IF(OR(LOI_INTERCEPT="",LOI_SLOPE=""),"",IF(LOI_INTERCEPT+LOI_SLOPE*$N194&lt;0,"",LOI_INTERCEPT+LOI_SLOPE*$N194)),"")))</f>
        <v/>
      </c>
      <c r="S194" s="18" t="str">
        <f aca="false">IF($R194="","",$R194*10)</f>
        <v/>
      </c>
      <c r="T194" s="28" t="str">
        <f aca="false">IF(OR($Q194="",$R194=""),"",$Q194*$R194/100)</f>
        <v/>
      </c>
      <c r="U194" s="29" t="str">
        <f aca="false">IF(OR($T194="",$F194=""),"",$T194*$F194)</f>
        <v/>
      </c>
      <c r="V194" s="15" t="str">
        <f aca="false">IF($U194="","",$U194*10)</f>
        <v/>
      </c>
      <c r="W194" s="15" t="str">
        <f aca="false">IF(OR($V194="",$I194="",$J194="",$J194&lt;=$I194),"",$V194*MAX(0,MIN($J194,15)-MAX($I194,0))/($J194-$I194))</f>
        <v/>
      </c>
      <c r="X194" s="15" t="str">
        <f aca="false">IF(OR($V194="",$I194="",$J194="",$J194&lt;=$I194),"",$V194*MAX(0,MIN($J194,30)-MAX($I194,15))/($J194-$I194))</f>
        <v/>
      </c>
      <c r="Y194" s="15" t="str">
        <f aca="false">IF(OR($V194="",$I194="",$J194="",$J194&lt;=$I194),"",$V194*MAX(0,MIN($J194,50)-MAX($I194,30))/($J194-$I194))</f>
        <v/>
      </c>
      <c r="Z194" s="15" t="str">
        <f aca="false">IF(OR($V194="",$I194="",$J194="",$J194&lt;=$I194),"",$V194*MAX(0,MIN($J194,100)-MAX($I194,50))/($J194-$I194))</f>
        <v/>
      </c>
      <c r="AA194" s="16" t="str">
        <f aca="false">IF($A194="","",IF(OR($C194="",$D194="",$D194&lt;=$C194),"CHECK: depths missing, or bottom not below top",IF(COUNTIFS($A$6:$A$205,$A194,$C$6:$C$205,$C194)&gt;1,"DUPLICATE slice",IF(COUNTIFS($A$6:$A$205,$A194,$C$6:$C$205,"&lt;"&amp;$D194,$D$6:$D$205,"&gt;"&amp;$C194)&gt;1,"OVERLAP with another slice",IF(AND($C194&gt;0,COUNTIFS($A$6:$A$205,$A194,$D$6:$D$205,$C194)=0),"GAP above this slice",IF(OR($G194="",$H194=""),"CHECK: Core ID not in Core Log, or its compaction / diameter missing",IF(AND(IF(COUNTIFS('2. Plot &amp; Core Log'!$B$6:$B$35,$A194,'2. Plot &amp; Core Log'!$L$6:$L$35,"&gt;0")=0,"",SUMIFS('2. Plot &amp; Core Log'!$L$6:$L$35,'2. Plot &amp; Core Log'!$B$6:$B$35,$A194))&lt;&gt;"",$D194&gt;IF(COUNTIFS('2. Plot &amp; Core Log'!$B$6:$B$35,$A194,'2. Plot &amp; Core Log'!$L$6:$L$35,"&gt;0")=0,"",SUMIFS('2. Plot &amp; Core Log'!$L$6:$L$35,'2. Plot &amp; Core Log'!$B$6:$B$35,$A194))),"CHECK: slice deeper than the core length on Sheet 2",IF(OR($M194="",$N194="",$O194=""),"AWAITING LAB (dry weight, carbon value or type)",IF(AND(UPPER($O194)&lt;&gt;"OC",UPPER($O194)&lt;&gt;"LOI"),IF(UPPER($O194)="TC","TC is not organic carbon — ask the lab for OC or IC","CHECK: type must be OC, TC or LOI"),IF($R194="",IF(AND(LOI_INTERCEPT&lt;&gt;"",LOI_SLOPE&lt;&gt;""),"CHECK: LOI below the range of the conversion equation (OC would be &lt; 0)","CHECK: LOI conversion not set (Instructions tab)"),IF(OR($Q194&lt;=0,$Q194&gt;2.65,$R194&gt;50),"CHECK: bulk density outside 0–2.65 g/cm3 or OC &gt; 50%","OK")))))))))))</f>
        <v/>
      </c>
    </row>
    <row r="195" customFormat="false" ht="15.75" hidden="false" customHeight="true" outlineLevel="0" collapsed="false">
      <c r="A195" s="14"/>
      <c r="B195" s="14"/>
      <c r="C195" s="24"/>
      <c r="D195" s="24"/>
      <c r="E195" s="14"/>
      <c r="F195" s="16" t="str">
        <f aca="false">IF(OR($C195="",$D195=""),"",$D195-$C195)</f>
        <v/>
      </c>
      <c r="G195" s="25" t="str">
        <f aca="false">IF($A195="","",IFERROR(INDEX('2. Plot &amp; Core Log'!$M$6:$M$35,MATCH($A195,'2. Plot &amp; Core Log'!$B$6:$B$35,0)),""))</f>
        <v/>
      </c>
      <c r="H195" s="26" t="str">
        <f aca="false">IF($A195="","",IFERROR(INDEX('2. Plot &amp; Core Log'!$S$6:$S$35,MATCH($A195,'2. Plot &amp; Core Log'!$B$6:$B$35,0)),""))</f>
        <v/>
      </c>
      <c r="I195" s="16" t="str">
        <f aca="false">IF(OR($C195="",$G195=""),"",$C195*$G195)</f>
        <v/>
      </c>
      <c r="J195" s="16" t="str">
        <f aca="false">IF(OR($D195="",$G195=""),"",$D195*$G195)</f>
        <v/>
      </c>
      <c r="K195" s="16" t="str">
        <f aca="false">IF(OR($F195="",$H195=""),"",PI()*(($H195/2)^2)*$F195)</f>
        <v/>
      </c>
      <c r="L195" s="27"/>
      <c r="M195" s="27"/>
      <c r="N195" s="27"/>
      <c r="O195" s="27"/>
      <c r="P195" s="16" t="str">
        <f aca="false">IF(OR($L195="",$M195="",$L195=0),"",(($L195-$M195)/$L195)*100)</f>
        <v/>
      </c>
      <c r="Q195" s="15" t="str">
        <f aca="false">IF(OR($M195="",$K195="",$K195=0),"",$M195/$K195)</f>
        <v/>
      </c>
      <c r="R195" s="15" t="str">
        <f aca="false">IF(OR($N195="",$O195=""),"",IF(UPPER($O195)="OC",$N195,IF(UPPER($O195)="LOI",IF(OR(LOI_INTERCEPT="",LOI_SLOPE=""),"",IF(LOI_INTERCEPT+LOI_SLOPE*$N195&lt;0,"",LOI_INTERCEPT+LOI_SLOPE*$N195)),"")))</f>
        <v/>
      </c>
      <c r="S195" s="18" t="str">
        <f aca="false">IF($R195="","",$R195*10)</f>
        <v/>
      </c>
      <c r="T195" s="28" t="str">
        <f aca="false">IF(OR($Q195="",$R195=""),"",$Q195*$R195/100)</f>
        <v/>
      </c>
      <c r="U195" s="29" t="str">
        <f aca="false">IF(OR($T195="",$F195=""),"",$T195*$F195)</f>
        <v/>
      </c>
      <c r="V195" s="15" t="str">
        <f aca="false">IF($U195="","",$U195*10)</f>
        <v/>
      </c>
      <c r="W195" s="15" t="str">
        <f aca="false">IF(OR($V195="",$I195="",$J195="",$J195&lt;=$I195),"",$V195*MAX(0,MIN($J195,15)-MAX($I195,0))/($J195-$I195))</f>
        <v/>
      </c>
      <c r="X195" s="15" t="str">
        <f aca="false">IF(OR($V195="",$I195="",$J195="",$J195&lt;=$I195),"",$V195*MAX(0,MIN($J195,30)-MAX($I195,15))/($J195-$I195))</f>
        <v/>
      </c>
      <c r="Y195" s="15" t="str">
        <f aca="false">IF(OR($V195="",$I195="",$J195="",$J195&lt;=$I195),"",$V195*MAX(0,MIN($J195,50)-MAX($I195,30))/($J195-$I195))</f>
        <v/>
      </c>
      <c r="Z195" s="15" t="str">
        <f aca="false">IF(OR($V195="",$I195="",$J195="",$J195&lt;=$I195),"",$V195*MAX(0,MIN($J195,100)-MAX($I195,50))/($J195-$I195))</f>
        <v/>
      </c>
      <c r="AA195" s="16" t="str">
        <f aca="false">IF($A195="","",IF(OR($C195="",$D195="",$D195&lt;=$C195),"CHECK: depths missing, or bottom not below top",IF(COUNTIFS($A$6:$A$205,$A195,$C$6:$C$205,$C195)&gt;1,"DUPLICATE slice",IF(COUNTIFS($A$6:$A$205,$A195,$C$6:$C$205,"&lt;"&amp;$D195,$D$6:$D$205,"&gt;"&amp;$C195)&gt;1,"OVERLAP with another slice",IF(AND($C195&gt;0,COUNTIFS($A$6:$A$205,$A195,$D$6:$D$205,$C195)=0),"GAP above this slice",IF(OR($G195="",$H195=""),"CHECK: Core ID not in Core Log, or its compaction / diameter missing",IF(AND(IF(COUNTIFS('2. Plot &amp; Core Log'!$B$6:$B$35,$A195,'2. Plot &amp; Core Log'!$L$6:$L$35,"&gt;0")=0,"",SUMIFS('2. Plot &amp; Core Log'!$L$6:$L$35,'2. Plot &amp; Core Log'!$B$6:$B$35,$A195))&lt;&gt;"",$D195&gt;IF(COUNTIFS('2. Plot &amp; Core Log'!$B$6:$B$35,$A195,'2. Plot &amp; Core Log'!$L$6:$L$35,"&gt;0")=0,"",SUMIFS('2. Plot &amp; Core Log'!$L$6:$L$35,'2. Plot &amp; Core Log'!$B$6:$B$35,$A195))),"CHECK: slice deeper than the core length on Sheet 2",IF(OR($M195="",$N195="",$O195=""),"AWAITING LAB (dry weight, carbon value or type)",IF(AND(UPPER($O195)&lt;&gt;"OC",UPPER($O195)&lt;&gt;"LOI"),IF(UPPER($O195)="TC","TC is not organic carbon — ask the lab for OC or IC","CHECK: type must be OC, TC or LOI"),IF($R195="",IF(AND(LOI_INTERCEPT&lt;&gt;"",LOI_SLOPE&lt;&gt;""),"CHECK: LOI below the range of the conversion equation (OC would be &lt; 0)","CHECK: LOI conversion not set (Instructions tab)"),IF(OR($Q195&lt;=0,$Q195&gt;2.65,$R195&gt;50),"CHECK: bulk density outside 0–2.65 g/cm3 or OC &gt; 50%","OK")))))))))))</f>
        <v/>
      </c>
    </row>
    <row r="196" customFormat="false" ht="15.75" hidden="false" customHeight="true" outlineLevel="0" collapsed="false">
      <c r="A196" s="14"/>
      <c r="B196" s="14"/>
      <c r="C196" s="24"/>
      <c r="D196" s="24"/>
      <c r="E196" s="14"/>
      <c r="F196" s="16" t="str">
        <f aca="false">IF(OR($C196="",$D196=""),"",$D196-$C196)</f>
        <v/>
      </c>
      <c r="G196" s="25" t="str">
        <f aca="false">IF($A196="","",IFERROR(INDEX('2. Plot &amp; Core Log'!$M$6:$M$35,MATCH($A196,'2. Plot &amp; Core Log'!$B$6:$B$35,0)),""))</f>
        <v/>
      </c>
      <c r="H196" s="26" t="str">
        <f aca="false">IF($A196="","",IFERROR(INDEX('2. Plot &amp; Core Log'!$S$6:$S$35,MATCH($A196,'2. Plot &amp; Core Log'!$B$6:$B$35,0)),""))</f>
        <v/>
      </c>
      <c r="I196" s="16" t="str">
        <f aca="false">IF(OR($C196="",$G196=""),"",$C196*$G196)</f>
        <v/>
      </c>
      <c r="J196" s="16" t="str">
        <f aca="false">IF(OR($D196="",$G196=""),"",$D196*$G196)</f>
        <v/>
      </c>
      <c r="K196" s="16" t="str">
        <f aca="false">IF(OR($F196="",$H196=""),"",PI()*(($H196/2)^2)*$F196)</f>
        <v/>
      </c>
      <c r="L196" s="27"/>
      <c r="M196" s="27"/>
      <c r="N196" s="27"/>
      <c r="O196" s="27"/>
      <c r="P196" s="16" t="str">
        <f aca="false">IF(OR($L196="",$M196="",$L196=0),"",(($L196-$M196)/$L196)*100)</f>
        <v/>
      </c>
      <c r="Q196" s="15" t="str">
        <f aca="false">IF(OR($M196="",$K196="",$K196=0),"",$M196/$K196)</f>
        <v/>
      </c>
      <c r="R196" s="15" t="str">
        <f aca="false">IF(OR($N196="",$O196=""),"",IF(UPPER($O196)="OC",$N196,IF(UPPER($O196)="LOI",IF(OR(LOI_INTERCEPT="",LOI_SLOPE=""),"",IF(LOI_INTERCEPT+LOI_SLOPE*$N196&lt;0,"",LOI_INTERCEPT+LOI_SLOPE*$N196)),"")))</f>
        <v/>
      </c>
      <c r="S196" s="18" t="str">
        <f aca="false">IF($R196="","",$R196*10)</f>
        <v/>
      </c>
      <c r="T196" s="28" t="str">
        <f aca="false">IF(OR($Q196="",$R196=""),"",$Q196*$R196/100)</f>
        <v/>
      </c>
      <c r="U196" s="29" t="str">
        <f aca="false">IF(OR($T196="",$F196=""),"",$T196*$F196)</f>
        <v/>
      </c>
      <c r="V196" s="15" t="str">
        <f aca="false">IF($U196="","",$U196*10)</f>
        <v/>
      </c>
      <c r="W196" s="15" t="str">
        <f aca="false">IF(OR($V196="",$I196="",$J196="",$J196&lt;=$I196),"",$V196*MAX(0,MIN($J196,15)-MAX($I196,0))/($J196-$I196))</f>
        <v/>
      </c>
      <c r="X196" s="15" t="str">
        <f aca="false">IF(OR($V196="",$I196="",$J196="",$J196&lt;=$I196),"",$V196*MAX(0,MIN($J196,30)-MAX($I196,15))/($J196-$I196))</f>
        <v/>
      </c>
      <c r="Y196" s="15" t="str">
        <f aca="false">IF(OR($V196="",$I196="",$J196="",$J196&lt;=$I196),"",$V196*MAX(0,MIN($J196,50)-MAX($I196,30))/($J196-$I196))</f>
        <v/>
      </c>
      <c r="Z196" s="15" t="str">
        <f aca="false">IF(OR($V196="",$I196="",$J196="",$J196&lt;=$I196),"",$V196*MAX(0,MIN($J196,100)-MAX($I196,50))/($J196-$I196))</f>
        <v/>
      </c>
      <c r="AA196" s="16" t="str">
        <f aca="false">IF($A196="","",IF(OR($C196="",$D196="",$D196&lt;=$C196),"CHECK: depths missing, or bottom not below top",IF(COUNTIFS($A$6:$A$205,$A196,$C$6:$C$205,$C196)&gt;1,"DUPLICATE slice",IF(COUNTIFS($A$6:$A$205,$A196,$C$6:$C$205,"&lt;"&amp;$D196,$D$6:$D$205,"&gt;"&amp;$C196)&gt;1,"OVERLAP with another slice",IF(AND($C196&gt;0,COUNTIFS($A$6:$A$205,$A196,$D$6:$D$205,$C196)=0),"GAP above this slice",IF(OR($G196="",$H196=""),"CHECK: Core ID not in Core Log, or its compaction / diameter missing",IF(AND(IF(COUNTIFS('2. Plot &amp; Core Log'!$B$6:$B$35,$A196,'2. Plot &amp; Core Log'!$L$6:$L$35,"&gt;0")=0,"",SUMIFS('2. Plot &amp; Core Log'!$L$6:$L$35,'2. Plot &amp; Core Log'!$B$6:$B$35,$A196))&lt;&gt;"",$D196&gt;IF(COUNTIFS('2. Plot &amp; Core Log'!$B$6:$B$35,$A196,'2. Plot &amp; Core Log'!$L$6:$L$35,"&gt;0")=0,"",SUMIFS('2. Plot &amp; Core Log'!$L$6:$L$35,'2. Plot &amp; Core Log'!$B$6:$B$35,$A196))),"CHECK: slice deeper than the core length on Sheet 2",IF(OR($M196="",$N196="",$O196=""),"AWAITING LAB (dry weight, carbon value or type)",IF(AND(UPPER($O196)&lt;&gt;"OC",UPPER($O196)&lt;&gt;"LOI"),IF(UPPER($O196)="TC","TC is not organic carbon — ask the lab for OC or IC","CHECK: type must be OC, TC or LOI"),IF($R196="",IF(AND(LOI_INTERCEPT&lt;&gt;"",LOI_SLOPE&lt;&gt;""),"CHECK: LOI below the range of the conversion equation (OC would be &lt; 0)","CHECK: LOI conversion not set (Instructions tab)"),IF(OR($Q196&lt;=0,$Q196&gt;2.65,$R196&gt;50),"CHECK: bulk density outside 0–2.65 g/cm3 or OC &gt; 50%","OK")))))))))))</f>
        <v/>
      </c>
    </row>
    <row r="197" customFormat="false" ht="15.75" hidden="false" customHeight="true" outlineLevel="0" collapsed="false">
      <c r="A197" s="14"/>
      <c r="B197" s="14"/>
      <c r="C197" s="24"/>
      <c r="D197" s="24"/>
      <c r="E197" s="14"/>
      <c r="F197" s="16" t="str">
        <f aca="false">IF(OR($C197="",$D197=""),"",$D197-$C197)</f>
        <v/>
      </c>
      <c r="G197" s="25" t="str">
        <f aca="false">IF($A197="","",IFERROR(INDEX('2. Plot &amp; Core Log'!$M$6:$M$35,MATCH($A197,'2. Plot &amp; Core Log'!$B$6:$B$35,0)),""))</f>
        <v/>
      </c>
      <c r="H197" s="26" t="str">
        <f aca="false">IF($A197="","",IFERROR(INDEX('2. Plot &amp; Core Log'!$S$6:$S$35,MATCH($A197,'2. Plot &amp; Core Log'!$B$6:$B$35,0)),""))</f>
        <v/>
      </c>
      <c r="I197" s="16" t="str">
        <f aca="false">IF(OR($C197="",$G197=""),"",$C197*$G197)</f>
        <v/>
      </c>
      <c r="J197" s="16" t="str">
        <f aca="false">IF(OR($D197="",$G197=""),"",$D197*$G197)</f>
        <v/>
      </c>
      <c r="K197" s="16" t="str">
        <f aca="false">IF(OR($F197="",$H197=""),"",PI()*(($H197/2)^2)*$F197)</f>
        <v/>
      </c>
      <c r="L197" s="27"/>
      <c r="M197" s="27"/>
      <c r="N197" s="27"/>
      <c r="O197" s="27"/>
      <c r="P197" s="16" t="str">
        <f aca="false">IF(OR($L197="",$M197="",$L197=0),"",(($L197-$M197)/$L197)*100)</f>
        <v/>
      </c>
      <c r="Q197" s="15" t="str">
        <f aca="false">IF(OR($M197="",$K197="",$K197=0),"",$M197/$K197)</f>
        <v/>
      </c>
      <c r="R197" s="15" t="str">
        <f aca="false">IF(OR($N197="",$O197=""),"",IF(UPPER($O197)="OC",$N197,IF(UPPER($O197)="LOI",IF(OR(LOI_INTERCEPT="",LOI_SLOPE=""),"",IF(LOI_INTERCEPT+LOI_SLOPE*$N197&lt;0,"",LOI_INTERCEPT+LOI_SLOPE*$N197)),"")))</f>
        <v/>
      </c>
      <c r="S197" s="18" t="str">
        <f aca="false">IF($R197="","",$R197*10)</f>
        <v/>
      </c>
      <c r="T197" s="28" t="str">
        <f aca="false">IF(OR($Q197="",$R197=""),"",$Q197*$R197/100)</f>
        <v/>
      </c>
      <c r="U197" s="29" t="str">
        <f aca="false">IF(OR($T197="",$F197=""),"",$T197*$F197)</f>
        <v/>
      </c>
      <c r="V197" s="15" t="str">
        <f aca="false">IF($U197="","",$U197*10)</f>
        <v/>
      </c>
      <c r="W197" s="15" t="str">
        <f aca="false">IF(OR($V197="",$I197="",$J197="",$J197&lt;=$I197),"",$V197*MAX(0,MIN($J197,15)-MAX($I197,0))/($J197-$I197))</f>
        <v/>
      </c>
      <c r="X197" s="15" t="str">
        <f aca="false">IF(OR($V197="",$I197="",$J197="",$J197&lt;=$I197),"",$V197*MAX(0,MIN($J197,30)-MAX($I197,15))/($J197-$I197))</f>
        <v/>
      </c>
      <c r="Y197" s="15" t="str">
        <f aca="false">IF(OR($V197="",$I197="",$J197="",$J197&lt;=$I197),"",$V197*MAX(0,MIN($J197,50)-MAX($I197,30))/($J197-$I197))</f>
        <v/>
      </c>
      <c r="Z197" s="15" t="str">
        <f aca="false">IF(OR($V197="",$I197="",$J197="",$J197&lt;=$I197),"",$V197*MAX(0,MIN($J197,100)-MAX($I197,50))/($J197-$I197))</f>
        <v/>
      </c>
      <c r="AA197" s="16" t="str">
        <f aca="false">IF($A197="","",IF(OR($C197="",$D197="",$D197&lt;=$C197),"CHECK: depths missing, or bottom not below top",IF(COUNTIFS($A$6:$A$205,$A197,$C$6:$C$205,$C197)&gt;1,"DUPLICATE slice",IF(COUNTIFS($A$6:$A$205,$A197,$C$6:$C$205,"&lt;"&amp;$D197,$D$6:$D$205,"&gt;"&amp;$C197)&gt;1,"OVERLAP with another slice",IF(AND($C197&gt;0,COUNTIFS($A$6:$A$205,$A197,$D$6:$D$205,$C197)=0),"GAP above this slice",IF(OR($G197="",$H197=""),"CHECK: Core ID not in Core Log, or its compaction / diameter missing",IF(AND(IF(COUNTIFS('2. Plot &amp; Core Log'!$B$6:$B$35,$A197,'2. Plot &amp; Core Log'!$L$6:$L$35,"&gt;0")=0,"",SUMIFS('2. Plot &amp; Core Log'!$L$6:$L$35,'2. Plot &amp; Core Log'!$B$6:$B$35,$A197))&lt;&gt;"",$D197&gt;IF(COUNTIFS('2. Plot &amp; Core Log'!$B$6:$B$35,$A197,'2. Plot &amp; Core Log'!$L$6:$L$35,"&gt;0")=0,"",SUMIFS('2. Plot &amp; Core Log'!$L$6:$L$35,'2. Plot &amp; Core Log'!$B$6:$B$35,$A197))),"CHECK: slice deeper than the core length on Sheet 2",IF(OR($M197="",$N197="",$O197=""),"AWAITING LAB (dry weight, carbon value or type)",IF(AND(UPPER($O197)&lt;&gt;"OC",UPPER($O197)&lt;&gt;"LOI"),IF(UPPER($O197)="TC","TC is not organic carbon — ask the lab for OC or IC","CHECK: type must be OC, TC or LOI"),IF($R197="",IF(AND(LOI_INTERCEPT&lt;&gt;"",LOI_SLOPE&lt;&gt;""),"CHECK: LOI below the range of the conversion equation (OC would be &lt; 0)","CHECK: LOI conversion not set (Instructions tab)"),IF(OR($Q197&lt;=0,$Q197&gt;2.65,$R197&gt;50),"CHECK: bulk density outside 0–2.65 g/cm3 or OC &gt; 50%","OK")))))))))))</f>
        <v/>
      </c>
    </row>
    <row r="198" customFormat="false" ht="15.75" hidden="false" customHeight="true" outlineLevel="0" collapsed="false">
      <c r="A198" s="14"/>
      <c r="B198" s="14"/>
      <c r="C198" s="24"/>
      <c r="D198" s="24"/>
      <c r="E198" s="14"/>
      <c r="F198" s="16" t="str">
        <f aca="false">IF(OR($C198="",$D198=""),"",$D198-$C198)</f>
        <v/>
      </c>
      <c r="G198" s="25" t="str">
        <f aca="false">IF($A198="","",IFERROR(INDEX('2. Plot &amp; Core Log'!$M$6:$M$35,MATCH($A198,'2. Plot &amp; Core Log'!$B$6:$B$35,0)),""))</f>
        <v/>
      </c>
      <c r="H198" s="26" t="str">
        <f aca="false">IF($A198="","",IFERROR(INDEX('2. Plot &amp; Core Log'!$S$6:$S$35,MATCH($A198,'2. Plot &amp; Core Log'!$B$6:$B$35,0)),""))</f>
        <v/>
      </c>
      <c r="I198" s="16" t="str">
        <f aca="false">IF(OR($C198="",$G198=""),"",$C198*$G198)</f>
        <v/>
      </c>
      <c r="J198" s="16" t="str">
        <f aca="false">IF(OR($D198="",$G198=""),"",$D198*$G198)</f>
        <v/>
      </c>
      <c r="K198" s="16" t="str">
        <f aca="false">IF(OR($F198="",$H198=""),"",PI()*(($H198/2)^2)*$F198)</f>
        <v/>
      </c>
      <c r="L198" s="27"/>
      <c r="M198" s="27"/>
      <c r="N198" s="27"/>
      <c r="O198" s="27"/>
      <c r="P198" s="16" t="str">
        <f aca="false">IF(OR($L198="",$M198="",$L198=0),"",(($L198-$M198)/$L198)*100)</f>
        <v/>
      </c>
      <c r="Q198" s="15" t="str">
        <f aca="false">IF(OR($M198="",$K198="",$K198=0),"",$M198/$K198)</f>
        <v/>
      </c>
      <c r="R198" s="15" t="str">
        <f aca="false">IF(OR($N198="",$O198=""),"",IF(UPPER($O198)="OC",$N198,IF(UPPER($O198)="LOI",IF(OR(LOI_INTERCEPT="",LOI_SLOPE=""),"",IF(LOI_INTERCEPT+LOI_SLOPE*$N198&lt;0,"",LOI_INTERCEPT+LOI_SLOPE*$N198)),"")))</f>
        <v/>
      </c>
      <c r="S198" s="18" t="str">
        <f aca="false">IF($R198="","",$R198*10)</f>
        <v/>
      </c>
      <c r="T198" s="28" t="str">
        <f aca="false">IF(OR($Q198="",$R198=""),"",$Q198*$R198/100)</f>
        <v/>
      </c>
      <c r="U198" s="29" t="str">
        <f aca="false">IF(OR($T198="",$F198=""),"",$T198*$F198)</f>
        <v/>
      </c>
      <c r="V198" s="15" t="str">
        <f aca="false">IF($U198="","",$U198*10)</f>
        <v/>
      </c>
      <c r="W198" s="15" t="str">
        <f aca="false">IF(OR($V198="",$I198="",$J198="",$J198&lt;=$I198),"",$V198*MAX(0,MIN($J198,15)-MAX($I198,0))/($J198-$I198))</f>
        <v/>
      </c>
      <c r="X198" s="15" t="str">
        <f aca="false">IF(OR($V198="",$I198="",$J198="",$J198&lt;=$I198),"",$V198*MAX(0,MIN($J198,30)-MAX($I198,15))/($J198-$I198))</f>
        <v/>
      </c>
      <c r="Y198" s="15" t="str">
        <f aca="false">IF(OR($V198="",$I198="",$J198="",$J198&lt;=$I198),"",$V198*MAX(0,MIN($J198,50)-MAX($I198,30))/($J198-$I198))</f>
        <v/>
      </c>
      <c r="Z198" s="15" t="str">
        <f aca="false">IF(OR($V198="",$I198="",$J198="",$J198&lt;=$I198),"",$V198*MAX(0,MIN($J198,100)-MAX($I198,50))/($J198-$I198))</f>
        <v/>
      </c>
      <c r="AA198" s="16" t="str">
        <f aca="false">IF($A198="","",IF(OR($C198="",$D198="",$D198&lt;=$C198),"CHECK: depths missing, or bottom not below top",IF(COUNTIFS($A$6:$A$205,$A198,$C$6:$C$205,$C198)&gt;1,"DUPLICATE slice",IF(COUNTIFS($A$6:$A$205,$A198,$C$6:$C$205,"&lt;"&amp;$D198,$D$6:$D$205,"&gt;"&amp;$C198)&gt;1,"OVERLAP with another slice",IF(AND($C198&gt;0,COUNTIFS($A$6:$A$205,$A198,$D$6:$D$205,$C198)=0),"GAP above this slice",IF(OR($G198="",$H198=""),"CHECK: Core ID not in Core Log, or its compaction / diameter missing",IF(AND(IF(COUNTIFS('2. Plot &amp; Core Log'!$B$6:$B$35,$A198,'2. Plot &amp; Core Log'!$L$6:$L$35,"&gt;0")=0,"",SUMIFS('2. Plot &amp; Core Log'!$L$6:$L$35,'2. Plot &amp; Core Log'!$B$6:$B$35,$A198))&lt;&gt;"",$D198&gt;IF(COUNTIFS('2. Plot &amp; Core Log'!$B$6:$B$35,$A198,'2. Plot &amp; Core Log'!$L$6:$L$35,"&gt;0")=0,"",SUMIFS('2. Plot &amp; Core Log'!$L$6:$L$35,'2. Plot &amp; Core Log'!$B$6:$B$35,$A198))),"CHECK: slice deeper than the core length on Sheet 2",IF(OR($M198="",$N198="",$O198=""),"AWAITING LAB (dry weight, carbon value or type)",IF(AND(UPPER($O198)&lt;&gt;"OC",UPPER($O198)&lt;&gt;"LOI"),IF(UPPER($O198)="TC","TC is not organic carbon — ask the lab for OC or IC","CHECK: type must be OC, TC or LOI"),IF($R198="",IF(AND(LOI_INTERCEPT&lt;&gt;"",LOI_SLOPE&lt;&gt;""),"CHECK: LOI below the range of the conversion equation (OC would be &lt; 0)","CHECK: LOI conversion not set (Instructions tab)"),IF(OR($Q198&lt;=0,$Q198&gt;2.65,$R198&gt;50),"CHECK: bulk density outside 0–2.65 g/cm3 or OC &gt; 50%","OK")))))))))))</f>
        <v/>
      </c>
    </row>
    <row r="199" customFormat="false" ht="15.75" hidden="false" customHeight="true" outlineLevel="0" collapsed="false">
      <c r="A199" s="14"/>
      <c r="B199" s="14"/>
      <c r="C199" s="24"/>
      <c r="D199" s="24"/>
      <c r="E199" s="14"/>
      <c r="F199" s="16" t="str">
        <f aca="false">IF(OR($C199="",$D199=""),"",$D199-$C199)</f>
        <v/>
      </c>
      <c r="G199" s="25" t="str">
        <f aca="false">IF($A199="","",IFERROR(INDEX('2. Plot &amp; Core Log'!$M$6:$M$35,MATCH($A199,'2. Plot &amp; Core Log'!$B$6:$B$35,0)),""))</f>
        <v/>
      </c>
      <c r="H199" s="26" t="str">
        <f aca="false">IF($A199="","",IFERROR(INDEX('2. Plot &amp; Core Log'!$S$6:$S$35,MATCH($A199,'2. Plot &amp; Core Log'!$B$6:$B$35,0)),""))</f>
        <v/>
      </c>
      <c r="I199" s="16" t="str">
        <f aca="false">IF(OR($C199="",$G199=""),"",$C199*$G199)</f>
        <v/>
      </c>
      <c r="J199" s="16" t="str">
        <f aca="false">IF(OR($D199="",$G199=""),"",$D199*$G199)</f>
        <v/>
      </c>
      <c r="K199" s="16" t="str">
        <f aca="false">IF(OR($F199="",$H199=""),"",PI()*(($H199/2)^2)*$F199)</f>
        <v/>
      </c>
      <c r="L199" s="27"/>
      <c r="M199" s="27"/>
      <c r="N199" s="27"/>
      <c r="O199" s="27"/>
      <c r="P199" s="16" t="str">
        <f aca="false">IF(OR($L199="",$M199="",$L199=0),"",(($L199-$M199)/$L199)*100)</f>
        <v/>
      </c>
      <c r="Q199" s="15" t="str">
        <f aca="false">IF(OR($M199="",$K199="",$K199=0),"",$M199/$K199)</f>
        <v/>
      </c>
      <c r="R199" s="15" t="str">
        <f aca="false">IF(OR($N199="",$O199=""),"",IF(UPPER($O199)="OC",$N199,IF(UPPER($O199)="LOI",IF(OR(LOI_INTERCEPT="",LOI_SLOPE=""),"",IF(LOI_INTERCEPT+LOI_SLOPE*$N199&lt;0,"",LOI_INTERCEPT+LOI_SLOPE*$N199)),"")))</f>
        <v/>
      </c>
      <c r="S199" s="18" t="str">
        <f aca="false">IF($R199="","",$R199*10)</f>
        <v/>
      </c>
      <c r="T199" s="28" t="str">
        <f aca="false">IF(OR($Q199="",$R199=""),"",$Q199*$R199/100)</f>
        <v/>
      </c>
      <c r="U199" s="29" t="str">
        <f aca="false">IF(OR($T199="",$F199=""),"",$T199*$F199)</f>
        <v/>
      </c>
      <c r="V199" s="15" t="str">
        <f aca="false">IF($U199="","",$U199*10)</f>
        <v/>
      </c>
      <c r="W199" s="15" t="str">
        <f aca="false">IF(OR($V199="",$I199="",$J199="",$J199&lt;=$I199),"",$V199*MAX(0,MIN($J199,15)-MAX($I199,0))/($J199-$I199))</f>
        <v/>
      </c>
      <c r="X199" s="15" t="str">
        <f aca="false">IF(OR($V199="",$I199="",$J199="",$J199&lt;=$I199),"",$V199*MAX(0,MIN($J199,30)-MAX($I199,15))/($J199-$I199))</f>
        <v/>
      </c>
      <c r="Y199" s="15" t="str">
        <f aca="false">IF(OR($V199="",$I199="",$J199="",$J199&lt;=$I199),"",$V199*MAX(0,MIN($J199,50)-MAX($I199,30))/($J199-$I199))</f>
        <v/>
      </c>
      <c r="Z199" s="15" t="str">
        <f aca="false">IF(OR($V199="",$I199="",$J199="",$J199&lt;=$I199),"",$V199*MAX(0,MIN($J199,100)-MAX($I199,50))/($J199-$I199))</f>
        <v/>
      </c>
      <c r="AA199" s="16" t="str">
        <f aca="false">IF($A199="","",IF(OR($C199="",$D199="",$D199&lt;=$C199),"CHECK: depths missing, or bottom not below top",IF(COUNTIFS($A$6:$A$205,$A199,$C$6:$C$205,$C199)&gt;1,"DUPLICATE slice",IF(COUNTIFS($A$6:$A$205,$A199,$C$6:$C$205,"&lt;"&amp;$D199,$D$6:$D$205,"&gt;"&amp;$C199)&gt;1,"OVERLAP with another slice",IF(AND($C199&gt;0,COUNTIFS($A$6:$A$205,$A199,$D$6:$D$205,$C199)=0),"GAP above this slice",IF(OR($G199="",$H199=""),"CHECK: Core ID not in Core Log, or its compaction / diameter missing",IF(AND(IF(COUNTIFS('2. Plot &amp; Core Log'!$B$6:$B$35,$A199,'2. Plot &amp; Core Log'!$L$6:$L$35,"&gt;0")=0,"",SUMIFS('2. Plot &amp; Core Log'!$L$6:$L$35,'2. Plot &amp; Core Log'!$B$6:$B$35,$A199))&lt;&gt;"",$D199&gt;IF(COUNTIFS('2. Plot &amp; Core Log'!$B$6:$B$35,$A199,'2. Plot &amp; Core Log'!$L$6:$L$35,"&gt;0")=0,"",SUMIFS('2. Plot &amp; Core Log'!$L$6:$L$35,'2. Plot &amp; Core Log'!$B$6:$B$35,$A199))),"CHECK: slice deeper than the core length on Sheet 2",IF(OR($M199="",$N199="",$O199=""),"AWAITING LAB (dry weight, carbon value or type)",IF(AND(UPPER($O199)&lt;&gt;"OC",UPPER($O199)&lt;&gt;"LOI"),IF(UPPER($O199)="TC","TC is not organic carbon — ask the lab for OC or IC","CHECK: type must be OC, TC or LOI"),IF($R199="",IF(AND(LOI_INTERCEPT&lt;&gt;"",LOI_SLOPE&lt;&gt;""),"CHECK: LOI below the range of the conversion equation (OC would be &lt; 0)","CHECK: LOI conversion not set (Instructions tab)"),IF(OR($Q199&lt;=0,$Q199&gt;2.65,$R199&gt;50),"CHECK: bulk density outside 0–2.65 g/cm3 or OC &gt; 50%","OK")))))))))))</f>
        <v/>
      </c>
    </row>
    <row r="200" customFormat="false" ht="15.75" hidden="false" customHeight="true" outlineLevel="0" collapsed="false">
      <c r="A200" s="14"/>
      <c r="B200" s="14"/>
      <c r="C200" s="24"/>
      <c r="D200" s="24"/>
      <c r="E200" s="14"/>
      <c r="F200" s="16" t="str">
        <f aca="false">IF(OR($C200="",$D200=""),"",$D200-$C200)</f>
        <v/>
      </c>
      <c r="G200" s="25" t="str">
        <f aca="false">IF($A200="","",IFERROR(INDEX('2. Plot &amp; Core Log'!$M$6:$M$35,MATCH($A200,'2. Plot &amp; Core Log'!$B$6:$B$35,0)),""))</f>
        <v/>
      </c>
      <c r="H200" s="26" t="str">
        <f aca="false">IF($A200="","",IFERROR(INDEX('2. Plot &amp; Core Log'!$S$6:$S$35,MATCH($A200,'2. Plot &amp; Core Log'!$B$6:$B$35,0)),""))</f>
        <v/>
      </c>
      <c r="I200" s="16" t="str">
        <f aca="false">IF(OR($C200="",$G200=""),"",$C200*$G200)</f>
        <v/>
      </c>
      <c r="J200" s="16" t="str">
        <f aca="false">IF(OR($D200="",$G200=""),"",$D200*$G200)</f>
        <v/>
      </c>
      <c r="K200" s="16" t="str">
        <f aca="false">IF(OR($F200="",$H200=""),"",PI()*(($H200/2)^2)*$F200)</f>
        <v/>
      </c>
      <c r="L200" s="27"/>
      <c r="M200" s="27"/>
      <c r="N200" s="27"/>
      <c r="O200" s="27"/>
      <c r="P200" s="16" t="str">
        <f aca="false">IF(OR($L200="",$M200="",$L200=0),"",(($L200-$M200)/$L200)*100)</f>
        <v/>
      </c>
      <c r="Q200" s="15" t="str">
        <f aca="false">IF(OR($M200="",$K200="",$K200=0),"",$M200/$K200)</f>
        <v/>
      </c>
      <c r="R200" s="15" t="str">
        <f aca="false">IF(OR($N200="",$O200=""),"",IF(UPPER($O200)="OC",$N200,IF(UPPER($O200)="LOI",IF(OR(LOI_INTERCEPT="",LOI_SLOPE=""),"",IF(LOI_INTERCEPT+LOI_SLOPE*$N200&lt;0,"",LOI_INTERCEPT+LOI_SLOPE*$N200)),"")))</f>
        <v/>
      </c>
      <c r="S200" s="18" t="str">
        <f aca="false">IF($R200="","",$R200*10)</f>
        <v/>
      </c>
      <c r="T200" s="28" t="str">
        <f aca="false">IF(OR($Q200="",$R200=""),"",$Q200*$R200/100)</f>
        <v/>
      </c>
      <c r="U200" s="29" t="str">
        <f aca="false">IF(OR($T200="",$F200=""),"",$T200*$F200)</f>
        <v/>
      </c>
      <c r="V200" s="15" t="str">
        <f aca="false">IF($U200="","",$U200*10)</f>
        <v/>
      </c>
      <c r="W200" s="15" t="str">
        <f aca="false">IF(OR($V200="",$I200="",$J200="",$J200&lt;=$I200),"",$V200*MAX(0,MIN($J200,15)-MAX($I200,0))/($J200-$I200))</f>
        <v/>
      </c>
      <c r="X200" s="15" t="str">
        <f aca="false">IF(OR($V200="",$I200="",$J200="",$J200&lt;=$I200),"",$V200*MAX(0,MIN($J200,30)-MAX($I200,15))/($J200-$I200))</f>
        <v/>
      </c>
      <c r="Y200" s="15" t="str">
        <f aca="false">IF(OR($V200="",$I200="",$J200="",$J200&lt;=$I200),"",$V200*MAX(0,MIN($J200,50)-MAX($I200,30))/($J200-$I200))</f>
        <v/>
      </c>
      <c r="Z200" s="15" t="str">
        <f aca="false">IF(OR($V200="",$I200="",$J200="",$J200&lt;=$I200),"",$V200*MAX(0,MIN($J200,100)-MAX($I200,50))/($J200-$I200))</f>
        <v/>
      </c>
      <c r="AA200" s="16" t="str">
        <f aca="false">IF($A200="","",IF(OR($C200="",$D200="",$D200&lt;=$C200),"CHECK: depths missing, or bottom not below top",IF(COUNTIFS($A$6:$A$205,$A200,$C$6:$C$205,$C200)&gt;1,"DUPLICATE slice",IF(COUNTIFS($A$6:$A$205,$A200,$C$6:$C$205,"&lt;"&amp;$D200,$D$6:$D$205,"&gt;"&amp;$C200)&gt;1,"OVERLAP with another slice",IF(AND($C200&gt;0,COUNTIFS($A$6:$A$205,$A200,$D$6:$D$205,$C200)=0),"GAP above this slice",IF(OR($G200="",$H200=""),"CHECK: Core ID not in Core Log, or its compaction / diameter missing",IF(AND(IF(COUNTIFS('2. Plot &amp; Core Log'!$B$6:$B$35,$A200,'2. Plot &amp; Core Log'!$L$6:$L$35,"&gt;0")=0,"",SUMIFS('2. Plot &amp; Core Log'!$L$6:$L$35,'2. Plot &amp; Core Log'!$B$6:$B$35,$A200))&lt;&gt;"",$D200&gt;IF(COUNTIFS('2. Plot &amp; Core Log'!$B$6:$B$35,$A200,'2. Plot &amp; Core Log'!$L$6:$L$35,"&gt;0")=0,"",SUMIFS('2. Plot &amp; Core Log'!$L$6:$L$35,'2. Plot &amp; Core Log'!$B$6:$B$35,$A200))),"CHECK: slice deeper than the core length on Sheet 2",IF(OR($M200="",$N200="",$O200=""),"AWAITING LAB (dry weight, carbon value or type)",IF(AND(UPPER($O200)&lt;&gt;"OC",UPPER($O200)&lt;&gt;"LOI"),IF(UPPER($O200)="TC","TC is not organic carbon — ask the lab for OC or IC","CHECK: type must be OC, TC or LOI"),IF($R200="",IF(AND(LOI_INTERCEPT&lt;&gt;"",LOI_SLOPE&lt;&gt;""),"CHECK: LOI below the range of the conversion equation (OC would be &lt; 0)","CHECK: LOI conversion not set (Instructions tab)"),IF(OR($Q200&lt;=0,$Q200&gt;2.65,$R200&gt;50),"CHECK: bulk density outside 0–2.65 g/cm3 or OC &gt; 50%","OK")))))))))))</f>
        <v/>
      </c>
    </row>
    <row r="201" customFormat="false" ht="15.75" hidden="false" customHeight="true" outlineLevel="0" collapsed="false">
      <c r="A201" s="14"/>
      <c r="B201" s="14"/>
      <c r="C201" s="24"/>
      <c r="D201" s="24"/>
      <c r="E201" s="14"/>
      <c r="F201" s="16" t="str">
        <f aca="false">IF(OR($C201="",$D201=""),"",$D201-$C201)</f>
        <v/>
      </c>
      <c r="G201" s="25" t="str">
        <f aca="false">IF($A201="","",IFERROR(INDEX('2. Plot &amp; Core Log'!$M$6:$M$35,MATCH($A201,'2. Plot &amp; Core Log'!$B$6:$B$35,0)),""))</f>
        <v/>
      </c>
      <c r="H201" s="26" t="str">
        <f aca="false">IF($A201="","",IFERROR(INDEX('2. Plot &amp; Core Log'!$S$6:$S$35,MATCH($A201,'2. Plot &amp; Core Log'!$B$6:$B$35,0)),""))</f>
        <v/>
      </c>
      <c r="I201" s="16" t="str">
        <f aca="false">IF(OR($C201="",$G201=""),"",$C201*$G201)</f>
        <v/>
      </c>
      <c r="J201" s="16" t="str">
        <f aca="false">IF(OR($D201="",$G201=""),"",$D201*$G201)</f>
        <v/>
      </c>
      <c r="K201" s="16" t="str">
        <f aca="false">IF(OR($F201="",$H201=""),"",PI()*(($H201/2)^2)*$F201)</f>
        <v/>
      </c>
      <c r="L201" s="27"/>
      <c r="M201" s="27"/>
      <c r="N201" s="27"/>
      <c r="O201" s="27"/>
      <c r="P201" s="16" t="str">
        <f aca="false">IF(OR($L201="",$M201="",$L201=0),"",(($L201-$M201)/$L201)*100)</f>
        <v/>
      </c>
      <c r="Q201" s="15" t="str">
        <f aca="false">IF(OR($M201="",$K201="",$K201=0),"",$M201/$K201)</f>
        <v/>
      </c>
      <c r="R201" s="15" t="str">
        <f aca="false">IF(OR($N201="",$O201=""),"",IF(UPPER($O201)="OC",$N201,IF(UPPER($O201)="LOI",IF(OR(LOI_INTERCEPT="",LOI_SLOPE=""),"",IF(LOI_INTERCEPT+LOI_SLOPE*$N201&lt;0,"",LOI_INTERCEPT+LOI_SLOPE*$N201)),"")))</f>
        <v/>
      </c>
      <c r="S201" s="18" t="str">
        <f aca="false">IF($R201="","",$R201*10)</f>
        <v/>
      </c>
      <c r="T201" s="28" t="str">
        <f aca="false">IF(OR($Q201="",$R201=""),"",$Q201*$R201/100)</f>
        <v/>
      </c>
      <c r="U201" s="29" t="str">
        <f aca="false">IF(OR($T201="",$F201=""),"",$T201*$F201)</f>
        <v/>
      </c>
      <c r="V201" s="15" t="str">
        <f aca="false">IF($U201="","",$U201*10)</f>
        <v/>
      </c>
      <c r="W201" s="15" t="str">
        <f aca="false">IF(OR($V201="",$I201="",$J201="",$J201&lt;=$I201),"",$V201*MAX(0,MIN($J201,15)-MAX($I201,0))/($J201-$I201))</f>
        <v/>
      </c>
      <c r="X201" s="15" t="str">
        <f aca="false">IF(OR($V201="",$I201="",$J201="",$J201&lt;=$I201),"",$V201*MAX(0,MIN($J201,30)-MAX($I201,15))/($J201-$I201))</f>
        <v/>
      </c>
      <c r="Y201" s="15" t="str">
        <f aca="false">IF(OR($V201="",$I201="",$J201="",$J201&lt;=$I201),"",$V201*MAX(0,MIN($J201,50)-MAX($I201,30))/($J201-$I201))</f>
        <v/>
      </c>
      <c r="Z201" s="15" t="str">
        <f aca="false">IF(OR($V201="",$I201="",$J201="",$J201&lt;=$I201),"",$V201*MAX(0,MIN($J201,100)-MAX($I201,50))/($J201-$I201))</f>
        <v/>
      </c>
      <c r="AA201" s="16" t="str">
        <f aca="false">IF($A201="","",IF(OR($C201="",$D201="",$D201&lt;=$C201),"CHECK: depths missing, or bottom not below top",IF(COUNTIFS($A$6:$A$205,$A201,$C$6:$C$205,$C201)&gt;1,"DUPLICATE slice",IF(COUNTIFS($A$6:$A$205,$A201,$C$6:$C$205,"&lt;"&amp;$D201,$D$6:$D$205,"&gt;"&amp;$C201)&gt;1,"OVERLAP with another slice",IF(AND($C201&gt;0,COUNTIFS($A$6:$A$205,$A201,$D$6:$D$205,$C201)=0),"GAP above this slice",IF(OR($G201="",$H201=""),"CHECK: Core ID not in Core Log, or its compaction / diameter missing",IF(AND(IF(COUNTIFS('2. Plot &amp; Core Log'!$B$6:$B$35,$A201,'2. Plot &amp; Core Log'!$L$6:$L$35,"&gt;0")=0,"",SUMIFS('2. Plot &amp; Core Log'!$L$6:$L$35,'2. Plot &amp; Core Log'!$B$6:$B$35,$A201))&lt;&gt;"",$D201&gt;IF(COUNTIFS('2. Plot &amp; Core Log'!$B$6:$B$35,$A201,'2. Plot &amp; Core Log'!$L$6:$L$35,"&gt;0")=0,"",SUMIFS('2. Plot &amp; Core Log'!$L$6:$L$35,'2. Plot &amp; Core Log'!$B$6:$B$35,$A201))),"CHECK: slice deeper than the core length on Sheet 2",IF(OR($M201="",$N201="",$O201=""),"AWAITING LAB (dry weight, carbon value or type)",IF(AND(UPPER($O201)&lt;&gt;"OC",UPPER($O201)&lt;&gt;"LOI"),IF(UPPER($O201)="TC","TC is not organic carbon — ask the lab for OC or IC","CHECK: type must be OC, TC or LOI"),IF($R201="",IF(AND(LOI_INTERCEPT&lt;&gt;"",LOI_SLOPE&lt;&gt;""),"CHECK: LOI below the range of the conversion equation (OC would be &lt; 0)","CHECK: LOI conversion not set (Instructions tab)"),IF(OR($Q201&lt;=0,$Q201&gt;2.65,$R201&gt;50),"CHECK: bulk density outside 0–2.65 g/cm3 or OC &gt; 50%","OK")))))))))))</f>
        <v/>
      </c>
    </row>
    <row r="202" customFormat="false" ht="15.75" hidden="false" customHeight="true" outlineLevel="0" collapsed="false">
      <c r="A202" s="14"/>
      <c r="B202" s="14"/>
      <c r="C202" s="24"/>
      <c r="D202" s="24"/>
      <c r="E202" s="14"/>
      <c r="F202" s="16" t="str">
        <f aca="false">IF(OR($C202="",$D202=""),"",$D202-$C202)</f>
        <v/>
      </c>
      <c r="G202" s="25" t="str">
        <f aca="false">IF($A202="","",IFERROR(INDEX('2. Plot &amp; Core Log'!$M$6:$M$35,MATCH($A202,'2. Plot &amp; Core Log'!$B$6:$B$35,0)),""))</f>
        <v/>
      </c>
      <c r="H202" s="26" t="str">
        <f aca="false">IF($A202="","",IFERROR(INDEX('2. Plot &amp; Core Log'!$S$6:$S$35,MATCH($A202,'2. Plot &amp; Core Log'!$B$6:$B$35,0)),""))</f>
        <v/>
      </c>
      <c r="I202" s="16" t="str">
        <f aca="false">IF(OR($C202="",$G202=""),"",$C202*$G202)</f>
        <v/>
      </c>
      <c r="J202" s="16" t="str">
        <f aca="false">IF(OR($D202="",$G202=""),"",$D202*$G202)</f>
        <v/>
      </c>
      <c r="K202" s="16" t="str">
        <f aca="false">IF(OR($F202="",$H202=""),"",PI()*(($H202/2)^2)*$F202)</f>
        <v/>
      </c>
      <c r="L202" s="27"/>
      <c r="M202" s="27"/>
      <c r="N202" s="27"/>
      <c r="O202" s="27"/>
      <c r="P202" s="16" t="str">
        <f aca="false">IF(OR($L202="",$M202="",$L202=0),"",(($L202-$M202)/$L202)*100)</f>
        <v/>
      </c>
      <c r="Q202" s="15" t="str">
        <f aca="false">IF(OR($M202="",$K202="",$K202=0),"",$M202/$K202)</f>
        <v/>
      </c>
      <c r="R202" s="15" t="str">
        <f aca="false">IF(OR($N202="",$O202=""),"",IF(UPPER($O202)="OC",$N202,IF(UPPER($O202)="LOI",IF(OR(LOI_INTERCEPT="",LOI_SLOPE=""),"",IF(LOI_INTERCEPT+LOI_SLOPE*$N202&lt;0,"",LOI_INTERCEPT+LOI_SLOPE*$N202)),"")))</f>
        <v/>
      </c>
      <c r="S202" s="18" t="str">
        <f aca="false">IF($R202="","",$R202*10)</f>
        <v/>
      </c>
      <c r="T202" s="28" t="str">
        <f aca="false">IF(OR($Q202="",$R202=""),"",$Q202*$R202/100)</f>
        <v/>
      </c>
      <c r="U202" s="29" t="str">
        <f aca="false">IF(OR($T202="",$F202=""),"",$T202*$F202)</f>
        <v/>
      </c>
      <c r="V202" s="15" t="str">
        <f aca="false">IF($U202="","",$U202*10)</f>
        <v/>
      </c>
      <c r="W202" s="15" t="str">
        <f aca="false">IF(OR($V202="",$I202="",$J202="",$J202&lt;=$I202),"",$V202*MAX(0,MIN($J202,15)-MAX($I202,0))/($J202-$I202))</f>
        <v/>
      </c>
      <c r="X202" s="15" t="str">
        <f aca="false">IF(OR($V202="",$I202="",$J202="",$J202&lt;=$I202),"",$V202*MAX(0,MIN($J202,30)-MAX($I202,15))/($J202-$I202))</f>
        <v/>
      </c>
      <c r="Y202" s="15" t="str">
        <f aca="false">IF(OR($V202="",$I202="",$J202="",$J202&lt;=$I202),"",$V202*MAX(0,MIN($J202,50)-MAX($I202,30))/($J202-$I202))</f>
        <v/>
      </c>
      <c r="Z202" s="15" t="str">
        <f aca="false">IF(OR($V202="",$I202="",$J202="",$J202&lt;=$I202),"",$V202*MAX(0,MIN($J202,100)-MAX($I202,50))/($J202-$I202))</f>
        <v/>
      </c>
      <c r="AA202" s="16" t="str">
        <f aca="false">IF($A202="","",IF(OR($C202="",$D202="",$D202&lt;=$C202),"CHECK: depths missing, or bottom not below top",IF(COUNTIFS($A$6:$A$205,$A202,$C$6:$C$205,$C202)&gt;1,"DUPLICATE slice",IF(COUNTIFS($A$6:$A$205,$A202,$C$6:$C$205,"&lt;"&amp;$D202,$D$6:$D$205,"&gt;"&amp;$C202)&gt;1,"OVERLAP with another slice",IF(AND($C202&gt;0,COUNTIFS($A$6:$A$205,$A202,$D$6:$D$205,$C202)=0),"GAP above this slice",IF(OR($G202="",$H202=""),"CHECK: Core ID not in Core Log, or its compaction / diameter missing",IF(AND(IF(COUNTIFS('2. Plot &amp; Core Log'!$B$6:$B$35,$A202,'2. Plot &amp; Core Log'!$L$6:$L$35,"&gt;0")=0,"",SUMIFS('2. Plot &amp; Core Log'!$L$6:$L$35,'2. Plot &amp; Core Log'!$B$6:$B$35,$A202))&lt;&gt;"",$D202&gt;IF(COUNTIFS('2. Plot &amp; Core Log'!$B$6:$B$35,$A202,'2. Plot &amp; Core Log'!$L$6:$L$35,"&gt;0")=0,"",SUMIFS('2. Plot &amp; Core Log'!$L$6:$L$35,'2. Plot &amp; Core Log'!$B$6:$B$35,$A202))),"CHECK: slice deeper than the core length on Sheet 2",IF(OR($M202="",$N202="",$O202=""),"AWAITING LAB (dry weight, carbon value or type)",IF(AND(UPPER($O202)&lt;&gt;"OC",UPPER($O202)&lt;&gt;"LOI"),IF(UPPER($O202)="TC","TC is not organic carbon — ask the lab for OC or IC","CHECK: type must be OC, TC or LOI"),IF($R202="",IF(AND(LOI_INTERCEPT&lt;&gt;"",LOI_SLOPE&lt;&gt;""),"CHECK: LOI below the range of the conversion equation (OC would be &lt; 0)","CHECK: LOI conversion not set (Instructions tab)"),IF(OR($Q202&lt;=0,$Q202&gt;2.65,$R202&gt;50),"CHECK: bulk density outside 0–2.65 g/cm3 or OC &gt; 50%","OK")))))))))))</f>
        <v/>
      </c>
    </row>
    <row r="203" customFormat="false" ht="15.75" hidden="false" customHeight="true" outlineLevel="0" collapsed="false">
      <c r="A203" s="14"/>
      <c r="B203" s="14"/>
      <c r="C203" s="24"/>
      <c r="D203" s="24"/>
      <c r="E203" s="14"/>
      <c r="F203" s="16" t="str">
        <f aca="false">IF(OR($C203="",$D203=""),"",$D203-$C203)</f>
        <v/>
      </c>
      <c r="G203" s="25" t="str">
        <f aca="false">IF($A203="","",IFERROR(INDEX('2. Plot &amp; Core Log'!$M$6:$M$35,MATCH($A203,'2. Plot &amp; Core Log'!$B$6:$B$35,0)),""))</f>
        <v/>
      </c>
      <c r="H203" s="26" t="str">
        <f aca="false">IF($A203="","",IFERROR(INDEX('2. Plot &amp; Core Log'!$S$6:$S$35,MATCH($A203,'2. Plot &amp; Core Log'!$B$6:$B$35,0)),""))</f>
        <v/>
      </c>
      <c r="I203" s="16" t="str">
        <f aca="false">IF(OR($C203="",$G203=""),"",$C203*$G203)</f>
        <v/>
      </c>
      <c r="J203" s="16" t="str">
        <f aca="false">IF(OR($D203="",$G203=""),"",$D203*$G203)</f>
        <v/>
      </c>
      <c r="K203" s="16" t="str">
        <f aca="false">IF(OR($F203="",$H203=""),"",PI()*(($H203/2)^2)*$F203)</f>
        <v/>
      </c>
      <c r="L203" s="27"/>
      <c r="M203" s="27"/>
      <c r="N203" s="27"/>
      <c r="O203" s="27"/>
      <c r="P203" s="16" t="str">
        <f aca="false">IF(OR($L203="",$M203="",$L203=0),"",(($L203-$M203)/$L203)*100)</f>
        <v/>
      </c>
      <c r="Q203" s="15" t="str">
        <f aca="false">IF(OR($M203="",$K203="",$K203=0),"",$M203/$K203)</f>
        <v/>
      </c>
      <c r="R203" s="15" t="str">
        <f aca="false">IF(OR($N203="",$O203=""),"",IF(UPPER($O203)="OC",$N203,IF(UPPER($O203)="LOI",IF(OR(LOI_INTERCEPT="",LOI_SLOPE=""),"",IF(LOI_INTERCEPT+LOI_SLOPE*$N203&lt;0,"",LOI_INTERCEPT+LOI_SLOPE*$N203)),"")))</f>
        <v/>
      </c>
      <c r="S203" s="18" t="str">
        <f aca="false">IF($R203="","",$R203*10)</f>
        <v/>
      </c>
      <c r="T203" s="28" t="str">
        <f aca="false">IF(OR($Q203="",$R203=""),"",$Q203*$R203/100)</f>
        <v/>
      </c>
      <c r="U203" s="29" t="str">
        <f aca="false">IF(OR($T203="",$F203=""),"",$T203*$F203)</f>
        <v/>
      </c>
      <c r="V203" s="15" t="str">
        <f aca="false">IF($U203="","",$U203*10)</f>
        <v/>
      </c>
      <c r="W203" s="15" t="str">
        <f aca="false">IF(OR($V203="",$I203="",$J203="",$J203&lt;=$I203),"",$V203*MAX(0,MIN($J203,15)-MAX($I203,0))/($J203-$I203))</f>
        <v/>
      </c>
      <c r="X203" s="15" t="str">
        <f aca="false">IF(OR($V203="",$I203="",$J203="",$J203&lt;=$I203),"",$V203*MAX(0,MIN($J203,30)-MAX($I203,15))/($J203-$I203))</f>
        <v/>
      </c>
      <c r="Y203" s="15" t="str">
        <f aca="false">IF(OR($V203="",$I203="",$J203="",$J203&lt;=$I203),"",$V203*MAX(0,MIN($J203,50)-MAX($I203,30))/($J203-$I203))</f>
        <v/>
      </c>
      <c r="Z203" s="15" t="str">
        <f aca="false">IF(OR($V203="",$I203="",$J203="",$J203&lt;=$I203),"",$V203*MAX(0,MIN($J203,100)-MAX($I203,50))/($J203-$I203))</f>
        <v/>
      </c>
      <c r="AA203" s="16" t="str">
        <f aca="false">IF($A203="","",IF(OR($C203="",$D203="",$D203&lt;=$C203),"CHECK: depths missing, or bottom not below top",IF(COUNTIFS($A$6:$A$205,$A203,$C$6:$C$205,$C203)&gt;1,"DUPLICATE slice",IF(COUNTIFS($A$6:$A$205,$A203,$C$6:$C$205,"&lt;"&amp;$D203,$D$6:$D$205,"&gt;"&amp;$C203)&gt;1,"OVERLAP with another slice",IF(AND($C203&gt;0,COUNTIFS($A$6:$A$205,$A203,$D$6:$D$205,$C203)=0),"GAP above this slice",IF(OR($G203="",$H203=""),"CHECK: Core ID not in Core Log, or its compaction / diameter missing",IF(AND(IF(COUNTIFS('2. Plot &amp; Core Log'!$B$6:$B$35,$A203,'2. Plot &amp; Core Log'!$L$6:$L$35,"&gt;0")=0,"",SUMIFS('2. Plot &amp; Core Log'!$L$6:$L$35,'2. Plot &amp; Core Log'!$B$6:$B$35,$A203))&lt;&gt;"",$D203&gt;IF(COUNTIFS('2. Plot &amp; Core Log'!$B$6:$B$35,$A203,'2. Plot &amp; Core Log'!$L$6:$L$35,"&gt;0")=0,"",SUMIFS('2. Plot &amp; Core Log'!$L$6:$L$35,'2. Plot &amp; Core Log'!$B$6:$B$35,$A203))),"CHECK: slice deeper than the core length on Sheet 2",IF(OR($M203="",$N203="",$O203=""),"AWAITING LAB (dry weight, carbon value or type)",IF(AND(UPPER($O203)&lt;&gt;"OC",UPPER($O203)&lt;&gt;"LOI"),IF(UPPER($O203)="TC","TC is not organic carbon — ask the lab for OC or IC","CHECK: type must be OC, TC or LOI"),IF($R203="",IF(AND(LOI_INTERCEPT&lt;&gt;"",LOI_SLOPE&lt;&gt;""),"CHECK: LOI below the range of the conversion equation (OC would be &lt; 0)","CHECK: LOI conversion not set (Instructions tab)"),IF(OR($Q203&lt;=0,$Q203&gt;2.65,$R203&gt;50),"CHECK: bulk density outside 0–2.65 g/cm3 or OC &gt; 50%","OK")))))))))))</f>
        <v/>
      </c>
    </row>
    <row r="204" customFormat="false" ht="15.75" hidden="false" customHeight="true" outlineLevel="0" collapsed="false">
      <c r="A204" s="14"/>
      <c r="B204" s="14"/>
      <c r="C204" s="24"/>
      <c r="D204" s="24"/>
      <c r="E204" s="14"/>
      <c r="F204" s="16" t="str">
        <f aca="false">IF(OR($C204="",$D204=""),"",$D204-$C204)</f>
        <v/>
      </c>
      <c r="G204" s="25" t="str">
        <f aca="false">IF($A204="","",IFERROR(INDEX('2. Plot &amp; Core Log'!$M$6:$M$35,MATCH($A204,'2. Plot &amp; Core Log'!$B$6:$B$35,0)),""))</f>
        <v/>
      </c>
      <c r="H204" s="26" t="str">
        <f aca="false">IF($A204="","",IFERROR(INDEX('2. Plot &amp; Core Log'!$S$6:$S$35,MATCH($A204,'2. Plot &amp; Core Log'!$B$6:$B$35,0)),""))</f>
        <v/>
      </c>
      <c r="I204" s="16" t="str">
        <f aca="false">IF(OR($C204="",$G204=""),"",$C204*$G204)</f>
        <v/>
      </c>
      <c r="J204" s="16" t="str">
        <f aca="false">IF(OR($D204="",$G204=""),"",$D204*$G204)</f>
        <v/>
      </c>
      <c r="K204" s="16" t="str">
        <f aca="false">IF(OR($F204="",$H204=""),"",PI()*(($H204/2)^2)*$F204)</f>
        <v/>
      </c>
      <c r="L204" s="27"/>
      <c r="M204" s="27"/>
      <c r="N204" s="27"/>
      <c r="O204" s="27"/>
      <c r="P204" s="16" t="str">
        <f aca="false">IF(OR($L204="",$M204="",$L204=0),"",(($L204-$M204)/$L204)*100)</f>
        <v/>
      </c>
      <c r="Q204" s="15" t="str">
        <f aca="false">IF(OR($M204="",$K204="",$K204=0),"",$M204/$K204)</f>
        <v/>
      </c>
      <c r="R204" s="15" t="str">
        <f aca="false">IF(OR($N204="",$O204=""),"",IF(UPPER($O204)="OC",$N204,IF(UPPER($O204)="LOI",IF(OR(LOI_INTERCEPT="",LOI_SLOPE=""),"",IF(LOI_INTERCEPT+LOI_SLOPE*$N204&lt;0,"",LOI_INTERCEPT+LOI_SLOPE*$N204)),"")))</f>
        <v/>
      </c>
      <c r="S204" s="18" t="str">
        <f aca="false">IF($R204="","",$R204*10)</f>
        <v/>
      </c>
      <c r="T204" s="28" t="str">
        <f aca="false">IF(OR($Q204="",$R204=""),"",$Q204*$R204/100)</f>
        <v/>
      </c>
      <c r="U204" s="29" t="str">
        <f aca="false">IF(OR($T204="",$F204=""),"",$T204*$F204)</f>
        <v/>
      </c>
      <c r="V204" s="15" t="str">
        <f aca="false">IF($U204="","",$U204*10)</f>
        <v/>
      </c>
      <c r="W204" s="15" t="str">
        <f aca="false">IF(OR($V204="",$I204="",$J204="",$J204&lt;=$I204),"",$V204*MAX(0,MIN($J204,15)-MAX($I204,0))/($J204-$I204))</f>
        <v/>
      </c>
      <c r="X204" s="15" t="str">
        <f aca="false">IF(OR($V204="",$I204="",$J204="",$J204&lt;=$I204),"",$V204*MAX(0,MIN($J204,30)-MAX($I204,15))/($J204-$I204))</f>
        <v/>
      </c>
      <c r="Y204" s="15" t="str">
        <f aca="false">IF(OR($V204="",$I204="",$J204="",$J204&lt;=$I204),"",$V204*MAX(0,MIN($J204,50)-MAX($I204,30))/($J204-$I204))</f>
        <v/>
      </c>
      <c r="Z204" s="15" t="str">
        <f aca="false">IF(OR($V204="",$I204="",$J204="",$J204&lt;=$I204),"",$V204*MAX(0,MIN($J204,100)-MAX($I204,50))/($J204-$I204))</f>
        <v/>
      </c>
      <c r="AA204" s="16" t="str">
        <f aca="false">IF($A204="","",IF(OR($C204="",$D204="",$D204&lt;=$C204),"CHECK: depths missing, or bottom not below top",IF(COUNTIFS($A$6:$A$205,$A204,$C$6:$C$205,$C204)&gt;1,"DUPLICATE slice",IF(COUNTIFS($A$6:$A$205,$A204,$C$6:$C$205,"&lt;"&amp;$D204,$D$6:$D$205,"&gt;"&amp;$C204)&gt;1,"OVERLAP with another slice",IF(AND($C204&gt;0,COUNTIFS($A$6:$A$205,$A204,$D$6:$D$205,$C204)=0),"GAP above this slice",IF(OR($G204="",$H204=""),"CHECK: Core ID not in Core Log, or its compaction / diameter missing",IF(AND(IF(COUNTIFS('2. Plot &amp; Core Log'!$B$6:$B$35,$A204,'2. Plot &amp; Core Log'!$L$6:$L$35,"&gt;0")=0,"",SUMIFS('2. Plot &amp; Core Log'!$L$6:$L$35,'2. Plot &amp; Core Log'!$B$6:$B$35,$A204))&lt;&gt;"",$D204&gt;IF(COUNTIFS('2. Plot &amp; Core Log'!$B$6:$B$35,$A204,'2. Plot &amp; Core Log'!$L$6:$L$35,"&gt;0")=0,"",SUMIFS('2. Plot &amp; Core Log'!$L$6:$L$35,'2. Plot &amp; Core Log'!$B$6:$B$35,$A204))),"CHECK: slice deeper than the core length on Sheet 2",IF(OR($M204="",$N204="",$O204=""),"AWAITING LAB (dry weight, carbon value or type)",IF(AND(UPPER($O204)&lt;&gt;"OC",UPPER($O204)&lt;&gt;"LOI"),IF(UPPER($O204)="TC","TC is not organic carbon — ask the lab for OC or IC","CHECK: type must be OC, TC or LOI"),IF($R204="",IF(AND(LOI_INTERCEPT&lt;&gt;"",LOI_SLOPE&lt;&gt;""),"CHECK: LOI below the range of the conversion equation (OC would be &lt; 0)","CHECK: LOI conversion not set (Instructions tab)"),IF(OR($Q204&lt;=0,$Q204&gt;2.65,$R204&gt;50),"CHECK: bulk density outside 0–2.65 g/cm3 or OC &gt; 50%","OK")))))))))))</f>
        <v/>
      </c>
    </row>
    <row r="205" customFormat="false" ht="15.75" hidden="false" customHeight="true" outlineLevel="0" collapsed="false">
      <c r="A205" s="14"/>
      <c r="B205" s="14"/>
      <c r="C205" s="24"/>
      <c r="D205" s="24"/>
      <c r="E205" s="14"/>
      <c r="F205" s="16" t="str">
        <f aca="false">IF(OR($C205="",$D205=""),"",$D205-$C205)</f>
        <v/>
      </c>
      <c r="G205" s="25" t="str">
        <f aca="false">IF($A205="","",IFERROR(INDEX('2. Plot &amp; Core Log'!$M$6:$M$35,MATCH($A205,'2. Plot &amp; Core Log'!$B$6:$B$35,0)),""))</f>
        <v/>
      </c>
      <c r="H205" s="26" t="str">
        <f aca="false">IF($A205="","",IFERROR(INDEX('2. Plot &amp; Core Log'!$S$6:$S$35,MATCH($A205,'2. Plot &amp; Core Log'!$B$6:$B$35,0)),""))</f>
        <v/>
      </c>
      <c r="I205" s="16" t="str">
        <f aca="false">IF(OR($C205="",$G205=""),"",$C205*$G205)</f>
        <v/>
      </c>
      <c r="J205" s="16" t="str">
        <f aca="false">IF(OR($D205="",$G205=""),"",$D205*$G205)</f>
        <v/>
      </c>
      <c r="K205" s="16" t="str">
        <f aca="false">IF(OR($F205="",$H205=""),"",PI()*(($H205/2)^2)*$F205)</f>
        <v/>
      </c>
      <c r="L205" s="27"/>
      <c r="M205" s="27"/>
      <c r="N205" s="27"/>
      <c r="O205" s="27"/>
      <c r="P205" s="16" t="str">
        <f aca="false">IF(OR($L205="",$M205="",$L205=0),"",(($L205-$M205)/$L205)*100)</f>
        <v/>
      </c>
      <c r="Q205" s="15" t="str">
        <f aca="false">IF(OR($M205="",$K205="",$K205=0),"",$M205/$K205)</f>
        <v/>
      </c>
      <c r="R205" s="15" t="str">
        <f aca="false">IF(OR($N205="",$O205=""),"",IF(UPPER($O205)="OC",$N205,IF(UPPER($O205)="LOI",IF(OR(LOI_INTERCEPT="",LOI_SLOPE=""),"",IF(LOI_INTERCEPT+LOI_SLOPE*$N205&lt;0,"",LOI_INTERCEPT+LOI_SLOPE*$N205)),"")))</f>
        <v/>
      </c>
      <c r="S205" s="18" t="str">
        <f aca="false">IF($R205="","",$R205*10)</f>
        <v/>
      </c>
      <c r="T205" s="28" t="str">
        <f aca="false">IF(OR($Q205="",$R205=""),"",$Q205*$R205/100)</f>
        <v/>
      </c>
      <c r="U205" s="29" t="str">
        <f aca="false">IF(OR($T205="",$F205=""),"",$T205*$F205)</f>
        <v/>
      </c>
      <c r="V205" s="15" t="str">
        <f aca="false">IF($U205="","",$U205*10)</f>
        <v/>
      </c>
      <c r="W205" s="15" t="str">
        <f aca="false">IF(OR($V205="",$I205="",$J205="",$J205&lt;=$I205),"",$V205*MAX(0,MIN($J205,15)-MAX($I205,0))/($J205-$I205))</f>
        <v/>
      </c>
      <c r="X205" s="15" t="str">
        <f aca="false">IF(OR($V205="",$I205="",$J205="",$J205&lt;=$I205),"",$V205*MAX(0,MIN($J205,30)-MAX($I205,15))/($J205-$I205))</f>
        <v/>
      </c>
      <c r="Y205" s="15" t="str">
        <f aca="false">IF(OR($V205="",$I205="",$J205="",$J205&lt;=$I205),"",$V205*MAX(0,MIN($J205,50)-MAX($I205,30))/($J205-$I205))</f>
        <v/>
      </c>
      <c r="Z205" s="15" t="str">
        <f aca="false">IF(OR($V205="",$I205="",$J205="",$J205&lt;=$I205),"",$V205*MAX(0,MIN($J205,100)-MAX($I205,50))/($J205-$I205))</f>
        <v/>
      </c>
      <c r="AA205" s="16" t="str">
        <f aca="false">IF($A205="","",IF(OR($C205="",$D205="",$D205&lt;=$C205),"CHECK: depths missing, or bottom not below top",IF(COUNTIFS($A$6:$A$205,$A205,$C$6:$C$205,$C205)&gt;1,"DUPLICATE slice",IF(COUNTIFS($A$6:$A$205,$A205,$C$6:$C$205,"&lt;"&amp;$D205,$D$6:$D$205,"&gt;"&amp;$C205)&gt;1,"OVERLAP with another slice",IF(AND($C205&gt;0,COUNTIFS($A$6:$A$205,$A205,$D$6:$D$205,$C205)=0),"GAP above this slice",IF(OR($G205="",$H205=""),"CHECK: Core ID not in Core Log, or its compaction / diameter missing",IF(AND(IF(COUNTIFS('2. Plot &amp; Core Log'!$B$6:$B$35,$A205,'2. Plot &amp; Core Log'!$L$6:$L$35,"&gt;0")=0,"",SUMIFS('2. Plot &amp; Core Log'!$L$6:$L$35,'2. Plot &amp; Core Log'!$B$6:$B$35,$A205))&lt;&gt;"",$D205&gt;IF(COUNTIFS('2. Plot &amp; Core Log'!$B$6:$B$35,$A205,'2. Plot &amp; Core Log'!$L$6:$L$35,"&gt;0")=0,"",SUMIFS('2. Plot &amp; Core Log'!$L$6:$L$35,'2. Plot &amp; Core Log'!$B$6:$B$35,$A205))),"CHECK: slice deeper than the core length on Sheet 2",IF(OR($M205="",$N205="",$O205=""),"AWAITING LAB (dry weight, carbon value or type)",IF(AND(UPPER($O205)&lt;&gt;"OC",UPPER($O205)&lt;&gt;"LOI"),IF(UPPER($O205)="TC","TC is not organic carbon — ask the lab for OC or IC","CHECK: type must be OC, TC or LOI"),IF($R205="",IF(AND(LOI_INTERCEPT&lt;&gt;"",LOI_SLOPE&lt;&gt;""),"CHECK: LOI below the range of the conversion equation (OC would be &lt; 0)","CHECK: LOI conversion not set (Instructions tab)"),IF(OR($Q205&lt;=0,$Q205&gt;2.65,$R205&gt;50),"CHECK: bulk density outside 0–2.65 g/cm3 or OC &gt; 50%","OK")))))))))))</f>
        <v/>
      </c>
    </row>
    <row r="206" customFormat="false" ht="15.75" hidden="false" customHeight="true" outlineLevel="0" collapsed="false"/>
    <row r="207" customFormat="false" ht="15.75" hidden="false" customHeight="true" outlineLevel="0" collapsed="false">
      <c r="A207" s="30" t="s">
        <v>140</v>
      </c>
    </row>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2:AA2"/>
    <mergeCell ref="A4:E4"/>
    <mergeCell ref="F4:K4"/>
    <mergeCell ref="L4:O4"/>
    <mergeCell ref="P4:Z4"/>
  </mergeCells>
  <dataValidations count="1">
    <dataValidation allowBlank="true" errorStyle="stop" operator="between" showDropDown="false" showErrorMessage="false" showInputMessage="false" sqref="O6:O205" type="list">
      <formula1>"OC,TC,LOI"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7" min="6" style="0" width="13"/>
    <col collapsed="false" customWidth="true" hidden="false" outlineLevel="0" max="8" min="8" style="0" width="34"/>
    <col collapsed="false" customWidth="true" hidden="false" outlineLevel="0" max="26" min="9" style="0" width="15"/>
  </cols>
  <sheetData>
    <row r="1" customFormat="false" ht="17.35" hidden="false" customHeight="false" outlineLevel="0" collapsed="false">
      <c r="A1" s="8" t="s">
        <v>141</v>
      </c>
    </row>
    <row r="2" customFormat="false" ht="15" hidden="false" customHeight="false" outlineLevel="0" collapsed="false">
      <c r="A2" s="9" t="s">
        <v>142</v>
      </c>
      <c r="B2" s="9"/>
      <c r="C2" s="9"/>
      <c r="D2" s="9"/>
      <c r="E2" s="9"/>
      <c r="F2" s="9"/>
      <c r="G2" s="9"/>
      <c r="H2" s="9"/>
      <c r="I2" s="9"/>
      <c r="J2" s="9"/>
      <c r="K2" s="9"/>
      <c r="L2" s="9"/>
      <c r="M2" s="9"/>
      <c r="N2" s="9"/>
      <c r="O2" s="9"/>
      <c r="P2" s="9"/>
    </row>
    <row r="4" customFormat="false" ht="39.75" hidden="false" customHeight="true" outlineLevel="0" collapsed="false">
      <c r="A4" s="23" t="s">
        <v>79</v>
      </c>
      <c r="B4" s="23" t="s">
        <v>78</v>
      </c>
      <c r="C4" s="23" t="s">
        <v>143</v>
      </c>
      <c r="D4" s="23" t="s">
        <v>144</v>
      </c>
      <c r="E4" s="23" t="s">
        <v>145</v>
      </c>
      <c r="F4" s="23" t="s">
        <v>146</v>
      </c>
      <c r="G4" s="23" t="s">
        <v>147</v>
      </c>
      <c r="H4" s="23" t="s">
        <v>148</v>
      </c>
      <c r="I4" s="23" t="s">
        <v>149</v>
      </c>
      <c r="J4" s="23" t="s">
        <v>150</v>
      </c>
      <c r="K4" s="23" t="s">
        <v>151</v>
      </c>
      <c r="L4" s="23" t="s">
        <v>152</v>
      </c>
      <c r="M4" s="23" t="s">
        <v>153</v>
      </c>
      <c r="N4" s="23" t="s">
        <v>154</v>
      </c>
      <c r="O4" s="23" t="s">
        <v>155</v>
      </c>
      <c r="P4" s="23" t="s">
        <v>156</v>
      </c>
    </row>
    <row r="5" customFormat="false" ht="15" hidden="false" customHeight="false" outlineLevel="0" collapsed="false">
      <c r="A5" s="31" t="str">
        <f aca="false">IF('2. Plot &amp; Core Log'!$B$6="","",'2. Plot &amp; Core Log'!$B$6)</f>
        <v>COW-S5</v>
      </c>
      <c r="B5" s="31" t="str">
        <f aca="false">IF($A5="","",IF('2. Plot &amp; Core Log'!$A$6="","",'2. Plot &amp; Core Log'!$A$6))</f>
        <v>S5</v>
      </c>
      <c r="C5" s="31" t="str">
        <f aca="false">IF($A5="","",IF('2. Plot &amp; Core Log'!$P$6="","",'2. Plot &amp; Core Log'!$P$6))</f>
        <v>SG</v>
      </c>
      <c r="D5" s="17" t="n">
        <f aca="false">IF($A5="","",COUNTIFS('3. Sample Data'!$A$6:$A$205,$A5))</f>
        <v>15</v>
      </c>
      <c r="E5" s="17" t="n">
        <f aca="false">IF($A5="","",COUNTIFS('3. Sample Data'!$A$6:$A$205,$A5,'3. Sample Data'!$AA$6:$AA$205,"OK"))</f>
        <v>15</v>
      </c>
      <c r="F5" s="16" t="n">
        <f aca="false">IF(OR($A5="",$D5=0),"",_xlfn.MAXIFS('3. Sample Data'!$D$6:$D$205,'3. Sample Data'!$A$6:$A$205,$A5))</f>
        <v>20</v>
      </c>
      <c r="G5" s="16" t="n">
        <f aca="false">IF(OR($A5="",$D5=0),"",IFERROR(_xlfn.MAXIFS('3. Sample Data'!$J$6:$J$205,'3. Sample Data'!$A$6:$A$205,$A5),""))</f>
        <v>20</v>
      </c>
      <c r="H5" s="17" t="str">
        <f aca="false">IF($A5="","",IF($D5=0,"No slices entered",IF(AND('2. Plot &amp; Core Log'!$O$6&lt;&gt;"OK",LEFT('2. Plot &amp; Core Log'!$O$6,7)&lt;&gt;"ASSUMED"),'2. Plot &amp; Core Log'!$O$6&amp;" (Sheet 2)",IF($E5&lt;$D5,"Not complete — see Slice check on Sheet 3","Complete"))))</f>
        <v>Complete</v>
      </c>
      <c r="I5" s="15" t="n">
        <f aca="false">IF(OR($A5="",$H5&lt;&gt;"Complete"),"",SUMIFS('3. Sample Data'!$M$6:$M$205,'3. Sample Data'!$A$6:$A$205,$A5)/(PI()*(INDEX('2. Plot &amp; Core Log'!$S$6:$S$35,MATCH($A5,'2. Plot &amp; Core Log'!$B$6:$B$35,0))/2)^2*SUMIFS('3. Sample Data'!$F$6:$F$205,'3. Sample Data'!$A$6:$A$205,$A5)))</f>
        <v>1.73800724835698</v>
      </c>
      <c r="J5" s="15" t="n">
        <f aca="false">IF(OR($A5="",$H5&lt;&gt;"Complete"),"",100*SUMIFS('3. Sample Data'!$U$6:$U$205,'3. Sample Data'!$A$6:$A$205,$A5)/(SUMIFS('3. Sample Data'!$M$6:$M$205,'3. Sample Data'!$A$6:$A$205,$A5)/(PI()*(INDEX('2. Plot &amp; Core Log'!$S$6:$S$35,MATCH($A5,'2. Plot &amp; Core Log'!$B$6:$B$35,0))/2)^2)))</f>
        <v>0.639201346963624</v>
      </c>
      <c r="K5" s="15" t="n">
        <f aca="false">IF(OR($A5="",$H5&lt;&gt;"Complete"),"",SUMIFS('3. Sample Data'!$V$6:$V$205,'3. Sample Data'!$A$6:$A$205,$A5))</f>
        <v>2.22187314836465</v>
      </c>
      <c r="L5" s="16" t="n">
        <f aca="false">IF($K5="","",$K5*10)</f>
        <v>22.2187314836465</v>
      </c>
      <c r="M5" s="15" t="n">
        <f aca="false">IF(OR($A5="",$H5&lt;&gt;"Complete"),"",IF($G5&gt;=15-0.0001,SUMIFS('3. Sample Data'!$W$6:$W$205,'3. Sample Data'!$A$6:$A$205,$A5),IF($G5&gt;0,"partial — to "&amp;TEXT($G5,"0.0")&amp;" cm","not reached")))</f>
        <v>1.71193190427166</v>
      </c>
      <c r="N5" s="15" t="str">
        <f aca="false">IF(OR($A5="",$H5&lt;&gt;"Complete"),"",IF($G5&gt;=30-0.0001,SUMIFS('3. Sample Data'!$X$6:$X$205,'3. Sample Data'!$A$6:$A$205,$A5),IF($G5&gt;15,"partial — to "&amp;TEXT($G5,"0.0")&amp;" cm","not reached")))</f>
        <v>partial — to 20.0 cm</v>
      </c>
      <c r="O5" s="15" t="str">
        <f aca="false">IF(OR($A5="",$H5&lt;&gt;"Complete"),"",IF($G5&gt;=50-0.0001,SUMIFS('3. Sample Data'!$Y$6:$Y$205,'3. Sample Data'!$A$6:$A$205,$A5),IF($G5&gt;30,"partial — to "&amp;TEXT($G5,"0.0")&amp;" cm","not reached")))</f>
        <v>not reached</v>
      </c>
      <c r="P5" s="15" t="str">
        <f aca="false">IF(OR($A5="",$H5&lt;&gt;"Complete"),"",IF($G5&gt;=100-0.0001,SUMIFS('3. Sample Data'!$Z$6:$Z$205,'3. Sample Data'!$A$6:$A$205,$A5),IF($G5&gt;50,"partial — to "&amp;TEXT($G5,"0.0")&amp;" cm","not reached")))</f>
        <v>not reached</v>
      </c>
    </row>
    <row r="6" customFormat="false" ht="15" hidden="false" customHeight="false" outlineLevel="0" collapsed="false">
      <c r="A6" s="31" t="str">
        <f aca="false">IF('2. Plot &amp; Core Log'!$B$7="","",'2. Plot &amp; Core Log'!$B$7)</f>
        <v>COW-S6</v>
      </c>
      <c r="B6" s="31" t="str">
        <f aca="false">IF($A6="","",IF('2. Plot &amp; Core Log'!$A$7="","",'2. Plot &amp; Core Log'!$A$7))</f>
        <v>S6</v>
      </c>
      <c r="C6" s="31" t="str">
        <f aca="false">IF($A6="","",IF('2. Plot &amp; Core Log'!$P$7="","",'2. Plot &amp; Core Log'!$P$7))</f>
        <v>SG</v>
      </c>
      <c r="D6" s="17" t="n">
        <f aca="false">IF($A6="","",COUNTIFS('3. Sample Data'!$A$6:$A$205,$A6))</f>
        <v>15</v>
      </c>
      <c r="E6" s="17" t="n">
        <f aca="false">IF($A6="","",COUNTIFS('3. Sample Data'!$A$6:$A$205,$A6,'3. Sample Data'!$AA$6:$AA$205,"OK"))</f>
        <v>15</v>
      </c>
      <c r="F6" s="16" t="n">
        <f aca="false">IF(OR($A6="",$D6=0),"",_xlfn.MAXIFS('3. Sample Data'!$D$6:$D$205,'3. Sample Data'!$A$6:$A$205,$A6))</f>
        <v>20</v>
      </c>
      <c r="G6" s="16" t="n">
        <f aca="false">IF(OR($A6="",$D6=0),"",IFERROR(_xlfn.MAXIFS('3. Sample Data'!$J$6:$J$205,'3. Sample Data'!$A$6:$A$205,$A6),""))</f>
        <v>20</v>
      </c>
      <c r="H6" s="17" t="str">
        <f aca="false">IF($A6="","",IF($D6=0,"No slices entered",IF(AND('2. Plot &amp; Core Log'!$O$7&lt;&gt;"OK",LEFT('2. Plot &amp; Core Log'!$O$7,7)&lt;&gt;"ASSUMED"),'2. Plot &amp; Core Log'!$O$7&amp;" (Sheet 2)",IF($E6&lt;$D6,"Not complete — see Slice check on Sheet 3","Complete"))))</f>
        <v>Complete</v>
      </c>
      <c r="I6" s="15" t="n">
        <f aca="false">IF(OR($A6="",$H6&lt;&gt;"Complete"),"",SUMIFS('3. Sample Data'!$M$6:$M$205,'3. Sample Data'!$A$6:$A$205,$A6)/(PI()*(INDEX('2. Plot &amp; Core Log'!$S$6:$S$35,MATCH($A6,'2. Plot &amp; Core Log'!$B$6:$B$35,0))/2)^2*SUMIFS('3. Sample Data'!$F$6:$F$205,'3. Sample Data'!$A$6:$A$205,$A6)))</f>
        <v>1.65250004278171</v>
      </c>
      <c r="J6" s="15" t="n">
        <f aca="false">IF(OR($A6="",$H6&lt;&gt;"Complete"),"",100*SUMIFS('3. Sample Data'!$U$6:$U$205,'3. Sample Data'!$A$6:$A$205,$A6)/(SUMIFS('3. Sample Data'!$M$6:$M$205,'3. Sample Data'!$A$6:$A$205,$A6)/(PI()*(INDEX('2. Plot &amp; Core Log'!$S$6:$S$35,MATCH($A6,'2. Plot &amp; Core Log'!$B$6:$B$35,0))/2)^2)))</f>
        <v>0.660153905155739</v>
      </c>
      <c r="K6" s="15" t="n">
        <f aca="false">IF(OR($A6="",$H6&lt;&gt;"Complete"),"",SUMIFS('3. Sample Data'!$V$6:$V$205,'3. Sample Data'!$A$6:$A$205,$A6))</f>
        <v>2.18180871302474</v>
      </c>
      <c r="L6" s="16" t="n">
        <f aca="false">IF($K6="","",$K6*10)</f>
        <v>21.8180871302474</v>
      </c>
      <c r="M6" s="15" t="n">
        <f aca="false">IF(OR($A6="",$H6&lt;&gt;"Complete"),"",IF($G6&gt;=15-0.0001,SUMIFS('3. Sample Data'!$W$6:$W$205,'3. Sample Data'!$A$6:$A$205,$A6),IF($G6&gt;0,"partial — to "&amp;TEXT($G6,"0.0")&amp;" cm","not reached")))</f>
        <v>1.21182326138033</v>
      </c>
      <c r="N6" s="15" t="str">
        <f aca="false">IF(OR($A6="",$H6&lt;&gt;"Complete"),"",IF($G6&gt;=30-0.0001,SUMIFS('3. Sample Data'!$X$6:$X$205,'3. Sample Data'!$A$6:$A$205,$A6),IF($G6&gt;15,"partial — to "&amp;TEXT($G6,"0.0")&amp;" cm","not reached")))</f>
        <v>partial — to 20.0 cm</v>
      </c>
      <c r="O6" s="15" t="str">
        <f aca="false">IF(OR($A6="",$H6&lt;&gt;"Complete"),"",IF($G6&gt;=50-0.0001,SUMIFS('3. Sample Data'!$Y$6:$Y$205,'3. Sample Data'!$A$6:$A$205,$A6),IF($G6&gt;30,"partial — to "&amp;TEXT($G6,"0.0")&amp;" cm","not reached")))</f>
        <v>not reached</v>
      </c>
      <c r="P6" s="15" t="str">
        <f aca="false">IF(OR($A6="",$H6&lt;&gt;"Complete"),"",IF($G6&gt;=100-0.0001,SUMIFS('3. Sample Data'!$Z$6:$Z$205,'3. Sample Data'!$A$6:$A$205,$A6),IF($G6&gt;50,"partial — to "&amp;TEXT($G6,"0.0")&amp;" cm","not reached")))</f>
        <v>not reached</v>
      </c>
    </row>
    <row r="7" customFormat="false" ht="15" hidden="false" customHeight="false" outlineLevel="0" collapsed="false">
      <c r="A7" s="31" t="str">
        <f aca="false">IF('2. Plot &amp; Core Log'!$B$8="","",'2. Plot &amp; Core Log'!$B$8)</f>
        <v>COW-S7</v>
      </c>
      <c r="B7" s="31" t="str">
        <f aca="false">IF($A7="","",IF('2. Plot &amp; Core Log'!$A$8="","",'2. Plot &amp; Core Log'!$A$8))</f>
        <v>S7</v>
      </c>
      <c r="C7" s="31" t="str">
        <f aca="false">IF($A7="","",IF('2. Plot &amp; Core Log'!$P$8="","",'2. Plot &amp; Core Log'!$P$8))</f>
        <v>SG</v>
      </c>
      <c r="D7" s="17" t="n">
        <f aca="false">IF($A7="","",COUNTIFS('3. Sample Data'!$A$6:$A$205,$A7))</f>
        <v>15</v>
      </c>
      <c r="E7" s="17" t="n">
        <f aca="false">IF($A7="","",COUNTIFS('3. Sample Data'!$A$6:$A$205,$A7,'3. Sample Data'!$AA$6:$AA$205,"OK"))</f>
        <v>15</v>
      </c>
      <c r="F7" s="16" t="n">
        <f aca="false">IF(OR($A7="",$D7=0),"",_xlfn.MAXIFS('3. Sample Data'!$D$6:$D$205,'3. Sample Data'!$A$6:$A$205,$A7))</f>
        <v>20</v>
      </c>
      <c r="G7" s="16" t="n">
        <f aca="false">IF(OR($A7="",$D7=0),"",IFERROR(_xlfn.MAXIFS('3. Sample Data'!$J$6:$J$205,'3. Sample Data'!$A$6:$A$205,$A7),""))</f>
        <v>20</v>
      </c>
      <c r="H7" s="17" t="str">
        <f aca="false">IF($A7="","",IF($D7=0,"No slices entered",IF(AND('2. Plot &amp; Core Log'!$O$8&lt;&gt;"OK",LEFT('2. Plot &amp; Core Log'!$O$8,7)&lt;&gt;"ASSUMED"),'2. Plot &amp; Core Log'!$O$8&amp;" (Sheet 2)",IF($E7&lt;$D7,"Not complete — see Slice check on Sheet 3","Complete"))))</f>
        <v>Complete</v>
      </c>
      <c r="I7" s="15" t="n">
        <f aca="false">IF(OR($A7="",$H7&lt;&gt;"Complete"),"",SUMIFS('3. Sample Data'!$M$6:$M$205,'3. Sample Data'!$A$6:$A$205,$A7)/(PI()*(INDEX('2. Plot &amp; Core Log'!$S$6:$S$35,MATCH($A7,'2. Plot &amp; Core Log'!$B$6:$B$35,0))/2)^2*SUMIFS('3. Sample Data'!$F$6:$F$205,'3. Sample Data'!$A$6:$A$205,$A7)))</f>
        <v>1.76249771120672</v>
      </c>
      <c r="J7" s="15" t="n">
        <f aca="false">IF(OR($A7="",$H7&lt;&gt;"Complete"),"",100*SUMIFS('3. Sample Data'!$U$6:$U$205,'3. Sample Data'!$A$6:$A$205,$A7)/(SUMIFS('3. Sample Data'!$M$6:$M$205,'3. Sample Data'!$A$6:$A$205,$A7)/(PI()*(INDEX('2. Plot &amp; Core Log'!$S$6:$S$35,MATCH($A7,'2. Plot &amp; Core Log'!$B$6:$B$35,0))/2)^2)))</f>
        <v>0.532717009567882</v>
      </c>
      <c r="K7" s="15" t="n">
        <f aca="false">IF(OR($A7="",$H7&lt;&gt;"Complete"),"",SUMIFS('3. Sample Data'!$V$6:$V$205,'3. Sample Data'!$A$6:$A$205,$A7))</f>
        <v>1.87782502016856</v>
      </c>
      <c r="L7" s="16" t="n">
        <f aca="false">IF($K7="","",$K7*10)</f>
        <v>18.7782502016856</v>
      </c>
      <c r="M7" s="15" t="n">
        <f aca="false">IF(OR($A7="",$H7&lt;&gt;"Complete"),"",IF($G7&gt;=15-0.0001,SUMIFS('3. Sample Data'!$W$6:$W$205,'3. Sample Data'!$A$6:$A$205,$A7),IF($G7&gt;0,"partial — to "&amp;TEXT($G7,"0.0")&amp;" cm","not reached")))</f>
        <v>1.44704131664285</v>
      </c>
      <c r="N7" s="15" t="str">
        <f aca="false">IF(OR($A7="",$H7&lt;&gt;"Complete"),"",IF($G7&gt;=30-0.0001,SUMIFS('3. Sample Data'!$X$6:$X$205,'3. Sample Data'!$A$6:$A$205,$A7),IF($G7&gt;15,"partial — to "&amp;TEXT($G7,"0.0")&amp;" cm","not reached")))</f>
        <v>partial — to 20.0 cm</v>
      </c>
      <c r="O7" s="15" t="str">
        <f aca="false">IF(OR($A7="",$H7&lt;&gt;"Complete"),"",IF($G7&gt;=50-0.0001,SUMIFS('3. Sample Data'!$Y$6:$Y$205,'3. Sample Data'!$A$6:$A$205,$A7),IF($G7&gt;30,"partial — to "&amp;TEXT($G7,"0.0")&amp;" cm","not reached")))</f>
        <v>not reached</v>
      </c>
      <c r="P7" s="15" t="str">
        <f aca="false">IF(OR($A7="",$H7&lt;&gt;"Complete"),"",IF($G7&gt;=100-0.0001,SUMIFS('3. Sample Data'!$Z$6:$Z$205,'3. Sample Data'!$A$6:$A$205,$A7),IF($G7&gt;50,"partial — to "&amp;TEXT($G7,"0.0")&amp;" cm","not reached")))</f>
        <v>not reached</v>
      </c>
    </row>
    <row r="8" customFormat="false" ht="15" hidden="false" customHeight="false" outlineLevel="0" collapsed="false">
      <c r="A8" s="31" t="str">
        <f aca="false">IF('2. Plot &amp; Core Log'!$B$9="","",'2. Plot &amp; Core Log'!$B$9)</f>
        <v/>
      </c>
      <c r="B8" s="31" t="str">
        <f aca="false">IF($A8="","",IF('2. Plot &amp; Core Log'!$A$9="","",'2. Plot &amp; Core Log'!$A$9))</f>
        <v/>
      </c>
      <c r="C8" s="31" t="str">
        <f aca="false">IF($A8="","",IF('2. Plot &amp; Core Log'!$P$9="","",'2. Plot &amp; Core Log'!$P$9))</f>
        <v/>
      </c>
      <c r="D8" s="17" t="str">
        <f aca="false">IF($A8="","",COUNTIFS('3. Sample Data'!$A$6:$A$205,$A8))</f>
        <v/>
      </c>
      <c r="E8" s="17" t="str">
        <f aca="false">IF($A8="","",COUNTIFS('3. Sample Data'!$A$6:$A$205,$A8,'3. Sample Data'!$AA$6:$AA$205,"OK"))</f>
        <v/>
      </c>
      <c r="F8" s="16" t="str">
        <f aca="false">IF(OR($A8="",$D8=0),"",_xlfn.MAXIFS('3. Sample Data'!$D$6:$D$205,'3. Sample Data'!$A$6:$A$205,$A8))</f>
        <v/>
      </c>
      <c r="G8" s="16" t="str">
        <f aca="false">IF(OR($A8="",$D8=0),"",IFERROR(_xlfn.MAXIFS('3. Sample Data'!$J$6:$J$205,'3. Sample Data'!$A$6:$A$205,$A8),""))</f>
        <v/>
      </c>
      <c r="H8" s="17" t="str">
        <f aca="false">IF($A8="","",IF($D8=0,"No slices entered",IF(AND('2. Plot &amp; Core Log'!$O$9&lt;&gt;"OK",LEFT('2. Plot &amp; Core Log'!$O$9,7)&lt;&gt;"ASSUMED"),'2. Plot &amp; Core Log'!$O$9&amp;" (Sheet 2)",IF($E8&lt;$D8,"Not complete — see Slice check on Sheet 3","Complete"))))</f>
        <v/>
      </c>
      <c r="I8" s="15" t="str">
        <f aca="false">IF(OR($A8="",$H8&lt;&gt;"Complete"),"",SUMIFS('3. Sample Data'!$M$6:$M$205,'3. Sample Data'!$A$6:$A$205,$A8)/(PI()*(INDEX('2. Plot &amp; Core Log'!$S$6:$S$35,MATCH($A8,'2. Plot &amp; Core Log'!$B$6:$B$35,0))/2)^2*SUMIFS('3. Sample Data'!$F$6:$F$205,'3. Sample Data'!$A$6:$A$205,$A8)))</f>
        <v/>
      </c>
      <c r="J8" s="15" t="str">
        <f aca="false">IF(OR($A8="",$H8&lt;&gt;"Complete"),"",100*SUMIFS('3. Sample Data'!$U$6:$U$205,'3. Sample Data'!$A$6:$A$205,$A8)/(SUMIFS('3. Sample Data'!$M$6:$M$205,'3. Sample Data'!$A$6:$A$205,$A8)/(PI()*(INDEX('2. Plot &amp; Core Log'!$S$6:$S$35,MATCH($A8,'2. Plot &amp; Core Log'!$B$6:$B$35,0))/2)^2)))</f>
        <v/>
      </c>
      <c r="K8" s="15" t="str">
        <f aca="false">IF(OR($A8="",$H8&lt;&gt;"Complete"),"",SUMIFS('3. Sample Data'!$V$6:$V$205,'3. Sample Data'!$A$6:$A$205,$A8))</f>
        <v/>
      </c>
      <c r="L8" s="16" t="str">
        <f aca="false">IF($K8="","",$K8*10)</f>
        <v/>
      </c>
      <c r="M8" s="15" t="str">
        <f aca="false">IF(OR($A8="",$H8&lt;&gt;"Complete"),"",IF($G8&gt;=15-0.0001,SUMIFS('3. Sample Data'!$W$6:$W$205,'3. Sample Data'!$A$6:$A$205,$A8),IF($G8&gt;0,"partial — to "&amp;TEXT($G8,"0.0")&amp;" cm","not reached")))</f>
        <v/>
      </c>
      <c r="N8" s="15" t="str">
        <f aca="false">IF(OR($A8="",$H8&lt;&gt;"Complete"),"",IF($G8&gt;=30-0.0001,SUMIFS('3. Sample Data'!$X$6:$X$205,'3. Sample Data'!$A$6:$A$205,$A8),IF($G8&gt;15,"partial — to "&amp;TEXT($G8,"0.0")&amp;" cm","not reached")))</f>
        <v/>
      </c>
      <c r="O8" s="15" t="str">
        <f aca="false">IF(OR($A8="",$H8&lt;&gt;"Complete"),"",IF($G8&gt;=50-0.0001,SUMIFS('3. Sample Data'!$Y$6:$Y$205,'3. Sample Data'!$A$6:$A$205,$A8),IF($G8&gt;30,"partial — to "&amp;TEXT($G8,"0.0")&amp;" cm","not reached")))</f>
        <v/>
      </c>
      <c r="P8" s="15" t="str">
        <f aca="false">IF(OR($A8="",$H8&lt;&gt;"Complete"),"",IF($G8&gt;=100-0.0001,SUMIFS('3. Sample Data'!$Z$6:$Z$205,'3. Sample Data'!$A$6:$A$205,$A8),IF($G8&gt;50,"partial — to "&amp;TEXT($G8,"0.0")&amp;" cm","not reached")))</f>
        <v/>
      </c>
    </row>
    <row r="9" customFormat="false" ht="15" hidden="false" customHeight="false" outlineLevel="0" collapsed="false">
      <c r="A9" s="31" t="str">
        <f aca="false">IF('2. Plot &amp; Core Log'!$B$10="","",'2. Plot &amp; Core Log'!$B$10)</f>
        <v/>
      </c>
      <c r="B9" s="31" t="str">
        <f aca="false">IF($A9="","",IF('2. Plot &amp; Core Log'!$A$10="","",'2. Plot &amp; Core Log'!$A$10))</f>
        <v/>
      </c>
      <c r="C9" s="31" t="str">
        <f aca="false">IF($A9="","",IF('2. Plot &amp; Core Log'!$P$10="","",'2. Plot &amp; Core Log'!$P$10))</f>
        <v/>
      </c>
      <c r="D9" s="17" t="str">
        <f aca="false">IF($A9="","",COUNTIFS('3. Sample Data'!$A$6:$A$205,$A9))</f>
        <v/>
      </c>
      <c r="E9" s="17" t="str">
        <f aca="false">IF($A9="","",COUNTIFS('3. Sample Data'!$A$6:$A$205,$A9,'3. Sample Data'!$AA$6:$AA$205,"OK"))</f>
        <v/>
      </c>
      <c r="F9" s="16" t="str">
        <f aca="false">IF(OR($A9="",$D9=0),"",_xlfn.MAXIFS('3. Sample Data'!$D$6:$D$205,'3. Sample Data'!$A$6:$A$205,$A9))</f>
        <v/>
      </c>
      <c r="G9" s="16" t="str">
        <f aca="false">IF(OR($A9="",$D9=0),"",IFERROR(_xlfn.MAXIFS('3. Sample Data'!$J$6:$J$205,'3. Sample Data'!$A$6:$A$205,$A9),""))</f>
        <v/>
      </c>
      <c r="H9" s="17" t="str">
        <f aca="false">IF($A9="","",IF($D9=0,"No slices entered",IF(AND('2. Plot &amp; Core Log'!$O$10&lt;&gt;"OK",LEFT('2. Plot &amp; Core Log'!$O$10,7)&lt;&gt;"ASSUMED"),'2. Plot &amp; Core Log'!$O$10&amp;" (Sheet 2)",IF($E9&lt;$D9,"Not complete — see Slice check on Sheet 3","Complete"))))</f>
        <v/>
      </c>
      <c r="I9" s="15" t="str">
        <f aca="false">IF(OR($A9="",$H9&lt;&gt;"Complete"),"",SUMIFS('3. Sample Data'!$M$6:$M$205,'3. Sample Data'!$A$6:$A$205,$A9)/(PI()*(INDEX('2. Plot &amp; Core Log'!$S$6:$S$35,MATCH($A9,'2. Plot &amp; Core Log'!$B$6:$B$35,0))/2)^2*SUMIFS('3. Sample Data'!$F$6:$F$205,'3. Sample Data'!$A$6:$A$205,$A9)))</f>
        <v/>
      </c>
      <c r="J9" s="15" t="str">
        <f aca="false">IF(OR($A9="",$H9&lt;&gt;"Complete"),"",100*SUMIFS('3. Sample Data'!$U$6:$U$205,'3. Sample Data'!$A$6:$A$205,$A9)/(SUMIFS('3. Sample Data'!$M$6:$M$205,'3. Sample Data'!$A$6:$A$205,$A9)/(PI()*(INDEX('2. Plot &amp; Core Log'!$S$6:$S$35,MATCH($A9,'2. Plot &amp; Core Log'!$B$6:$B$35,0))/2)^2)))</f>
        <v/>
      </c>
      <c r="K9" s="15" t="str">
        <f aca="false">IF(OR($A9="",$H9&lt;&gt;"Complete"),"",SUMIFS('3. Sample Data'!$V$6:$V$205,'3. Sample Data'!$A$6:$A$205,$A9))</f>
        <v/>
      </c>
      <c r="L9" s="16" t="str">
        <f aca="false">IF($K9="","",$K9*10)</f>
        <v/>
      </c>
      <c r="M9" s="15" t="str">
        <f aca="false">IF(OR($A9="",$H9&lt;&gt;"Complete"),"",IF($G9&gt;=15-0.0001,SUMIFS('3. Sample Data'!$W$6:$W$205,'3. Sample Data'!$A$6:$A$205,$A9),IF($G9&gt;0,"partial — to "&amp;TEXT($G9,"0.0")&amp;" cm","not reached")))</f>
        <v/>
      </c>
      <c r="N9" s="15" t="str">
        <f aca="false">IF(OR($A9="",$H9&lt;&gt;"Complete"),"",IF($G9&gt;=30-0.0001,SUMIFS('3. Sample Data'!$X$6:$X$205,'3. Sample Data'!$A$6:$A$205,$A9),IF($G9&gt;15,"partial — to "&amp;TEXT($G9,"0.0")&amp;" cm","not reached")))</f>
        <v/>
      </c>
      <c r="O9" s="15" t="str">
        <f aca="false">IF(OR($A9="",$H9&lt;&gt;"Complete"),"",IF($G9&gt;=50-0.0001,SUMIFS('3. Sample Data'!$Y$6:$Y$205,'3. Sample Data'!$A$6:$A$205,$A9),IF($G9&gt;30,"partial — to "&amp;TEXT($G9,"0.0")&amp;" cm","not reached")))</f>
        <v/>
      </c>
      <c r="P9" s="15" t="str">
        <f aca="false">IF(OR($A9="",$H9&lt;&gt;"Complete"),"",IF($G9&gt;=100-0.0001,SUMIFS('3. Sample Data'!$Z$6:$Z$205,'3. Sample Data'!$A$6:$A$205,$A9),IF($G9&gt;50,"partial — to "&amp;TEXT($G9,"0.0")&amp;" cm","not reached")))</f>
        <v/>
      </c>
    </row>
    <row r="10" customFormat="false" ht="15" hidden="false" customHeight="false" outlineLevel="0" collapsed="false">
      <c r="A10" s="31" t="str">
        <f aca="false">IF('2. Plot &amp; Core Log'!$B$11="","",'2. Plot &amp; Core Log'!$B$11)</f>
        <v/>
      </c>
      <c r="B10" s="31" t="str">
        <f aca="false">IF($A10="","",IF('2. Plot &amp; Core Log'!$A$11="","",'2. Plot &amp; Core Log'!$A$11))</f>
        <v/>
      </c>
      <c r="C10" s="31" t="str">
        <f aca="false">IF($A10="","",IF('2. Plot &amp; Core Log'!$P$11="","",'2. Plot &amp; Core Log'!$P$11))</f>
        <v/>
      </c>
      <c r="D10" s="17" t="str">
        <f aca="false">IF($A10="","",COUNTIFS('3. Sample Data'!$A$6:$A$205,$A10))</f>
        <v/>
      </c>
      <c r="E10" s="17" t="str">
        <f aca="false">IF($A10="","",COUNTIFS('3. Sample Data'!$A$6:$A$205,$A10,'3. Sample Data'!$AA$6:$AA$205,"OK"))</f>
        <v/>
      </c>
      <c r="F10" s="16" t="str">
        <f aca="false">IF(OR($A10="",$D10=0),"",_xlfn.MAXIFS('3. Sample Data'!$D$6:$D$205,'3. Sample Data'!$A$6:$A$205,$A10))</f>
        <v/>
      </c>
      <c r="G10" s="16" t="str">
        <f aca="false">IF(OR($A10="",$D10=0),"",IFERROR(_xlfn.MAXIFS('3. Sample Data'!$J$6:$J$205,'3. Sample Data'!$A$6:$A$205,$A10),""))</f>
        <v/>
      </c>
      <c r="H10" s="17" t="str">
        <f aca="false">IF($A10="","",IF($D10=0,"No slices entered",IF(AND('2. Plot &amp; Core Log'!$O$11&lt;&gt;"OK",LEFT('2. Plot &amp; Core Log'!$O$11,7)&lt;&gt;"ASSUMED"),'2. Plot &amp; Core Log'!$O$11&amp;" (Sheet 2)",IF($E10&lt;$D10,"Not complete — see Slice check on Sheet 3","Complete"))))</f>
        <v/>
      </c>
      <c r="I10" s="15" t="str">
        <f aca="false">IF(OR($A10="",$H10&lt;&gt;"Complete"),"",SUMIFS('3. Sample Data'!$M$6:$M$205,'3. Sample Data'!$A$6:$A$205,$A10)/(PI()*(INDEX('2. Plot &amp; Core Log'!$S$6:$S$35,MATCH($A10,'2. Plot &amp; Core Log'!$B$6:$B$35,0))/2)^2*SUMIFS('3. Sample Data'!$F$6:$F$205,'3. Sample Data'!$A$6:$A$205,$A10)))</f>
        <v/>
      </c>
      <c r="J10" s="15" t="str">
        <f aca="false">IF(OR($A10="",$H10&lt;&gt;"Complete"),"",100*SUMIFS('3. Sample Data'!$U$6:$U$205,'3. Sample Data'!$A$6:$A$205,$A10)/(SUMIFS('3. Sample Data'!$M$6:$M$205,'3. Sample Data'!$A$6:$A$205,$A10)/(PI()*(INDEX('2. Plot &amp; Core Log'!$S$6:$S$35,MATCH($A10,'2. Plot &amp; Core Log'!$B$6:$B$35,0))/2)^2)))</f>
        <v/>
      </c>
      <c r="K10" s="15" t="str">
        <f aca="false">IF(OR($A10="",$H10&lt;&gt;"Complete"),"",SUMIFS('3. Sample Data'!$V$6:$V$205,'3. Sample Data'!$A$6:$A$205,$A10))</f>
        <v/>
      </c>
      <c r="L10" s="16" t="str">
        <f aca="false">IF($K10="","",$K10*10)</f>
        <v/>
      </c>
      <c r="M10" s="15" t="str">
        <f aca="false">IF(OR($A10="",$H10&lt;&gt;"Complete"),"",IF($G10&gt;=15-0.0001,SUMIFS('3. Sample Data'!$W$6:$W$205,'3. Sample Data'!$A$6:$A$205,$A10),IF($G10&gt;0,"partial — to "&amp;TEXT($G10,"0.0")&amp;" cm","not reached")))</f>
        <v/>
      </c>
      <c r="N10" s="15" t="str">
        <f aca="false">IF(OR($A10="",$H10&lt;&gt;"Complete"),"",IF($G10&gt;=30-0.0001,SUMIFS('3. Sample Data'!$X$6:$X$205,'3. Sample Data'!$A$6:$A$205,$A10),IF($G10&gt;15,"partial — to "&amp;TEXT($G10,"0.0")&amp;" cm","not reached")))</f>
        <v/>
      </c>
      <c r="O10" s="15" t="str">
        <f aca="false">IF(OR($A10="",$H10&lt;&gt;"Complete"),"",IF($G10&gt;=50-0.0001,SUMIFS('3. Sample Data'!$Y$6:$Y$205,'3. Sample Data'!$A$6:$A$205,$A10),IF($G10&gt;30,"partial — to "&amp;TEXT($G10,"0.0")&amp;" cm","not reached")))</f>
        <v/>
      </c>
      <c r="P10" s="15" t="str">
        <f aca="false">IF(OR($A10="",$H10&lt;&gt;"Complete"),"",IF($G10&gt;=100-0.0001,SUMIFS('3. Sample Data'!$Z$6:$Z$205,'3. Sample Data'!$A$6:$A$205,$A10),IF($G10&gt;50,"partial — to "&amp;TEXT($G10,"0.0")&amp;" cm","not reached")))</f>
        <v/>
      </c>
    </row>
    <row r="11" customFormat="false" ht="15" hidden="false" customHeight="false" outlineLevel="0" collapsed="false">
      <c r="A11" s="31" t="str">
        <f aca="false">IF('2. Plot &amp; Core Log'!$B$12="","",'2. Plot &amp; Core Log'!$B$12)</f>
        <v/>
      </c>
      <c r="B11" s="31" t="str">
        <f aca="false">IF($A11="","",IF('2. Plot &amp; Core Log'!$A$12="","",'2. Plot &amp; Core Log'!$A$12))</f>
        <v/>
      </c>
      <c r="C11" s="31" t="str">
        <f aca="false">IF($A11="","",IF('2. Plot &amp; Core Log'!$P$12="","",'2. Plot &amp; Core Log'!$P$12))</f>
        <v/>
      </c>
      <c r="D11" s="17" t="str">
        <f aca="false">IF($A11="","",COUNTIFS('3. Sample Data'!$A$6:$A$205,$A11))</f>
        <v/>
      </c>
      <c r="E11" s="17" t="str">
        <f aca="false">IF($A11="","",COUNTIFS('3. Sample Data'!$A$6:$A$205,$A11,'3. Sample Data'!$AA$6:$AA$205,"OK"))</f>
        <v/>
      </c>
      <c r="F11" s="16" t="str">
        <f aca="false">IF(OR($A11="",$D11=0),"",_xlfn.MAXIFS('3. Sample Data'!$D$6:$D$205,'3. Sample Data'!$A$6:$A$205,$A11))</f>
        <v/>
      </c>
      <c r="G11" s="16" t="str">
        <f aca="false">IF(OR($A11="",$D11=0),"",IFERROR(_xlfn.MAXIFS('3. Sample Data'!$J$6:$J$205,'3. Sample Data'!$A$6:$A$205,$A11),""))</f>
        <v/>
      </c>
      <c r="H11" s="17" t="str">
        <f aca="false">IF($A11="","",IF($D11=0,"No slices entered",IF(AND('2. Plot &amp; Core Log'!$O$12&lt;&gt;"OK",LEFT('2. Plot &amp; Core Log'!$O$12,7)&lt;&gt;"ASSUMED"),'2. Plot &amp; Core Log'!$O$12&amp;" (Sheet 2)",IF($E11&lt;$D11,"Not complete — see Slice check on Sheet 3","Complete"))))</f>
        <v/>
      </c>
      <c r="I11" s="15" t="str">
        <f aca="false">IF(OR($A11="",$H11&lt;&gt;"Complete"),"",SUMIFS('3. Sample Data'!$M$6:$M$205,'3. Sample Data'!$A$6:$A$205,$A11)/(PI()*(INDEX('2. Plot &amp; Core Log'!$S$6:$S$35,MATCH($A11,'2. Plot &amp; Core Log'!$B$6:$B$35,0))/2)^2*SUMIFS('3. Sample Data'!$F$6:$F$205,'3. Sample Data'!$A$6:$A$205,$A11)))</f>
        <v/>
      </c>
      <c r="J11" s="15" t="str">
        <f aca="false">IF(OR($A11="",$H11&lt;&gt;"Complete"),"",100*SUMIFS('3. Sample Data'!$U$6:$U$205,'3. Sample Data'!$A$6:$A$205,$A11)/(SUMIFS('3. Sample Data'!$M$6:$M$205,'3. Sample Data'!$A$6:$A$205,$A11)/(PI()*(INDEX('2. Plot &amp; Core Log'!$S$6:$S$35,MATCH($A11,'2. Plot &amp; Core Log'!$B$6:$B$35,0))/2)^2)))</f>
        <v/>
      </c>
      <c r="K11" s="15" t="str">
        <f aca="false">IF(OR($A11="",$H11&lt;&gt;"Complete"),"",SUMIFS('3. Sample Data'!$V$6:$V$205,'3. Sample Data'!$A$6:$A$205,$A11))</f>
        <v/>
      </c>
      <c r="L11" s="16" t="str">
        <f aca="false">IF($K11="","",$K11*10)</f>
        <v/>
      </c>
      <c r="M11" s="15" t="str">
        <f aca="false">IF(OR($A11="",$H11&lt;&gt;"Complete"),"",IF($G11&gt;=15-0.0001,SUMIFS('3. Sample Data'!$W$6:$W$205,'3. Sample Data'!$A$6:$A$205,$A11),IF($G11&gt;0,"partial — to "&amp;TEXT($G11,"0.0")&amp;" cm","not reached")))</f>
        <v/>
      </c>
      <c r="N11" s="15" t="str">
        <f aca="false">IF(OR($A11="",$H11&lt;&gt;"Complete"),"",IF($G11&gt;=30-0.0001,SUMIFS('3. Sample Data'!$X$6:$X$205,'3. Sample Data'!$A$6:$A$205,$A11),IF($G11&gt;15,"partial — to "&amp;TEXT($G11,"0.0")&amp;" cm","not reached")))</f>
        <v/>
      </c>
      <c r="O11" s="15" t="str">
        <f aca="false">IF(OR($A11="",$H11&lt;&gt;"Complete"),"",IF($G11&gt;=50-0.0001,SUMIFS('3. Sample Data'!$Y$6:$Y$205,'3. Sample Data'!$A$6:$A$205,$A11),IF($G11&gt;30,"partial — to "&amp;TEXT($G11,"0.0")&amp;" cm","not reached")))</f>
        <v/>
      </c>
      <c r="P11" s="15" t="str">
        <f aca="false">IF(OR($A11="",$H11&lt;&gt;"Complete"),"",IF($G11&gt;=100-0.0001,SUMIFS('3. Sample Data'!$Z$6:$Z$205,'3. Sample Data'!$A$6:$A$205,$A11),IF($G11&gt;50,"partial — to "&amp;TEXT($G11,"0.0")&amp;" cm","not reached")))</f>
        <v/>
      </c>
    </row>
    <row r="12" customFormat="false" ht="15" hidden="false" customHeight="false" outlineLevel="0" collapsed="false">
      <c r="A12" s="31" t="str">
        <f aca="false">IF('2. Plot &amp; Core Log'!$B$13="","",'2. Plot &amp; Core Log'!$B$13)</f>
        <v/>
      </c>
      <c r="B12" s="31" t="str">
        <f aca="false">IF($A12="","",IF('2. Plot &amp; Core Log'!$A$13="","",'2. Plot &amp; Core Log'!$A$13))</f>
        <v/>
      </c>
      <c r="C12" s="31" t="str">
        <f aca="false">IF($A12="","",IF('2. Plot &amp; Core Log'!$P$13="","",'2. Plot &amp; Core Log'!$P$13))</f>
        <v/>
      </c>
      <c r="D12" s="17" t="str">
        <f aca="false">IF($A12="","",COUNTIFS('3. Sample Data'!$A$6:$A$205,$A12))</f>
        <v/>
      </c>
      <c r="E12" s="17" t="str">
        <f aca="false">IF($A12="","",COUNTIFS('3. Sample Data'!$A$6:$A$205,$A12,'3. Sample Data'!$AA$6:$AA$205,"OK"))</f>
        <v/>
      </c>
      <c r="F12" s="16" t="str">
        <f aca="false">IF(OR($A12="",$D12=0),"",_xlfn.MAXIFS('3. Sample Data'!$D$6:$D$205,'3. Sample Data'!$A$6:$A$205,$A12))</f>
        <v/>
      </c>
      <c r="G12" s="16" t="str">
        <f aca="false">IF(OR($A12="",$D12=0),"",IFERROR(_xlfn.MAXIFS('3. Sample Data'!$J$6:$J$205,'3. Sample Data'!$A$6:$A$205,$A12),""))</f>
        <v/>
      </c>
      <c r="H12" s="17" t="str">
        <f aca="false">IF($A12="","",IF($D12=0,"No slices entered",IF(AND('2. Plot &amp; Core Log'!$O$13&lt;&gt;"OK",LEFT('2. Plot &amp; Core Log'!$O$13,7)&lt;&gt;"ASSUMED"),'2. Plot &amp; Core Log'!$O$13&amp;" (Sheet 2)",IF($E12&lt;$D12,"Not complete — see Slice check on Sheet 3","Complete"))))</f>
        <v/>
      </c>
      <c r="I12" s="15" t="str">
        <f aca="false">IF(OR($A12="",$H12&lt;&gt;"Complete"),"",SUMIFS('3. Sample Data'!$M$6:$M$205,'3. Sample Data'!$A$6:$A$205,$A12)/(PI()*(INDEX('2. Plot &amp; Core Log'!$S$6:$S$35,MATCH($A12,'2. Plot &amp; Core Log'!$B$6:$B$35,0))/2)^2*SUMIFS('3. Sample Data'!$F$6:$F$205,'3. Sample Data'!$A$6:$A$205,$A12)))</f>
        <v/>
      </c>
      <c r="J12" s="15" t="str">
        <f aca="false">IF(OR($A12="",$H12&lt;&gt;"Complete"),"",100*SUMIFS('3. Sample Data'!$U$6:$U$205,'3. Sample Data'!$A$6:$A$205,$A12)/(SUMIFS('3. Sample Data'!$M$6:$M$205,'3. Sample Data'!$A$6:$A$205,$A12)/(PI()*(INDEX('2. Plot &amp; Core Log'!$S$6:$S$35,MATCH($A12,'2. Plot &amp; Core Log'!$B$6:$B$35,0))/2)^2)))</f>
        <v/>
      </c>
      <c r="K12" s="15" t="str">
        <f aca="false">IF(OR($A12="",$H12&lt;&gt;"Complete"),"",SUMIFS('3. Sample Data'!$V$6:$V$205,'3. Sample Data'!$A$6:$A$205,$A12))</f>
        <v/>
      </c>
      <c r="L12" s="16" t="str">
        <f aca="false">IF($K12="","",$K12*10)</f>
        <v/>
      </c>
      <c r="M12" s="15" t="str">
        <f aca="false">IF(OR($A12="",$H12&lt;&gt;"Complete"),"",IF($G12&gt;=15-0.0001,SUMIFS('3. Sample Data'!$W$6:$W$205,'3. Sample Data'!$A$6:$A$205,$A12),IF($G12&gt;0,"partial — to "&amp;TEXT($G12,"0.0")&amp;" cm","not reached")))</f>
        <v/>
      </c>
      <c r="N12" s="15" t="str">
        <f aca="false">IF(OR($A12="",$H12&lt;&gt;"Complete"),"",IF($G12&gt;=30-0.0001,SUMIFS('3. Sample Data'!$X$6:$X$205,'3. Sample Data'!$A$6:$A$205,$A12),IF($G12&gt;15,"partial — to "&amp;TEXT($G12,"0.0")&amp;" cm","not reached")))</f>
        <v/>
      </c>
      <c r="O12" s="15" t="str">
        <f aca="false">IF(OR($A12="",$H12&lt;&gt;"Complete"),"",IF($G12&gt;=50-0.0001,SUMIFS('3. Sample Data'!$Y$6:$Y$205,'3. Sample Data'!$A$6:$A$205,$A12),IF($G12&gt;30,"partial — to "&amp;TEXT($G12,"0.0")&amp;" cm","not reached")))</f>
        <v/>
      </c>
      <c r="P12" s="15" t="str">
        <f aca="false">IF(OR($A12="",$H12&lt;&gt;"Complete"),"",IF($G12&gt;=100-0.0001,SUMIFS('3. Sample Data'!$Z$6:$Z$205,'3. Sample Data'!$A$6:$A$205,$A12),IF($G12&gt;50,"partial — to "&amp;TEXT($G12,"0.0")&amp;" cm","not reached")))</f>
        <v/>
      </c>
    </row>
    <row r="13" customFormat="false" ht="15" hidden="false" customHeight="false" outlineLevel="0" collapsed="false">
      <c r="A13" s="31" t="str">
        <f aca="false">IF('2. Plot &amp; Core Log'!$B$14="","",'2. Plot &amp; Core Log'!$B$14)</f>
        <v/>
      </c>
      <c r="B13" s="31" t="str">
        <f aca="false">IF($A13="","",IF('2. Plot &amp; Core Log'!$A$14="","",'2. Plot &amp; Core Log'!$A$14))</f>
        <v/>
      </c>
      <c r="C13" s="31" t="str">
        <f aca="false">IF($A13="","",IF('2. Plot &amp; Core Log'!$P$14="","",'2. Plot &amp; Core Log'!$P$14))</f>
        <v/>
      </c>
      <c r="D13" s="17" t="str">
        <f aca="false">IF($A13="","",COUNTIFS('3. Sample Data'!$A$6:$A$205,$A13))</f>
        <v/>
      </c>
      <c r="E13" s="17" t="str">
        <f aca="false">IF($A13="","",COUNTIFS('3. Sample Data'!$A$6:$A$205,$A13,'3. Sample Data'!$AA$6:$AA$205,"OK"))</f>
        <v/>
      </c>
      <c r="F13" s="16" t="str">
        <f aca="false">IF(OR($A13="",$D13=0),"",_xlfn.MAXIFS('3. Sample Data'!$D$6:$D$205,'3. Sample Data'!$A$6:$A$205,$A13))</f>
        <v/>
      </c>
      <c r="G13" s="16" t="str">
        <f aca="false">IF(OR($A13="",$D13=0),"",IFERROR(_xlfn.MAXIFS('3. Sample Data'!$J$6:$J$205,'3. Sample Data'!$A$6:$A$205,$A13),""))</f>
        <v/>
      </c>
      <c r="H13" s="17" t="str">
        <f aca="false">IF($A13="","",IF($D13=0,"No slices entered",IF(AND('2. Plot &amp; Core Log'!$O$14&lt;&gt;"OK",LEFT('2. Plot &amp; Core Log'!$O$14,7)&lt;&gt;"ASSUMED"),'2. Plot &amp; Core Log'!$O$14&amp;" (Sheet 2)",IF($E13&lt;$D13,"Not complete — see Slice check on Sheet 3","Complete"))))</f>
        <v/>
      </c>
      <c r="I13" s="15" t="str">
        <f aca="false">IF(OR($A13="",$H13&lt;&gt;"Complete"),"",SUMIFS('3. Sample Data'!$M$6:$M$205,'3. Sample Data'!$A$6:$A$205,$A13)/(PI()*(INDEX('2. Plot &amp; Core Log'!$S$6:$S$35,MATCH($A13,'2. Plot &amp; Core Log'!$B$6:$B$35,0))/2)^2*SUMIFS('3. Sample Data'!$F$6:$F$205,'3. Sample Data'!$A$6:$A$205,$A13)))</f>
        <v/>
      </c>
      <c r="J13" s="15" t="str">
        <f aca="false">IF(OR($A13="",$H13&lt;&gt;"Complete"),"",100*SUMIFS('3. Sample Data'!$U$6:$U$205,'3. Sample Data'!$A$6:$A$205,$A13)/(SUMIFS('3. Sample Data'!$M$6:$M$205,'3. Sample Data'!$A$6:$A$205,$A13)/(PI()*(INDEX('2. Plot &amp; Core Log'!$S$6:$S$35,MATCH($A13,'2. Plot &amp; Core Log'!$B$6:$B$35,0))/2)^2)))</f>
        <v/>
      </c>
      <c r="K13" s="15" t="str">
        <f aca="false">IF(OR($A13="",$H13&lt;&gt;"Complete"),"",SUMIFS('3. Sample Data'!$V$6:$V$205,'3. Sample Data'!$A$6:$A$205,$A13))</f>
        <v/>
      </c>
      <c r="L13" s="16" t="str">
        <f aca="false">IF($K13="","",$K13*10)</f>
        <v/>
      </c>
      <c r="M13" s="15" t="str">
        <f aca="false">IF(OR($A13="",$H13&lt;&gt;"Complete"),"",IF($G13&gt;=15-0.0001,SUMIFS('3. Sample Data'!$W$6:$W$205,'3. Sample Data'!$A$6:$A$205,$A13),IF($G13&gt;0,"partial — to "&amp;TEXT($G13,"0.0")&amp;" cm","not reached")))</f>
        <v/>
      </c>
      <c r="N13" s="15" t="str">
        <f aca="false">IF(OR($A13="",$H13&lt;&gt;"Complete"),"",IF($G13&gt;=30-0.0001,SUMIFS('3. Sample Data'!$X$6:$X$205,'3. Sample Data'!$A$6:$A$205,$A13),IF($G13&gt;15,"partial — to "&amp;TEXT($G13,"0.0")&amp;" cm","not reached")))</f>
        <v/>
      </c>
      <c r="O13" s="15" t="str">
        <f aca="false">IF(OR($A13="",$H13&lt;&gt;"Complete"),"",IF($G13&gt;=50-0.0001,SUMIFS('3. Sample Data'!$Y$6:$Y$205,'3. Sample Data'!$A$6:$A$205,$A13),IF($G13&gt;30,"partial — to "&amp;TEXT($G13,"0.0")&amp;" cm","not reached")))</f>
        <v/>
      </c>
      <c r="P13" s="15" t="str">
        <f aca="false">IF(OR($A13="",$H13&lt;&gt;"Complete"),"",IF($G13&gt;=100-0.0001,SUMIFS('3. Sample Data'!$Z$6:$Z$205,'3. Sample Data'!$A$6:$A$205,$A13),IF($G13&gt;50,"partial — to "&amp;TEXT($G13,"0.0")&amp;" cm","not reached")))</f>
        <v/>
      </c>
    </row>
    <row r="14" customFormat="false" ht="15" hidden="false" customHeight="false" outlineLevel="0" collapsed="false">
      <c r="A14" s="31" t="str">
        <f aca="false">IF('2. Plot &amp; Core Log'!$B$15="","",'2. Plot &amp; Core Log'!$B$15)</f>
        <v/>
      </c>
      <c r="B14" s="31" t="str">
        <f aca="false">IF($A14="","",IF('2. Plot &amp; Core Log'!$A$15="","",'2. Plot &amp; Core Log'!$A$15))</f>
        <v/>
      </c>
      <c r="C14" s="31" t="str">
        <f aca="false">IF($A14="","",IF('2. Plot &amp; Core Log'!$P$15="","",'2. Plot &amp; Core Log'!$P$15))</f>
        <v/>
      </c>
      <c r="D14" s="17" t="str">
        <f aca="false">IF($A14="","",COUNTIFS('3. Sample Data'!$A$6:$A$205,$A14))</f>
        <v/>
      </c>
      <c r="E14" s="17" t="str">
        <f aca="false">IF($A14="","",COUNTIFS('3. Sample Data'!$A$6:$A$205,$A14,'3. Sample Data'!$AA$6:$AA$205,"OK"))</f>
        <v/>
      </c>
      <c r="F14" s="16" t="str">
        <f aca="false">IF(OR($A14="",$D14=0),"",_xlfn.MAXIFS('3. Sample Data'!$D$6:$D$205,'3. Sample Data'!$A$6:$A$205,$A14))</f>
        <v/>
      </c>
      <c r="G14" s="16" t="str">
        <f aca="false">IF(OR($A14="",$D14=0),"",IFERROR(_xlfn.MAXIFS('3. Sample Data'!$J$6:$J$205,'3. Sample Data'!$A$6:$A$205,$A14),""))</f>
        <v/>
      </c>
      <c r="H14" s="17" t="str">
        <f aca="false">IF($A14="","",IF($D14=0,"No slices entered",IF(AND('2. Plot &amp; Core Log'!$O$15&lt;&gt;"OK",LEFT('2. Plot &amp; Core Log'!$O$15,7)&lt;&gt;"ASSUMED"),'2. Plot &amp; Core Log'!$O$15&amp;" (Sheet 2)",IF($E14&lt;$D14,"Not complete — see Slice check on Sheet 3","Complete"))))</f>
        <v/>
      </c>
      <c r="I14" s="15" t="str">
        <f aca="false">IF(OR($A14="",$H14&lt;&gt;"Complete"),"",SUMIFS('3. Sample Data'!$M$6:$M$205,'3. Sample Data'!$A$6:$A$205,$A14)/(PI()*(INDEX('2. Plot &amp; Core Log'!$S$6:$S$35,MATCH($A14,'2. Plot &amp; Core Log'!$B$6:$B$35,0))/2)^2*SUMIFS('3. Sample Data'!$F$6:$F$205,'3. Sample Data'!$A$6:$A$205,$A14)))</f>
        <v/>
      </c>
      <c r="J14" s="15" t="str">
        <f aca="false">IF(OR($A14="",$H14&lt;&gt;"Complete"),"",100*SUMIFS('3. Sample Data'!$U$6:$U$205,'3. Sample Data'!$A$6:$A$205,$A14)/(SUMIFS('3. Sample Data'!$M$6:$M$205,'3. Sample Data'!$A$6:$A$205,$A14)/(PI()*(INDEX('2. Plot &amp; Core Log'!$S$6:$S$35,MATCH($A14,'2. Plot &amp; Core Log'!$B$6:$B$35,0))/2)^2)))</f>
        <v/>
      </c>
      <c r="K14" s="15" t="str">
        <f aca="false">IF(OR($A14="",$H14&lt;&gt;"Complete"),"",SUMIFS('3. Sample Data'!$V$6:$V$205,'3. Sample Data'!$A$6:$A$205,$A14))</f>
        <v/>
      </c>
      <c r="L14" s="16" t="str">
        <f aca="false">IF($K14="","",$K14*10)</f>
        <v/>
      </c>
      <c r="M14" s="15" t="str">
        <f aca="false">IF(OR($A14="",$H14&lt;&gt;"Complete"),"",IF($G14&gt;=15-0.0001,SUMIFS('3. Sample Data'!$W$6:$W$205,'3. Sample Data'!$A$6:$A$205,$A14),IF($G14&gt;0,"partial — to "&amp;TEXT($G14,"0.0")&amp;" cm","not reached")))</f>
        <v/>
      </c>
      <c r="N14" s="15" t="str">
        <f aca="false">IF(OR($A14="",$H14&lt;&gt;"Complete"),"",IF($G14&gt;=30-0.0001,SUMIFS('3. Sample Data'!$X$6:$X$205,'3. Sample Data'!$A$6:$A$205,$A14),IF($G14&gt;15,"partial — to "&amp;TEXT($G14,"0.0")&amp;" cm","not reached")))</f>
        <v/>
      </c>
      <c r="O14" s="15" t="str">
        <f aca="false">IF(OR($A14="",$H14&lt;&gt;"Complete"),"",IF($G14&gt;=50-0.0001,SUMIFS('3. Sample Data'!$Y$6:$Y$205,'3. Sample Data'!$A$6:$A$205,$A14),IF($G14&gt;30,"partial — to "&amp;TEXT($G14,"0.0")&amp;" cm","not reached")))</f>
        <v/>
      </c>
      <c r="P14" s="15" t="str">
        <f aca="false">IF(OR($A14="",$H14&lt;&gt;"Complete"),"",IF($G14&gt;=100-0.0001,SUMIFS('3. Sample Data'!$Z$6:$Z$205,'3. Sample Data'!$A$6:$A$205,$A14),IF($G14&gt;50,"partial — to "&amp;TEXT($G14,"0.0")&amp;" cm","not reached")))</f>
        <v/>
      </c>
    </row>
    <row r="15" customFormat="false" ht="15" hidden="false" customHeight="false" outlineLevel="0" collapsed="false">
      <c r="A15" s="31" t="str">
        <f aca="false">IF('2. Plot &amp; Core Log'!$B$16="","",'2. Plot &amp; Core Log'!$B$16)</f>
        <v/>
      </c>
      <c r="B15" s="31" t="str">
        <f aca="false">IF($A15="","",IF('2. Plot &amp; Core Log'!$A$16="","",'2. Plot &amp; Core Log'!$A$16))</f>
        <v/>
      </c>
      <c r="C15" s="31" t="str">
        <f aca="false">IF($A15="","",IF('2. Plot &amp; Core Log'!$P$16="","",'2. Plot &amp; Core Log'!$P$16))</f>
        <v/>
      </c>
      <c r="D15" s="17" t="str">
        <f aca="false">IF($A15="","",COUNTIFS('3. Sample Data'!$A$6:$A$205,$A15))</f>
        <v/>
      </c>
      <c r="E15" s="17" t="str">
        <f aca="false">IF($A15="","",COUNTIFS('3. Sample Data'!$A$6:$A$205,$A15,'3. Sample Data'!$AA$6:$AA$205,"OK"))</f>
        <v/>
      </c>
      <c r="F15" s="16" t="str">
        <f aca="false">IF(OR($A15="",$D15=0),"",_xlfn.MAXIFS('3. Sample Data'!$D$6:$D$205,'3. Sample Data'!$A$6:$A$205,$A15))</f>
        <v/>
      </c>
      <c r="G15" s="16" t="str">
        <f aca="false">IF(OR($A15="",$D15=0),"",IFERROR(_xlfn.MAXIFS('3. Sample Data'!$J$6:$J$205,'3. Sample Data'!$A$6:$A$205,$A15),""))</f>
        <v/>
      </c>
      <c r="H15" s="17" t="str">
        <f aca="false">IF($A15="","",IF($D15=0,"No slices entered",IF(AND('2. Plot &amp; Core Log'!$O$16&lt;&gt;"OK",LEFT('2. Plot &amp; Core Log'!$O$16,7)&lt;&gt;"ASSUMED"),'2. Plot &amp; Core Log'!$O$16&amp;" (Sheet 2)",IF($E15&lt;$D15,"Not complete — see Slice check on Sheet 3","Complete"))))</f>
        <v/>
      </c>
      <c r="I15" s="15" t="str">
        <f aca="false">IF(OR($A15="",$H15&lt;&gt;"Complete"),"",SUMIFS('3. Sample Data'!$M$6:$M$205,'3. Sample Data'!$A$6:$A$205,$A15)/(PI()*(INDEX('2. Plot &amp; Core Log'!$S$6:$S$35,MATCH($A15,'2. Plot &amp; Core Log'!$B$6:$B$35,0))/2)^2*SUMIFS('3. Sample Data'!$F$6:$F$205,'3. Sample Data'!$A$6:$A$205,$A15)))</f>
        <v/>
      </c>
      <c r="J15" s="15" t="str">
        <f aca="false">IF(OR($A15="",$H15&lt;&gt;"Complete"),"",100*SUMIFS('3. Sample Data'!$U$6:$U$205,'3. Sample Data'!$A$6:$A$205,$A15)/(SUMIFS('3. Sample Data'!$M$6:$M$205,'3. Sample Data'!$A$6:$A$205,$A15)/(PI()*(INDEX('2. Plot &amp; Core Log'!$S$6:$S$35,MATCH($A15,'2. Plot &amp; Core Log'!$B$6:$B$35,0))/2)^2)))</f>
        <v/>
      </c>
      <c r="K15" s="15" t="str">
        <f aca="false">IF(OR($A15="",$H15&lt;&gt;"Complete"),"",SUMIFS('3. Sample Data'!$V$6:$V$205,'3. Sample Data'!$A$6:$A$205,$A15))</f>
        <v/>
      </c>
      <c r="L15" s="16" t="str">
        <f aca="false">IF($K15="","",$K15*10)</f>
        <v/>
      </c>
      <c r="M15" s="15" t="str">
        <f aca="false">IF(OR($A15="",$H15&lt;&gt;"Complete"),"",IF($G15&gt;=15-0.0001,SUMIFS('3. Sample Data'!$W$6:$W$205,'3. Sample Data'!$A$6:$A$205,$A15),IF($G15&gt;0,"partial — to "&amp;TEXT($G15,"0.0")&amp;" cm","not reached")))</f>
        <v/>
      </c>
      <c r="N15" s="15" t="str">
        <f aca="false">IF(OR($A15="",$H15&lt;&gt;"Complete"),"",IF($G15&gt;=30-0.0001,SUMIFS('3. Sample Data'!$X$6:$X$205,'3. Sample Data'!$A$6:$A$205,$A15),IF($G15&gt;15,"partial — to "&amp;TEXT($G15,"0.0")&amp;" cm","not reached")))</f>
        <v/>
      </c>
      <c r="O15" s="15" t="str">
        <f aca="false">IF(OR($A15="",$H15&lt;&gt;"Complete"),"",IF($G15&gt;=50-0.0001,SUMIFS('3. Sample Data'!$Y$6:$Y$205,'3. Sample Data'!$A$6:$A$205,$A15),IF($G15&gt;30,"partial — to "&amp;TEXT($G15,"0.0")&amp;" cm","not reached")))</f>
        <v/>
      </c>
      <c r="P15" s="15" t="str">
        <f aca="false">IF(OR($A15="",$H15&lt;&gt;"Complete"),"",IF($G15&gt;=100-0.0001,SUMIFS('3. Sample Data'!$Z$6:$Z$205,'3. Sample Data'!$A$6:$A$205,$A15),IF($G15&gt;50,"partial — to "&amp;TEXT($G15,"0.0")&amp;" cm","not reached")))</f>
        <v/>
      </c>
    </row>
    <row r="16" customFormat="false" ht="15" hidden="false" customHeight="false" outlineLevel="0" collapsed="false">
      <c r="A16" s="31" t="str">
        <f aca="false">IF('2. Plot &amp; Core Log'!$B$17="","",'2. Plot &amp; Core Log'!$B$17)</f>
        <v/>
      </c>
      <c r="B16" s="31" t="str">
        <f aca="false">IF($A16="","",IF('2. Plot &amp; Core Log'!$A$17="","",'2. Plot &amp; Core Log'!$A$17))</f>
        <v/>
      </c>
      <c r="C16" s="31" t="str">
        <f aca="false">IF($A16="","",IF('2. Plot &amp; Core Log'!$P$17="","",'2. Plot &amp; Core Log'!$P$17))</f>
        <v/>
      </c>
      <c r="D16" s="17" t="str">
        <f aca="false">IF($A16="","",COUNTIFS('3. Sample Data'!$A$6:$A$205,$A16))</f>
        <v/>
      </c>
      <c r="E16" s="17" t="str">
        <f aca="false">IF($A16="","",COUNTIFS('3. Sample Data'!$A$6:$A$205,$A16,'3. Sample Data'!$AA$6:$AA$205,"OK"))</f>
        <v/>
      </c>
      <c r="F16" s="16" t="str">
        <f aca="false">IF(OR($A16="",$D16=0),"",_xlfn.MAXIFS('3. Sample Data'!$D$6:$D$205,'3. Sample Data'!$A$6:$A$205,$A16))</f>
        <v/>
      </c>
      <c r="G16" s="16" t="str">
        <f aca="false">IF(OR($A16="",$D16=0),"",IFERROR(_xlfn.MAXIFS('3. Sample Data'!$J$6:$J$205,'3. Sample Data'!$A$6:$A$205,$A16),""))</f>
        <v/>
      </c>
      <c r="H16" s="17" t="str">
        <f aca="false">IF($A16="","",IF($D16=0,"No slices entered",IF(AND('2. Plot &amp; Core Log'!$O$17&lt;&gt;"OK",LEFT('2. Plot &amp; Core Log'!$O$17,7)&lt;&gt;"ASSUMED"),'2. Plot &amp; Core Log'!$O$17&amp;" (Sheet 2)",IF($E16&lt;$D16,"Not complete — see Slice check on Sheet 3","Complete"))))</f>
        <v/>
      </c>
      <c r="I16" s="15" t="str">
        <f aca="false">IF(OR($A16="",$H16&lt;&gt;"Complete"),"",SUMIFS('3. Sample Data'!$M$6:$M$205,'3. Sample Data'!$A$6:$A$205,$A16)/(PI()*(INDEX('2. Plot &amp; Core Log'!$S$6:$S$35,MATCH($A16,'2. Plot &amp; Core Log'!$B$6:$B$35,0))/2)^2*SUMIFS('3. Sample Data'!$F$6:$F$205,'3. Sample Data'!$A$6:$A$205,$A16)))</f>
        <v/>
      </c>
      <c r="J16" s="15" t="str">
        <f aca="false">IF(OR($A16="",$H16&lt;&gt;"Complete"),"",100*SUMIFS('3. Sample Data'!$U$6:$U$205,'3. Sample Data'!$A$6:$A$205,$A16)/(SUMIFS('3. Sample Data'!$M$6:$M$205,'3. Sample Data'!$A$6:$A$205,$A16)/(PI()*(INDEX('2. Plot &amp; Core Log'!$S$6:$S$35,MATCH($A16,'2. Plot &amp; Core Log'!$B$6:$B$35,0))/2)^2)))</f>
        <v/>
      </c>
      <c r="K16" s="15" t="str">
        <f aca="false">IF(OR($A16="",$H16&lt;&gt;"Complete"),"",SUMIFS('3. Sample Data'!$V$6:$V$205,'3. Sample Data'!$A$6:$A$205,$A16))</f>
        <v/>
      </c>
      <c r="L16" s="16" t="str">
        <f aca="false">IF($K16="","",$K16*10)</f>
        <v/>
      </c>
      <c r="M16" s="15" t="str">
        <f aca="false">IF(OR($A16="",$H16&lt;&gt;"Complete"),"",IF($G16&gt;=15-0.0001,SUMIFS('3. Sample Data'!$W$6:$W$205,'3. Sample Data'!$A$6:$A$205,$A16),IF($G16&gt;0,"partial — to "&amp;TEXT($G16,"0.0")&amp;" cm","not reached")))</f>
        <v/>
      </c>
      <c r="N16" s="15" t="str">
        <f aca="false">IF(OR($A16="",$H16&lt;&gt;"Complete"),"",IF($G16&gt;=30-0.0001,SUMIFS('3. Sample Data'!$X$6:$X$205,'3. Sample Data'!$A$6:$A$205,$A16),IF($G16&gt;15,"partial — to "&amp;TEXT($G16,"0.0")&amp;" cm","not reached")))</f>
        <v/>
      </c>
      <c r="O16" s="15" t="str">
        <f aca="false">IF(OR($A16="",$H16&lt;&gt;"Complete"),"",IF($G16&gt;=50-0.0001,SUMIFS('3. Sample Data'!$Y$6:$Y$205,'3. Sample Data'!$A$6:$A$205,$A16),IF($G16&gt;30,"partial — to "&amp;TEXT($G16,"0.0")&amp;" cm","not reached")))</f>
        <v/>
      </c>
      <c r="P16" s="15" t="str">
        <f aca="false">IF(OR($A16="",$H16&lt;&gt;"Complete"),"",IF($G16&gt;=100-0.0001,SUMIFS('3. Sample Data'!$Z$6:$Z$205,'3. Sample Data'!$A$6:$A$205,$A16),IF($G16&gt;50,"partial — to "&amp;TEXT($G16,"0.0")&amp;" cm","not reached")))</f>
        <v/>
      </c>
    </row>
    <row r="17" customFormat="false" ht="15" hidden="false" customHeight="false" outlineLevel="0" collapsed="false">
      <c r="A17" s="31" t="str">
        <f aca="false">IF('2. Plot &amp; Core Log'!$B$18="","",'2. Plot &amp; Core Log'!$B$18)</f>
        <v/>
      </c>
      <c r="B17" s="31" t="str">
        <f aca="false">IF($A17="","",IF('2. Plot &amp; Core Log'!$A$18="","",'2. Plot &amp; Core Log'!$A$18))</f>
        <v/>
      </c>
      <c r="C17" s="31" t="str">
        <f aca="false">IF($A17="","",IF('2. Plot &amp; Core Log'!$P$18="","",'2. Plot &amp; Core Log'!$P$18))</f>
        <v/>
      </c>
      <c r="D17" s="17" t="str">
        <f aca="false">IF($A17="","",COUNTIFS('3. Sample Data'!$A$6:$A$205,$A17))</f>
        <v/>
      </c>
      <c r="E17" s="17" t="str">
        <f aca="false">IF($A17="","",COUNTIFS('3. Sample Data'!$A$6:$A$205,$A17,'3. Sample Data'!$AA$6:$AA$205,"OK"))</f>
        <v/>
      </c>
      <c r="F17" s="16" t="str">
        <f aca="false">IF(OR($A17="",$D17=0),"",_xlfn.MAXIFS('3. Sample Data'!$D$6:$D$205,'3. Sample Data'!$A$6:$A$205,$A17))</f>
        <v/>
      </c>
      <c r="G17" s="16" t="str">
        <f aca="false">IF(OR($A17="",$D17=0),"",IFERROR(_xlfn.MAXIFS('3. Sample Data'!$J$6:$J$205,'3. Sample Data'!$A$6:$A$205,$A17),""))</f>
        <v/>
      </c>
      <c r="H17" s="17" t="str">
        <f aca="false">IF($A17="","",IF($D17=0,"No slices entered",IF(AND('2. Plot &amp; Core Log'!$O$18&lt;&gt;"OK",LEFT('2. Plot &amp; Core Log'!$O$18,7)&lt;&gt;"ASSUMED"),'2. Plot &amp; Core Log'!$O$18&amp;" (Sheet 2)",IF($E17&lt;$D17,"Not complete — see Slice check on Sheet 3","Complete"))))</f>
        <v/>
      </c>
      <c r="I17" s="15" t="str">
        <f aca="false">IF(OR($A17="",$H17&lt;&gt;"Complete"),"",SUMIFS('3. Sample Data'!$M$6:$M$205,'3. Sample Data'!$A$6:$A$205,$A17)/(PI()*(INDEX('2. Plot &amp; Core Log'!$S$6:$S$35,MATCH($A17,'2. Plot &amp; Core Log'!$B$6:$B$35,0))/2)^2*SUMIFS('3. Sample Data'!$F$6:$F$205,'3. Sample Data'!$A$6:$A$205,$A17)))</f>
        <v/>
      </c>
      <c r="J17" s="15" t="str">
        <f aca="false">IF(OR($A17="",$H17&lt;&gt;"Complete"),"",100*SUMIFS('3. Sample Data'!$U$6:$U$205,'3. Sample Data'!$A$6:$A$205,$A17)/(SUMIFS('3. Sample Data'!$M$6:$M$205,'3. Sample Data'!$A$6:$A$205,$A17)/(PI()*(INDEX('2. Plot &amp; Core Log'!$S$6:$S$35,MATCH($A17,'2. Plot &amp; Core Log'!$B$6:$B$35,0))/2)^2)))</f>
        <v/>
      </c>
      <c r="K17" s="15" t="str">
        <f aca="false">IF(OR($A17="",$H17&lt;&gt;"Complete"),"",SUMIFS('3. Sample Data'!$V$6:$V$205,'3. Sample Data'!$A$6:$A$205,$A17))</f>
        <v/>
      </c>
      <c r="L17" s="16" t="str">
        <f aca="false">IF($K17="","",$K17*10)</f>
        <v/>
      </c>
      <c r="M17" s="15" t="str">
        <f aca="false">IF(OR($A17="",$H17&lt;&gt;"Complete"),"",IF($G17&gt;=15-0.0001,SUMIFS('3. Sample Data'!$W$6:$W$205,'3. Sample Data'!$A$6:$A$205,$A17),IF($G17&gt;0,"partial — to "&amp;TEXT($G17,"0.0")&amp;" cm","not reached")))</f>
        <v/>
      </c>
      <c r="N17" s="15" t="str">
        <f aca="false">IF(OR($A17="",$H17&lt;&gt;"Complete"),"",IF($G17&gt;=30-0.0001,SUMIFS('3. Sample Data'!$X$6:$X$205,'3. Sample Data'!$A$6:$A$205,$A17),IF($G17&gt;15,"partial — to "&amp;TEXT($G17,"0.0")&amp;" cm","not reached")))</f>
        <v/>
      </c>
      <c r="O17" s="15" t="str">
        <f aca="false">IF(OR($A17="",$H17&lt;&gt;"Complete"),"",IF($G17&gt;=50-0.0001,SUMIFS('3. Sample Data'!$Y$6:$Y$205,'3. Sample Data'!$A$6:$A$205,$A17),IF($G17&gt;30,"partial — to "&amp;TEXT($G17,"0.0")&amp;" cm","not reached")))</f>
        <v/>
      </c>
      <c r="P17" s="15" t="str">
        <f aca="false">IF(OR($A17="",$H17&lt;&gt;"Complete"),"",IF($G17&gt;=100-0.0001,SUMIFS('3. Sample Data'!$Z$6:$Z$205,'3. Sample Data'!$A$6:$A$205,$A17),IF($G17&gt;50,"partial — to "&amp;TEXT($G17,"0.0")&amp;" cm","not reached")))</f>
        <v/>
      </c>
    </row>
    <row r="18" customFormat="false" ht="15" hidden="false" customHeight="false" outlineLevel="0" collapsed="false">
      <c r="A18" s="31" t="str">
        <f aca="false">IF('2. Plot &amp; Core Log'!$B$19="","",'2. Plot &amp; Core Log'!$B$19)</f>
        <v/>
      </c>
      <c r="B18" s="31" t="str">
        <f aca="false">IF($A18="","",IF('2. Plot &amp; Core Log'!$A$19="","",'2. Plot &amp; Core Log'!$A$19))</f>
        <v/>
      </c>
      <c r="C18" s="31" t="str">
        <f aca="false">IF($A18="","",IF('2. Plot &amp; Core Log'!$P$19="","",'2. Plot &amp; Core Log'!$P$19))</f>
        <v/>
      </c>
      <c r="D18" s="17" t="str">
        <f aca="false">IF($A18="","",COUNTIFS('3. Sample Data'!$A$6:$A$205,$A18))</f>
        <v/>
      </c>
      <c r="E18" s="17" t="str">
        <f aca="false">IF($A18="","",COUNTIFS('3. Sample Data'!$A$6:$A$205,$A18,'3. Sample Data'!$AA$6:$AA$205,"OK"))</f>
        <v/>
      </c>
      <c r="F18" s="16" t="str">
        <f aca="false">IF(OR($A18="",$D18=0),"",_xlfn.MAXIFS('3. Sample Data'!$D$6:$D$205,'3. Sample Data'!$A$6:$A$205,$A18))</f>
        <v/>
      </c>
      <c r="G18" s="16" t="str">
        <f aca="false">IF(OR($A18="",$D18=0),"",IFERROR(_xlfn.MAXIFS('3. Sample Data'!$J$6:$J$205,'3. Sample Data'!$A$6:$A$205,$A18),""))</f>
        <v/>
      </c>
      <c r="H18" s="17" t="str">
        <f aca="false">IF($A18="","",IF($D18=0,"No slices entered",IF(AND('2. Plot &amp; Core Log'!$O$19&lt;&gt;"OK",LEFT('2. Plot &amp; Core Log'!$O$19,7)&lt;&gt;"ASSUMED"),'2. Plot &amp; Core Log'!$O$19&amp;" (Sheet 2)",IF($E18&lt;$D18,"Not complete — see Slice check on Sheet 3","Complete"))))</f>
        <v/>
      </c>
      <c r="I18" s="15" t="str">
        <f aca="false">IF(OR($A18="",$H18&lt;&gt;"Complete"),"",SUMIFS('3. Sample Data'!$M$6:$M$205,'3. Sample Data'!$A$6:$A$205,$A18)/(PI()*(INDEX('2. Plot &amp; Core Log'!$S$6:$S$35,MATCH($A18,'2. Plot &amp; Core Log'!$B$6:$B$35,0))/2)^2*SUMIFS('3. Sample Data'!$F$6:$F$205,'3. Sample Data'!$A$6:$A$205,$A18)))</f>
        <v/>
      </c>
      <c r="J18" s="15" t="str">
        <f aca="false">IF(OR($A18="",$H18&lt;&gt;"Complete"),"",100*SUMIFS('3. Sample Data'!$U$6:$U$205,'3. Sample Data'!$A$6:$A$205,$A18)/(SUMIFS('3. Sample Data'!$M$6:$M$205,'3. Sample Data'!$A$6:$A$205,$A18)/(PI()*(INDEX('2. Plot &amp; Core Log'!$S$6:$S$35,MATCH($A18,'2. Plot &amp; Core Log'!$B$6:$B$35,0))/2)^2)))</f>
        <v/>
      </c>
      <c r="K18" s="15" t="str">
        <f aca="false">IF(OR($A18="",$H18&lt;&gt;"Complete"),"",SUMIFS('3. Sample Data'!$V$6:$V$205,'3. Sample Data'!$A$6:$A$205,$A18))</f>
        <v/>
      </c>
      <c r="L18" s="16" t="str">
        <f aca="false">IF($K18="","",$K18*10)</f>
        <v/>
      </c>
      <c r="M18" s="15" t="str">
        <f aca="false">IF(OR($A18="",$H18&lt;&gt;"Complete"),"",IF($G18&gt;=15-0.0001,SUMIFS('3. Sample Data'!$W$6:$W$205,'3. Sample Data'!$A$6:$A$205,$A18),IF($G18&gt;0,"partial — to "&amp;TEXT($G18,"0.0")&amp;" cm","not reached")))</f>
        <v/>
      </c>
      <c r="N18" s="15" t="str">
        <f aca="false">IF(OR($A18="",$H18&lt;&gt;"Complete"),"",IF($G18&gt;=30-0.0001,SUMIFS('3. Sample Data'!$X$6:$X$205,'3. Sample Data'!$A$6:$A$205,$A18),IF($G18&gt;15,"partial — to "&amp;TEXT($G18,"0.0")&amp;" cm","not reached")))</f>
        <v/>
      </c>
      <c r="O18" s="15" t="str">
        <f aca="false">IF(OR($A18="",$H18&lt;&gt;"Complete"),"",IF($G18&gt;=50-0.0001,SUMIFS('3. Sample Data'!$Y$6:$Y$205,'3. Sample Data'!$A$6:$A$205,$A18),IF($G18&gt;30,"partial — to "&amp;TEXT($G18,"0.0")&amp;" cm","not reached")))</f>
        <v/>
      </c>
      <c r="P18" s="15" t="str">
        <f aca="false">IF(OR($A18="",$H18&lt;&gt;"Complete"),"",IF($G18&gt;=100-0.0001,SUMIFS('3. Sample Data'!$Z$6:$Z$205,'3. Sample Data'!$A$6:$A$205,$A18),IF($G18&gt;50,"partial — to "&amp;TEXT($G18,"0.0")&amp;" cm","not reached")))</f>
        <v/>
      </c>
    </row>
    <row r="19" customFormat="false" ht="15" hidden="false" customHeight="false" outlineLevel="0" collapsed="false">
      <c r="A19" s="31" t="str">
        <f aca="false">IF('2. Plot &amp; Core Log'!$B$20="","",'2. Plot &amp; Core Log'!$B$20)</f>
        <v/>
      </c>
      <c r="B19" s="31" t="str">
        <f aca="false">IF($A19="","",IF('2. Plot &amp; Core Log'!$A$20="","",'2. Plot &amp; Core Log'!$A$20))</f>
        <v/>
      </c>
      <c r="C19" s="31" t="str">
        <f aca="false">IF($A19="","",IF('2. Plot &amp; Core Log'!$P$20="","",'2. Plot &amp; Core Log'!$P$20))</f>
        <v/>
      </c>
      <c r="D19" s="17" t="str">
        <f aca="false">IF($A19="","",COUNTIFS('3. Sample Data'!$A$6:$A$205,$A19))</f>
        <v/>
      </c>
      <c r="E19" s="17" t="str">
        <f aca="false">IF($A19="","",COUNTIFS('3. Sample Data'!$A$6:$A$205,$A19,'3. Sample Data'!$AA$6:$AA$205,"OK"))</f>
        <v/>
      </c>
      <c r="F19" s="16" t="str">
        <f aca="false">IF(OR($A19="",$D19=0),"",_xlfn.MAXIFS('3. Sample Data'!$D$6:$D$205,'3. Sample Data'!$A$6:$A$205,$A19))</f>
        <v/>
      </c>
      <c r="G19" s="16" t="str">
        <f aca="false">IF(OR($A19="",$D19=0),"",IFERROR(_xlfn.MAXIFS('3. Sample Data'!$J$6:$J$205,'3. Sample Data'!$A$6:$A$205,$A19),""))</f>
        <v/>
      </c>
      <c r="H19" s="17" t="str">
        <f aca="false">IF($A19="","",IF($D19=0,"No slices entered",IF(AND('2. Plot &amp; Core Log'!$O$20&lt;&gt;"OK",LEFT('2. Plot &amp; Core Log'!$O$20,7)&lt;&gt;"ASSUMED"),'2. Plot &amp; Core Log'!$O$20&amp;" (Sheet 2)",IF($E19&lt;$D19,"Not complete — see Slice check on Sheet 3","Complete"))))</f>
        <v/>
      </c>
      <c r="I19" s="15" t="str">
        <f aca="false">IF(OR($A19="",$H19&lt;&gt;"Complete"),"",SUMIFS('3. Sample Data'!$M$6:$M$205,'3. Sample Data'!$A$6:$A$205,$A19)/(PI()*(INDEX('2. Plot &amp; Core Log'!$S$6:$S$35,MATCH($A19,'2. Plot &amp; Core Log'!$B$6:$B$35,0))/2)^2*SUMIFS('3. Sample Data'!$F$6:$F$205,'3. Sample Data'!$A$6:$A$205,$A19)))</f>
        <v/>
      </c>
      <c r="J19" s="15" t="str">
        <f aca="false">IF(OR($A19="",$H19&lt;&gt;"Complete"),"",100*SUMIFS('3. Sample Data'!$U$6:$U$205,'3. Sample Data'!$A$6:$A$205,$A19)/(SUMIFS('3. Sample Data'!$M$6:$M$205,'3. Sample Data'!$A$6:$A$205,$A19)/(PI()*(INDEX('2. Plot &amp; Core Log'!$S$6:$S$35,MATCH($A19,'2. Plot &amp; Core Log'!$B$6:$B$35,0))/2)^2)))</f>
        <v/>
      </c>
      <c r="K19" s="15" t="str">
        <f aca="false">IF(OR($A19="",$H19&lt;&gt;"Complete"),"",SUMIFS('3. Sample Data'!$V$6:$V$205,'3. Sample Data'!$A$6:$A$205,$A19))</f>
        <v/>
      </c>
      <c r="L19" s="16" t="str">
        <f aca="false">IF($K19="","",$K19*10)</f>
        <v/>
      </c>
      <c r="M19" s="15" t="str">
        <f aca="false">IF(OR($A19="",$H19&lt;&gt;"Complete"),"",IF($G19&gt;=15-0.0001,SUMIFS('3. Sample Data'!$W$6:$W$205,'3. Sample Data'!$A$6:$A$205,$A19),IF($G19&gt;0,"partial — to "&amp;TEXT($G19,"0.0")&amp;" cm","not reached")))</f>
        <v/>
      </c>
      <c r="N19" s="15" t="str">
        <f aca="false">IF(OR($A19="",$H19&lt;&gt;"Complete"),"",IF($G19&gt;=30-0.0001,SUMIFS('3. Sample Data'!$X$6:$X$205,'3. Sample Data'!$A$6:$A$205,$A19),IF($G19&gt;15,"partial — to "&amp;TEXT($G19,"0.0")&amp;" cm","not reached")))</f>
        <v/>
      </c>
      <c r="O19" s="15" t="str">
        <f aca="false">IF(OR($A19="",$H19&lt;&gt;"Complete"),"",IF($G19&gt;=50-0.0001,SUMIFS('3. Sample Data'!$Y$6:$Y$205,'3. Sample Data'!$A$6:$A$205,$A19),IF($G19&gt;30,"partial — to "&amp;TEXT($G19,"0.0")&amp;" cm","not reached")))</f>
        <v/>
      </c>
      <c r="P19" s="15" t="str">
        <f aca="false">IF(OR($A19="",$H19&lt;&gt;"Complete"),"",IF($G19&gt;=100-0.0001,SUMIFS('3. Sample Data'!$Z$6:$Z$205,'3. Sample Data'!$A$6:$A$205,$A19),IF($G19&gt;50,"partial — to "&amp;TEXT($G19,"0.0")&amp;" cm","not reached")))</f>
        <v/>
      </c>
    </row>
    <row r="20" customFormat="false" ht="15" hidden="false" customHeight="false" outlineLevel="0" collapsed="false">
      <c r="A20" s="31" t="str">
        <f aca="false">IF('2. Plot &amp; Core Log'!$B$21="","",'2. Plot &amp; Core Log'!$B$21)</f>
        <v/>
      </c>
      <c r="B20" s="31" t="str">
        <f aca="false">IF($A20="","",IF('2. Plot &amp; Core Log'!$A$21="","",'2. Plot &amp; Core Log'!$A$21))</f>
        <v/>
      </c>
      <c r="C20" s="31" t="str">
        <f aca="false">IF($A20="","",IF('2. Plot &amp; Core Log'!$P$21="","",'2. Plot &amp; Core Log'!$P$21))</f>
        <v/>
      </c>
      <c r="D20" s="17" t="str">
        <f aca="false">IF($A20="","",COUNTIFS('3. Sample Data'!$A$6:$A$205,$A20))</f>
        <v/>
      </c>
      <c r="E20" s="17" t="str">
        <f aca="false">IF($A20="","",COUNTIFS('3. Sample Data'!$A$6:$A$205,$A20,'3. Sample Data'!$AA$6:$AA$205,"OK"))</f>
        <v/>
      </c>
      <c r="F20" s="16" t="str">
        <f aca="false">IF(OR($A20="",$D20=0),"",_xlfn.MAXIFS('3. Sample Data'!$D$6:$D$205,'3. Sample Data'!$A$6:$A$205,$A20))</f>
        <v/>
      </c>
      <c r="G20" s="16" t="str">
        <f aca="false">IF(OR($A20="",$D20=0),"",IFERROR(_xlfn.MAXIFS('3. Sample Data'!$J$6:$J$205,'3. Sample Data'!$A$6:$A$205,$A20),""))</f>
        <v/>
      </c>
      <c r="H20" s="17" t="str">
        <f aca="false">IF($A20="","",IF($D20=0,"No slices entered",IF(AND('2. Plot &amp; Core Log'!$O$21&lt;&gt;"OK",LEFT('2. Plot &amp; Core Log'!$O$21,7)&lt;&gt;"ASSUMED"),'2. Plot &amp; Core Log'!$O$21&amp;" (Sheet 2)",IF($E20&lt;$D20,"Not complete — see Slice check on Sheet 3","Complete"))))</f>
        <v/>
      </c>
      <c r="I20" s="15" t="str">
        <f aca="false">IF(OR($A20="",$H20&lt;&gt;"Complete"),"",SUMIFS('3. Sample Data'!$M$6:$M$205,'3. Sample Data'!$A$6:$A$205,$A20)/(PI()*(INDEX('2. Plot &amp; Core Log'!$S$6:$S$35,MATCH($A20,'2. Plot &amp; Core Log'!$B$6:$B$35,0))/2)^2*SUMIFS('3. Sample Data'!$F$6:$F$205,'3. Sample Data'!$A$6:$A$205,$A20)))</f>
        <v/>
      </c>
      <c r="J20" s="15" t="str">
        <f aca="false">IF(OR($A20="",$H20&lt;&gt;"Complete"),"",100*SUMIFS('3. Sample Data'!$U$6:$U$205,'3. Sample Data'!$A$6:$A$205,$A20)/(SUMIFS('3. Sample Data'!$M$6:$M$205,'3. Sample Data'!$A$6:$A$205,$A20)/(PI()*(INDEX('2. Plot &amp; Core Log'!$S$6:$S$35,MATCH($A20,'2. Plot &amp; Core Log'!$B$6:$B$35,0))/2)^2)))</f>
        <v/>
      </c>
      <c r="K20" s="15" t="str">
        <f aca="false">IF(OR($A20="",$H20&lt;&gt;"Complete"),"",SUMIFS('3. Sample Data'!$V$6:$V$205,'3. Sample Data'!$A$6:$A$205,$A20))</f>
        <v/>
      </c>
      <c r="L20" s="16" t="str">
        <f aca="false">IF($K20="","",$K20*10)</f>
        <v/>
      </c>
      <c r="M20" s="15" t="str">
        <f aca="false">IF(OR($A20="",$H20&lt;&gt;"Complete"),"",IF($G20&gt;=15-0.0001,SUMIFS('3. Sample Data'!$W$6:$W$205,'3. Sample Data'!$A$6:$A$205,$A20),IF($G20&gt;0,"partial — to "&amp;TEXT($G20,"0.0")&amp;" cm","not reached")))</f>
        <v/>
      </c>
      <c r="N20" s="15" t="str">
        <f aca="false">IF(OR($A20="",$H20&lt;&gt;"Complete"),"",IF($G20&gt;=30-0.0001,SUMIFS('3. Sample Data'!$X$6:$X$205,'3. Sample Data'!$A$6:$A$205,$A20),IF($G20&gt;15,"partial — to "&amp;TEXT($G20,"0.0")&amp;" cm","not reached")))</f>
        <v/>
      </c>
      <c r="O20" s="15" t="str">
        <f aca="false">IF(OR($A20="",$H20&lt;&gt;"Complete"),"",IF($G20&gt;=50-0.0001,SUMIFS('3. Sample Data'!$Y$6:$Y$205,'3. Sample Data'!$A$6:$A$205,$A20),IF($G20&gt;30,"partial — to "&amp;TEXT($G20,"0.0")&amp;" cm","not reached")))</f>
        <v/>
      </c>
      <c r="P20" s="15" t="str">
        <f aca="false">IF(OR($A20="",$H20&lt;&gt;"Complete"),"",IF($G20&gt;=100-0.0001,SUMIFS('3. Sample Data'!$Z$6:$Z$205,'3. Sample Data'!$A$6:$A$205,$A20),IF($G20&gt;50,"partial — to "&amp;TEXT($G20,"0.0")&amp;" cm","not reached")))</f>
        <v/>
      </c>
    </row>
    <row r="21" customFormat="false" ht="15.75" hidden="false" customHeight="true" outlineLevel="0" collapsed="false">
      <c r="A21" s="31" t="str">
        <f aca="false">IF('2. Plot &amp; Core Log'!$B$22="","",'2. Plot &amp; Core Log'!$B$22)</f>
        <v/>
      </c>
      <c r="B21" s="31" t="str">
        <f aca="false">IF($A21="","",IF('2. Plot &amp; Core Log'!$A$22="","",'2. Plot &amp; Core Log'!$A$22))</f>
        <v/>
      </c>
      <c r="C21" s="31" t="str">
        <f aca="false">IF($A21="","",IF('2. Plot &amp; Core Log'!$P$22="","",'2. Plot &amp; Core Log'!$P$22))</f>
        <v/>
      </c>
      <c r="D21" s="17" t="str">
        <f aca="false">IF($A21="","",COUNTIFS('3. Sample Data'!$A$6:$A$205,$A21))</f>
        <v/>
      </c>
      <c r="E21" s="17" t="str">
        <f aca="false">IF($A21="","",COUNTIFS('3. Sample Data'!$A$6:$A$205,$A21,'3. Sample Data'!$AA$6:$AA$205,"OK"))</f>
        <v/>
      </c>
      <c r="F21" s="16" t="str">
        <f aca="false">IF(OR($A21="",$D21=0),"",_xlfn.MAXIFS('3. Sample Data'!$D$6:$D$205,'3. Sample Data'!$A$6:$A$205,$A21))</f>
        <v/>
      </c>
      <c r="G21" s="16" t="str">
        <f aca="false">IF(OR($A21="",$D21=0),"",IFERROR(_xlfn.MAXIFS('3. Sample Data'!$J$6:$J$205,'3. Sample Data'!$A$6:$A$205,$A21),""))</f>
        <v/>
      </c>
      <c r="H21" s="17" t="str">
        <f aca="false">IF($A21="","",IF($D21=0,"No slices entered",IF(AND('2. Plot &amp; Core Log'!$O$22&lt;&gt;"OK",LEFT('2. Plot &amp; Core Log'!$O$22,7)&lt;&gt;"ASSUMED"),'2. Plot &amp; Core Log'!$O$22&amp;" (Sheet 2)",IF($E21&lt;$D21,"Not complete — see Slice check on Sheet 3","Complete"))))</f>
        <v/>
      </c>
      <c r="I21" s="15" t="str">
        <f aca="false">IF(OR($A21="",$H21&lt;&gt;"Complete"),"",SUMIFS('3. Sample Data'!$M$6:$M$205,'3. Sample Data'!$A$6:$A$205,$A21)/(PI()*(INDEX('2. Plot &amp; Core Log'!$S$6:$S$35,MATCH($A21,'2. Plot &amp; Core Log'!$B$6:$B$35,0))/2)^2*SUMIFS('3. Sample Data'!$F$6:$F$205,'3. Sample Data'!$A$6:$A$205,$A21)))</f>
        <v/>
      </c>
      <c r="J21" s="15" t="str">
        <f aca="false">IF(OR($A21="",$H21&lt;&gt;"Complete"),"",100*SUMIFS('3. Sample Data'!$U$6:$U$205,'3. Sample Data'!$A$6:$A$205,$A21)/(SUMIFS('3. Sample Data'!$M$6:$M$205,'3. Sample Data'!$A$6:$A$205,$A21)/(PI()*(INDEX('2. Plot &amp; Core Log'!$S$6:$S$35,MATCH($A21,'2. Plot &amp; Core Log'!$B$6:$B$35,0))/2)^2)))</f>
        <v/>
      </c>
      <c r="K21" s="15" t="str">
        <f aca="false">IF(OR($A21="",$H21&lt;&gt;"Complete"),"",SUMIFS('3. Sample Data'!$V$6:$V$205,'3. Sample Data'!$A$6:$A$205,$A21))</f>
        <v/>
      </c>
      <c r="L21" s="16" t="str">
        <f aca="false">IF($K21="","",$K21*10)</f>
        <v/>
      </c>
      <c r="M21" s="15" t="str">
        <f aca="false">IF(OR($A21="",$H21&lt;&gt;"Complete"),"",IF($G21&gt;=15-0.0001,SUMIFS('3. Sample Data'!$W$6:$W$205,'3. Sample Data'!$A$6:$A$205,$A21),IF($G21&gt;0,"partial — to "&amp;TEXT($G21,"0.0")&amp;" cm","not reached")))</f>
        <v/>
      </c>
      <c r="N21" s="15" t="str">
        <f aca="false">IF(OR($A21="",$H21&lt;&gt;"Complete"),"",IF($G21&gt;=30-0.0001,SUMIFS('3. Sample Data'!$X$6:$X$205,'3. Sample Data'!$A$6:$A$205,$A21),IF($G21&gt;15,"partial — to "&amp;TEXT($G21,"0.0")&amp;" cm","not reached")))</f>
        <v/>
      </c>
      <c r="O21" s="15" t="str">
        <f aca="false">IF(OR($A21="",$H21&lt;&gt;"Complete"),"",IF($G21&gt;=50-0.0001,SUMIFS('3. Sample Data'!$Y$6:$Y$205,'3. Sample Data'!$A$6:$A$205,$A21),IF($G21&gt;30,"partial — to "&amp;TEXT($G21,"0.0")&amp;" cm","not reached")))</f>
        <v/>
      </c>
      <c r="P21" s="15" t="str">
        <f aca="false">IF(OR($A21="",$H21&lt;&gt;"Complete"),"",IF($G21&gt;=100-0.0001,SUMIFS('3. Sample Data'!$Z$6:$Z$205,'3. Sample Data'!$A$6:$A$205,$A21),IF($G21&gt;50,"partial — to "&amp;TEXT($G21,"0.0")&amp;" cm","not reached")))</f>
        <v/>
      </c>
    </row>
    <row r="22" customFormat="false" ht="15.75" hidden="false" customHeight="true" outlineLevel="0" collapsed="false">
      <c r="A22" s="31" t="str">
        <f aca="false">IF('2. Plot &amp; Core Log'!$B$23="","",'2. Plot &amp; Core Log'!$B$23)</f>
        <v/>
      </c>
      <c r="B22" s="31" t="str">
        <f aca="false">IF($A22="","",IF('2. Plot &amp; Core Log'!$A$23="","",'2. Plot &amp; Core Log'!$A$23))</f>
        <v/>
      </c>
      <c r="C22" s="31" t="str">
        <f aca="false">IF($A22="","",IF('2. Plot &amp; Core Log'!$P$23="","",'2. Plot &amp; Core Log'!$P$23))</f>
        <v/>
      </c>
      <c r="D22" s="17" t="str">
        <f aca="false">IF($A22="","",COUNTIFS('3. Sample Data'!$A$6:$A$205,$A22))</f>
        <v/>
      </c>
      <c r="E22" s="17" t="str">
        <f aca="false">IF($A22="","",COUNTIFS('3. Sample Data'!$A$6:$A$205,$A22,'3. Sample Data'!$AA$6:$AA$205,"OK"))</f>
        <v/>
      </c>
      <c r="F22" s="16" t="str">
        <f aca="false">IF(OR($A22="",$D22=0),"",_xlfn.MAXIFS('3. Sample Data'!$D$6:$D$205,'3. Sample Data'!$A$6:$A$205,$A22))</f>
        <v/>
      </c>
      <c r="G22" s="16" t="str">
        <f aca="false">IF(OR($A22="",$D22=0),"",IFERROR(_xlfn.MAXIFS('3. Sample Data'!$J$6:$J$205,'3. Sample Data'!$A$6:$A$205,$A22),""))</f>
        <v/>
      </c>
      <c r="H22" s="17" t="str">
        <f aca="false">IF($A22="","",IF($D22=0,"No slices entered",IF(AND('2. Plot &amp; Core Log'!$O$23&lt;&gt;"OK",LEFT('2. Plot &amp; Core Log'!$O$23,7)&lt;&gt;"ASSUMED"),'2. Plot &amp; Core Log'!$O$23&amp;" (Sheet 2)",IF($E22&lt;$D22,"Not complete — see Slice check on Sheet 3","Complete"))))</f>
        <v/>
      </c>
      <c r="I22" s="15" t="str">
        <f aca="false">IF(OR($A22="",$H22&lt;&gt;"Complete"),"",SUMIFS('3. Sample Data'!$M$6:$M$205,'3. Sample Data'!$A$6:$A$205,$A22)/(PI()*(INDEX('2. Plot &amp; Core Log'!$S$6:$S$35,MATCH($A22,'2. Plot &amp; Core Log'!$B$6:$B$35,0))/2)^2*SUMIFS('3. Sample Data'!$F$6:$F$205,'3. Sample Data'!$A$6:$A$205,$A22)))</f>
        <v/>
      </c>
      <c r="J22" s="15" t="str">
        <f aca="false">IF(OR($A22="",$H22&lt;&gt;"Complete"),"",100*SUMIFS('3. Sample Data'!$U$6:$U$205,'3. Sample Data'!$A$6:$A$205,$A22)/(SUMIFS('3. Sample Data'!$M$6:$M$205,'3. Sample Data'!$A$6:$A$205,$A22)/(PI()*(INDEX('2. Plot &amp; Core Log'!$S$6:$S$35,MATCH($A22,'2. Plot &amp; Core Log'!$B$6:$B$35,0))/2)^2)))</f>
        <v/>
      </c>
      <c r="K22" s="15" t="str">
        <f aca="false">IF(OR($A22="",$H22&lt;&gt;"Complete"),"",SUMIFS('3. Sample Data'!$V$6:$V$205,'3. Sample Data'!$A$6:$A$205,$A22))</f>
        <v/>
      </c>
      <c r="L22" s="16" t="str">
        <f aca="false">IF($K22="","",$K22*10)</f>
        <v/>
      </c>
      <c r="M22" s="15" t="str">
        <f aca="false">IF(OR($A22="",$H22&lt;&gt;"Complete"),"",IF($G22&gt;=15-0.0001,SUMIFS('3. Sample Data'!$W$6:$W$205,'3. Sample Data'!$A$6:$A$205,$A22),IF($G22&gt;0,"partial — to "&amp;TEXT($G22,"0.0")&amp;" cm","not reached")))</f>
        <v/>
      </c>
      <c r="N22" s="15" t="str">
        <f aca="false">IF(OR($A22="",$H22&lt;&gt;"Complete"),"",IF($G22&gt;=30-0.0001,SUMIFS('3. Sample Data'!$X$6:$X$205,'3. Sample Data'!$A$6:$A$205,$A22),IF($G22&gt;15,"partial — to "&amp;TEXT($G22,"0.0")&amp;" cm","not reached")))</f>
        <v/>
      </c>
      <c r="O22" s="15" t="str">
        <f aca="false">IF(OR($A22="",$H22&lt;&gt;"Complete"),"",IF($G22&gt;=50-0.0001,SUMIFS('3. Sample Data'!$Y$6:$Y$205,'3. Sample Data'!$A$6:$A$205,$A22),IF($G22&gt;30,"partial — to "&amp;TEXT($G22,"0.0")&amp;" cm","not reached")))</f>
        <v/>
      </c>
      <c r="P22" s="15" t="str">
        <f aca="false">IF(OR($A22="",$H22&lt;&gt;"Complete"),"",IF($G22&gt;=100-0.0001,SUMIFS('3. Sample Data'!$Z$6:$Z$205,'3. Sample Data'!$A$6:$A$205,$A22),IF($G22&gt;50,"partial — to "&amp;TEXT($G22,"0.0")&amp;" cm","not reached")))</f>
        <v/>
      </c>
    </row>
    <row r="23" customFormat="false" ht="15.75" hidden="false" customHeight="true" outlineLevel="0" collapsed="false">
      <c r="A23" s="31" t="str">
        <f aca="false">IF('2. Plot &amp; Core Log'!$B$24="","",'2. Plot &amp; Core Log'!$B$24)</f>
        <v/>
      </c>
      <c r="B23" s="31" t="str">
        <f aca="false">IF($A23="","",IF('2. Plot &amp; Core Log'!$A$24="","",'2. Plot &amp; Core Log'!$A$24))</f>
        <v/>
      </c>
      <c r="C23" s="31" t="str">
        <f aca="false">IF($A23="","",IF('2. Plot &amp; Core Log'!$P$24="","",'2. Plot &amp; Core Log'!$P$24))</f>
        <v/>
      </c>
      <c r="D23" s="17" t="str">
        <f aca="false">IF($A23="","",COUNTIFS('3. Sample Data'!$A$6:$A$205,$A23))</f>
        <v/>
      </c>
      <c r="E23" s="17" t="str">
        <f aca="false">IF($A23="","",COUNTIFS('3. Sample Data'!$A$6:$A$205,$A23,'3. Sample Data'!$AA$6:$AA$205,"OK"))</f>
        <v/>
      </c>
      <c r="F23" s="16" t="str">
        <f aca="false">IF(OR($A23="",$D23=0),"",_xlfn.MAXIFS('3. Sample Data'!$D$6:$D$205,'3. Sample Data'!$A$6:$A$205,$A23))</f>
        <v/>
      </c>
      <c r="G23" s="16" t="str">
        <f aca="false">IF(OR($A23="",$D23=0),"",IFERROR(_xlfn.MAXIFS('3. Sample Data'!$J$6:$J$205,'3. Sample Data'!$A$6:$A$205,$A23),""))</f>
        <v/>
      </c>
      <c r="H23" s="17" t="str">
        <f aca="false">IF($A23="","",IF($D23=0,"No slices entered",IF(AND('2. Plot &amp; Core Log'!$O$24&lt;&gt;"OK",LEFT('2. Plot &amp; Core Log'!$O$24,7)&lt;&gt;"ASSUMED"),'2. Plot &amp; Core Log'!$O$24&amp;" (Sheet 2)",IF($E23&lt;$D23,"Not complete — see Slice check on Sheet 3","Complete"))))</f>
        <v/>
      </c>
      <c r="I23" s="15" t="str">
        <f aca="false">IF(OR($A23="",$H23&lt;&gt;"Complete"),"",SUMIFS('3. Sample Data'!$M$6:$M$205,'3. Sample Data'!$A$6:$A$205,$A23)/(PI()*(INDEX('2. Plot &amp; Core Log'!$S$6:$S$35,MATCH($A23,'2. Plot &amp; Core Log'!$B$6:$B$35,0))/2)^2*SUMIFS('3. Sample Data'!$F$6:$F$205,'3. Sample Data'!$A$6:$A$205,$A23)))</f>
        <v/>
      </c>
      <c r="J23" s="15" t="str">
        <f aca="false">IF(OR($A23="",$H23&lt;&gt;"Complete"),"",100*SUMIFS('3. Sample Data'!$U$6:$U$205,'3. Sample Data'!$A$6:$A$205,$A23)/(SUMIFS('3. Sample Data'!$M$6:$M$205,'3. Sample Data'!$A$6:$A$205,$A23)/(PI()*(INDEX('2. Plot &amp; Core Log'!$S$6:$S$35,MATCH($A23,'2. Plot &amp; Core Log'!$B$6:$B$35,0))/2)^2)))</f>
        <v/>
      </c>
      <c r="K23" s="15" t="str">
        <f aca="false">IF(OR($A23="",$H23&lt;&gt;"Complete"),"",SUMIFS('3. Sample Data'!$V$6:$V$205,'3. Sample Data'!$A$6:$A$205,$A23))</f>
        <v/>
      </c>
      <c r="L23" s="16" t="str">
        <f aca="false">IF($K23="","",$K23*10)</f>
        <v/>
      </c>
      <c r="M23" s="15" t="str">
        <f aca="false">IF(OR($A23="",$H23&lt;&gt;"Complete"),"",IF($G23&gt;=15-0.0001,SUMIFS('3. Sample Data'!$W$6:$W$205,'3. Sample Data'!$A$6:$A$205,$A23),IF($G23&gt;0,"partial — to "&amp;TEXT($G23,"0.0")&amp;" cm","not reached")))</f>
        <v/>
      </c>
      <c r="N23" s="15" t="str">
        <f aca="false">IF(OR($A23="",$H23&lt;&gt;"Complete"),"",IF($G23&gt;=30-0.0001,SUMIFS('3. Sample Data'!$X$6:$X$205,'3. Sample Data'!$A$6:$A$205,$A23),IF($G23&gt;15,"partial — to "&amp;TEXT($G23,"0.0")&amp;" cm","not reached")))</f>
        <v/>
      </c>
      <c r="O23" s="15" t="str">
        <f aca="false">IF(OR($A23="",$H23&lt;&gt;"Complete"),"",IF($G23&gt;=50-0.0001,SUMIFS('3. Sample Data'!$Y$6:$Y$205,'3. Sample Data'!$A$6:$A$205,$A23),IF($G23&gt;30,"partial — to "&amp;TEXT($G23,"0.0")&amp;" cm","not reached")))</f>
        <v/>
      </c>
      <c r="P23" s="15" t="str">
        <f aca="false">IF(OR($A23="",$H23&lt;&gt;"Complete"),"",IF($G23&gt;=100-0.0001,SUMIFS('3. Sample Data'!$Z$6:$Z$205,'3. Sample Data'!$A$6:$A$205,$A23),IF($G23&gt;50,"partial — to "&amp;TEXT($G23,"0.0")&amp;" cm","not reached")))</f>
        <v/>
      </c>
    </row>
    <row r="24" customFormat="false" ht="15.75" hidden="false" customHeight="true" outlineLevel="0" collapsed="false">
      <c r="A24" s="31" t="str">
        <f aca="false">IF('2. Plot &amp; Core Log'!$B$25="","",'2. Plot &amp; Core Log'!$B$25)</f>
        <v/>
      </c>
      <c r="B24" s="31" t="str">
        <f aca="false">IF($A24="","",IF('2. Plot &amp; Core Log'!$A$25="","",'2. Plot &amp; Core Log'!$A$25))</f>
        <v/>
      </c>
      <c r="C24" s="31" t="str">
        <f aca="false">IF($A24="","",IF('2. Plot &amp; Core Log'!$P$25="","",'2. Plot &amp; Core Log'!$P$25))</f>
        <v/>
      </c>
      <c r="D24" s="17" t="str">
        <f aca="false">IF($A24="","",COUNTIFS('3. Sample Data'!$A$6:$A$205,$A24))</f>
        <v/>
      </c>
      <c r="E24" s="17" t="str">
        <f aca="false">IF($A24="","",COUNTIFS('3. Sample Data'!$A$6:$A$205,$A24,'3. Sample Data'!$AA$6:$AA$205,"OK"))</f>
        <v/>
      </c>
      <c r="F24" s="16" t="str">
        <f aca="false">IF(OR($A24="",$D24=0),"",_xlfn.MAXIFS('3. Sample Data'!$D$6:$D$205,'3. Sample Data'!$A$6:$A$205,$A24))</f>
        <v/>
      </c>
      <c r="G24" s="16" t="str">
        <f aca="false">IF(OR($A24="",$D24=0),"",IFERROR(_xlfn.MAXIFS('3. Sample Data'!$J$6:$J$205,'3. Sample Data'!$A$6:$A$205,$A24),""))</f>
        <v/>
      </c>
      <c r="H24" s="17" t="str">
        <f aca="false">IF($A24="","",IF($D24=0,"No slices entered",IF(AND('2. Plot &amp; Core Log'!$O$25&lt;&gt;"OK",LEFT('2. Plot &amp; Core Log'!$O$25,7)&lt;&gt;"ASSUMED"),'2. Plot &amp; Core Log'!$O$25&amp;" (Sheet 2)",IF($E24&lt;$D24,"Not complete — see Slice check on Sheet 3","Complete"))))</f>
        <v/>
      </c>
      <c r="I24" s="15" t="str">
        <f aca="false">IF(OR($A24="",$H24&lt;&gt;"Complete"),"",SUMIFS('3. Sample Data'!$M$6:$M$205,'3. Sample Data'!$A$6:$A$205,$A24)/(PI()*(INDEX('2. Plot &amp; Core Log'!$S$6:$S$35,MATCH($A24,'2. Plot &amp; Core Log'!$B$6:$B$35,0))/2)^2*SUMIFS('3. Sample Data'!$F$6:$F$205,'3. Sample Data'!$A$6:$A$205,$A24)))</f>
        <v/>
      </c>
      <c r="J24" s="15" t="str">
        <f aca="false">IF(OR($A24="",$H24&lt;&gt;"Complete"),"",100*SUMIFS('3. Sample Data'!$U$6:$U$205,'3. Sample Data'!$A$6:$A$205,$A24)/(SUMIFS('3. Sample Data'!$M$6:$M$205,'3. Sample Data'!$A$6:$A$205,$A24)/(PI()*(INDEX('2. Plot &amp; Core Log'!$S$6:$S$35,MATCH($A24,'2. Plot &amp; Core Log'!$B$6:$B$35,0))/2)^2)))</f>
        <v/>
      </c>
      <c r="K24" s="15" t="str">
        <f aca="false">IF(OR($A24="",$H24&lt;&gt;"Complete"),"",SUMIFS('3. Sample Data'!$V$6:$V$205,'3. Sample Data'!$A$6:$A$205,$A24))</f>
        <v/>
      </c>
      <c r="L24" s="16" t="str">
        <f aca="false">IF($K24="","",$K24*10)</f>
        <v/>
      </c>
      <c r="M24" s="15" t="str">
        <f aca="false">IF(OR($A24="",$H24&lt;&gt;"Complete"),"",IF($G24&gt;=15-0.0001,SUMIFS('3. Sample Data'!$W$6:$W$205,'3. Sample Data'!$A$6:$A$205,$A24),IF($G24&gt;0,"partial — to "&amp;TEXT($G24,"0.0")&amp;" cm","not reached")))</f>
        <v/>
      </c>
      <c r="N24" s="15" t="str">
        <f aca="false">IF(OR($A24="",$H24&lt;&gt;"Complete"),"",IF($G24&gt;=30-0.0001,SUMIFS('3. Sample Data'!$X$6:$X$205,'3. Sample Data'!$A$6:$A$205,$A24),IF($G24&gt;15,"partial — to "&amp;TEXT($G24,"0.0")&amp;" cm","not reached")))</f>
        <v/>
      </c>
      <c r="O24" s="15" t="str">
        <f aca="false">IF(OR($A24="",$H24&lt;&gt;"Complete"),"",IF($G24&gt;=50-0.0001,SUMIFS('3. Sample Data'!$Y$6:$Y$205,'3. Sample Data'!$A$6:$A$205,$A24),IF($G24&gt;30,"partial — to "&amp;TEXT($G24,"0.0")&amp;" cm","not reached")))</f>
        <v/>
      </c>
      <c r="P24" s="15" t="str">
        <f aca="false">IF(OR($A24="",$H24&lt;&gt;"Complete"),"",IF($G24&gt;=100-0.0001,SUMIFS('3. Sample Data'!$Z$6:$Z$205,'3. Sample Data'!$A$6:$A$205,$A24),IF($G24&gt;50,"partial — to "&amp;TEXT($G24,"0.0")&amp;" cm","not reached")))</f>
        <v/>
      </c>
    </row>
    <row r="25" customFormat="false" ht="15.75" hidden="false" customHeight="true" outlineLevel="0" collapsed="false">
      <c r="A25" s="31" t="str">
        <f aca="false">IF('2. Plot &amp; Core Log'!$B$26="","",'2. Plot &amp; Core Log'!$B$26)</f>
        <v/>
      </c>
      <c r="B25" s="31" t="str">
        <f aca="false">IF($A25="","",IF('2. Plot &amp; Core Log'!$A$26="","",'2. Plot &amp; Core Log'!$A$26))</f>
        <v/>
      </c>
      <c r="C25" s="31" t="str">
        <f aca="false">IF($A25="","",IF('2. Plot &amp; Core Log'!$P$26="","",'2. Plot &amp; Core Log'!$P$26))</f>
        <v/>
      </c>
      <c r="D25" s="17" t="str">
        <f aca="false">IF($A25="","",COUNTIFS('3. Sample Data'!$A$6:$A$205,$A25))</f>
        <v/>
      </c>
      <c r="E25" s="17" t="str">
        <f aca="false">IF($A25="","",COUNTIFS('3. Sample Data'!$A$6:$A$205,$A25,'3. Sample Data'!$AA$6:$AA$205,"OK"))</f>
        <v/>
      </c>
      <c r="F25" s="16" t="str">
        <f aca="false">IF(OR($A25="",$D25=0),"",_xlfn.MAXIFS('3. Sample Data'!$D$6:$D$205,'3. Sample Data'!$A$6:$A$205,$A25))</f>
        <v/>
      </c>
      <c r="G25" s="16" t="str">
        <f aca="false">IF(OR($A25="",$D25=0),"",IFERROR(_xlfn.MAXIFS('3. Sample Data'!$J$6:$J$205,'3. Sample Data'!$A$6:$A$205,$A25),""))</f>
        <v/>
      </c>
      <c r="H25" s="17" t="str">
        <f aca="false">IF($A25="","",IF($D25=0,"No slices entered",IF(AND('2. Plot &amp; Core Log'!$O$26&lt;&gt;"OK",LEFT('2. Plot &amp; Core Log'!$O$26,7)&lt;&gt;"ASSUMED"),'2. Plot &amp; Core Log'!$O$26&amp;" (Sheet 2)",IF($E25&lt;$D25,"Not complete — see Slice check on Sheet 3","Complete"))))</f>
        <v/>
      </c>
      <c r="I25" s="15" t="str">
        <f aca="false">IF(OR($A25="",$H25&lt;&gt;"Complete"),"",SUMIFS('3. Sample Data'!$M$6:$M$205,'3. Sample Data'!$A$6:$A$205,$A25)/(PI()*(INDEX('2. Plot &amp; Core Log'!$S$6:$S$35,MATCH($A25,'2. Plot &amp; Core Log'!$B$6:$B$35,0))/2)^2*SUMIFS('3. Sample Data'!$F$6:$F$205,'3. Sample Data'!$A$6:$A$205,$A25)))</f>
        <v/>
      </c>
      <c r="J25" s="15" t="str">
        <f aca="false">IF(OR($A25="",$H25&lt;&gt;"Complete"),"",100*SUMIFS('3. Sample Data'!$U$6:$U$205,'3. Sample Data'!$A$6:$A$205,$A25)/(SUMIFS('3. Sample Data'!$M$6:$M$205,'3. Sample Data'!$A$6:$A$205,$A25)/(PI()*(INDEX('2. Plot &amp; Core Log'!$S$6:$S$35,MATCH($A25,'2. Plot &amp; Core Log'!$B$6:$B$35,0))/2)^2)))</f>
        <v/>
      </c>
      <c r="K25" s="15" t="str">
        <f aca="false">IF(OR($A25="",$H25&lt;&gt;"Complete"),"",SUMIFS('3. Sample Data'!$V$6:$V$205,'3. Sample Data'!$A$6:$A$205,$A25))</f>
        <v/>
      </c>
      <c r="L25" s="16" t="str">
        <f aca="false">IF($K25="","",$K25*10)</f>
        <v/>
      </c>
      <c r="M25" s="15" t="str">
        <f aca="false">IF(OR($A25="",$H25&lt;&gt;"Complete"),"",IF($G25&gt;=15-0.0001,SUMIFS('3. Sample Data'!$W$6:$W$205,'3. Sample Data'!$A$6:$A$205,$A25),IF($G25&gt;0,"partial — to "&amp;TEXT($G25,"0.0")&amp;" cm","not reached")))</f>
        <v/>
      </c>
      <c r="N25" s="15" t="str">
        <f aca="false">IF(OR($A25="",$H25&lt;&gt;"Complete"),"",IF($G25&gt;=30-0.0001,SUMIFS('3. Sample Data'!$X$6:$X$205,'3. Sample Data'!$A$6:$A$205,$A25),IF($G25&gt;15,"partial — to "&amp;TEXT($G25,"0.0")&amp;" cm","not reached")))</f>
        <v/>
      </c>
      <c r="O25" s="15" t="str">
        <f aca="false">IF(OR($A25="",$H25&lt;&gt;"Complete"),"",IF($G25&gt;=50-0.0001,SUMIFS('3. Sample Data'!$Y$6:$Y$205,'3. Sample Data'!$A$6:$A$205,$A25),IF($G25&gt;30,"partial — to "&amp;TEXT($G25,"0.0")&amp;" cm","not reached")))</f>
        <v/>
      </c>
      <c r="P25" s="15" t="str">
        <f aca="false">IF(OR($A25="",$H25&lt;&gt;"Complete"),"",IF($G25&gt;=100-0.0001,SUMIFS('3. Sample Data'!$Z$6:$Z$205,'3. Sample Data'!$A$6:$A$205,$A25),IF($G25&gt;50,"partial — to "&amp;TEXT($G25,"0.0")&amp;" cm","not reached")))</f>
        <v/>
      </c>
    </row>
    <row r="26" customFormat="false" ht="15.75" hidden="false" customHeight="true" outlineLevel="0" collapsed="false">
      <c r="A26" s="31" t="str">
        <f aca="false">IF('2. Plot &amp; Core Log'!$B$27="","",'2. Plot &amp; Core Log'!$B$27)</f>
        <v/>
      </c>
      <c r="B26" s="31" t="str">
        <f aca="false">IF($A26="","",IF('2. Plot &amp; Core Log'!$A$27="","",'2. Plot &amp; Core Log'!$A$27))</f>
        <v/>
      </c>
      <c r="C26" s="31" t="str">
        <f aca="false">IF($A26="","",IF('2. Plot &amp; Core Log'!$P$27="","",'2. Plot &amp; Core Log'!$P$27))</f>
        <v/>
      </c>
      <c r="D26" s="17" t="str">
        <f aca="false">IF($A26="","",COUNTIFS('3. Sample Data'!$A$6:$A$205,$A26))</f>
        <v/>
      </c>
      <c r="E26" s="17" t="str">
        <f aca="false">IF($A26="","",COUNTIFS('3. Sample Data'!$A$6:$A$205,$A26,'3. Sample Data'!$AA$6:$AA$205,"OK"))</f>
        <v/>
      </c>
      <c r="F26" s="16" t="str">
        <f aca="false">IF(OR($A26="",$D26=0),"",_xlfn.MAXIFS('3. Sample Data'!$D$6:$D$205,'3. Sample Data'!$A$6:$A$205,$A26))</f>
        <v/>
      </c>
      <c r="G26" s="16" t="str">
        <f aca="false">IF(OR($A26="",$D26=0),"",IFERROR(_xlfn.MAXIFS('3. Sample Data'!$J$6:$J$205,'3. Sample Data'!$A$6:$A$205,$A26),""))</f>
        <v/>
      </c>
      <c r="H26" s="17" t="str">
        <f aca="false">IF($A26="","",IF($D26=0,"No slices entered",IF(AND('2. Plot &amp; Core Log'!$O$27&lt;&gt;"OK",LEFT('2. Plot &amp; Core Log'!$O$27,7)&lt;&gt;"ASSUMED"),'2. Plot &amp; Core Log'!$O$27&amp;" (Sheet 2)",IF($E26&lt;$D26,"Not complete — see Slice check on Sheet 3","Complete"))))</f>
        <v/>
      </c>
      <c r="I26" s="15" t="str">
        <f aca="false">IF(OR($A26="",$H26&lt;&gt;"Complete"),"",SUMIFS('3. Sample Data'!$M$6:$M$205,'3. Sample Data'!$A$6:$A$205,$A26)/(PI()*(INDEX('2. Plot &amp; Core Log'!$S$6:$S$35,MATCH($A26,'2. Plot &amp; Core Log'!$B$6:$B$35,0))/2)^2*SUMIFS('3. Sample Data'!$F$6:$F$205,'3. Sample Data'!$A$6:$A$205,$A26)))</f>
        <v/>
      </c>
      <c r="J26" s="15" t="str">
        <f aca="false">IF(OR($A26="",$H26&lt;&gt;"Complete"),"",100*SUMIFS('3. Sample Data'!$U$6:$U$205,'3. Sample Data'!$A$6:$A$205,$A26)/(SUMIFS('3. Sample Data'!$M$6:$M$205,'3. Sample Data'!$A$6:$A$205,$A26)/(PI()*(INDEX('2. Plot &amp; Core Log'!$S$6:$S$35,MATCH($A26,'2. Plot &amp; Core Log'!$B$6:$B$35,0))/2)^2)))</f>
        <v/>
      </c>
      <c r="K26" s="15" t="str">
        <f aca="false">IF(OR($A26="",$H26&lt;&gt;"Complete"),"",SUMIFS('3. Sample Data'!$V$6:$V$205,'3. Sample Data'!$A$6:$A$205,$A26))</f>
        <v/>
      </c>
      <c r="L26" s="16" t="str">
        <f aca="false">IF($K26="","",$K26*10)</f>
        <v/>
      </c>
      <c r="M26" s="15" t="str">
        <f aca="false">IF(OR($A26="",$H26&lt;&gt;"Complete"),"",IF($G26&gt;=15-0.0001,SUMIFS('3. Sample Data'!$W$6:$W$205,'3. Sample Data'!$A$6:$A$205,$A26),IF($G26&gt;0,"partial — to "&amp;TEXT($G26,"0.0")&amp;" cm","not reached")))</f>
        <v/>
      </c>
      <c r="N26" s="15" t="str">
        <f aca="false">IF(OR($A26="",$H26&lt;&gt;"Complete"),"",IF($G26&gt;=30-0.0001,SUMIFS('3. Sample Data'!$X$6:$X$205,'3. Sample Data'!$A$6:$A$205,$A26),IF($G26&gt;15,"partial — to "&amp;TEXT($G26,"0.0")&amp;" cm","not reached")))</f>
        <v/>
      </c>
      <c r="O26" s="15" t="str">
        <f aca="false">IF(OR($A26="",$H26&lt;&gt;"Complete"),"",IF($G26&gt;=50-0.0001,SUMIFS('3. Sample Data'!$Y$6:$Y$205,'3. Sample Data'!$A$6:$A$205,$A26),IF($G26&gt;30,"partial — to "&amp;TEXT($G26,"0.0")&amp;" cm","not reached")))</f>
        <v/>
      </c>
      <c r="P26" s="15" t="str">
        <f aca="false">IF(OR($A26="",$H26&lt;&gt;"Complete"),"",IF($G26&gt;=100-0.0001,SUMIFS('3. Sample Data'!$Z$6:$Z$205,'3. Sample Data'!$A$6:$A$205,$A26),IF($G26&gt;50,"partial — to "&amp;TEXT($G26,"0.0")&amp;" cm","not reached")))</f>
        <v/>
      </c>
    </row>
    <row r="27" customFormat="false" ht="15.75" hidden="false" customHeight="true" outlineLevel="0" collapsed="false">
      <c r="A27" s="31" t="str">
        <f aca="false">IF('2. Plot &amp; Core Log'!$B$28="","",'2. Plot &amp; Core Log'!$B$28)</f>
        <v/>
      </c>
      <c r="B27" s="31" t="str">
        <f aca="false">IF($A27="","",IF('2. Plot &amp; Core Log'!$A$28="","",'2. Plot &amp; Core Log'!$A$28))</f>
        <v/>
      </c>
      <c r="C27" s="31" t="str">
        <f aca="false">IF($A27="","",IF('2. Plot &amp; Core Log'!$P$28="","",'2. Plot &amp; Core Log'!$P$28))</f>
        <v/>
      </c>
      <c r="D27" s="17" t="str">
        <f aca="false">IF($A27="","",COUNTIFS('3. Sample Data'!$A$6:$A$205,$A27))</f>
        <v/>
      </c>
      <c r="E27" s="17" t="str">
        <f aca="false">IF($A27="","",COUNTIFS('3. Sample Data'!$A$6:$A$205,$A27,'3. Sample Data'!$AA$6:$AA$205,"OK"))</f>
        <v/>
      </c>
      <c r="F27" s="16" t="str">
        <f aca="false">IF(OR($A27="",$D27=0),"",_xlfn.MAXIFS('3. Sample Data'!$D$6:$D$205,'3. Sample Data'!$A$6:$A$205,$A27))</f>
        <v/>
      </c>
      <c r="G27" s="16" t="str">
        <f aca="false">IF(OR($A27="",$D27=0),"",IFERROR(_xlfn.MAXIFS('3. Sample Data'!$J$6:$J$205,'3. Sample Data'!$A$6:$A$205,$A27),""))</f>
        <v/>
      </c>
      <c r="H27" s="17" t="str">
        <f aca="false">IF($A27="","",IF($D27=0,"No slices entered",IF(AND('2. Plot &amp; Core Log'!$O$28&lt;&gt;"OK",LEFT('2. Plot &amp; Core Log'!$O$28,7)&lt;&gt;"ASSUMED"),'2. Plot &amp; Core Log'!$O$28&amp;" (Sheet 2)",IF($E27&lt;$D27,"Not complete — see Slice check on Sheet 3","Complete"))))</f>
        <v/>
      </c>
      <c r="I27" s="15" t="str">
        <f aca="false">IF(OR($A27="",$H27&lt;&gt;"Complete"),"",SUMIFS('3. Sample Data'!$M$6:$M$205,'3. Sample Data'!$A$6:$A$205,$A27)/(PI()*(INDEX('2. Plot &amp; Core Log'!$S$6:$S$35,MATCH($A27,'2. Plot &amp; Core Log'!$B$6:$B$35,0))/2)^2*SUMIFS('3. Sample Data'!$F$6:$F$205,'3. Sample Data'!$A$6:$A$205,$A27)))</f>
        <v/>
      </c>
      <c r="J27" s="15" t="str">
        <f aca="false">IF(OR($A27="",$H27&lt;&gt;"Complete"),"",100*SUMIFS('3. Sample Data'!$U$6:$U$205,'3. Sample Data'!$A$6:$A$205,$A27)/(SUMIFS('3. Sample Data'!$M$6:$M$205,'3. Sample Data'!$A$6:$A$205,$A27)/(PI()*(INDEX('2. Plot &amp; Core Log'!$S$6:$S$35,MATCH($A27,'2. Plot &amp; Core Log'!$B$6:$B$35,0))/2)^2)))</f>
        <v/>
      </c>
      <c r="K27" s="15" t="str">
        <f aca="false">IF(OR($A27="",$H27&lt;&gt;"Complete"),"",SUMIFS('3. Sample Data'!$V$6:$V$205,'3. Sample Data'!$A$6:$A$205,$A27))</f>
        <v/>
      </c>
      <c r="L27" s="16" t="str">
        <f aca="false">IF($K27="","",$K27*10)</f>
        <v/>
      </c>
      <c r="M27" s="15" t="str">
        <f aca="false">IF(OR($A27="",$H27&lt;&gt;"Complete"),"",IF($G27&gt;=15-0.0001,SUMIFS('3. Sample Data'!$W$6:$W$205,'3. Sample Data'!$A$6:$A$205,$A27),IF($G27&gt;0,"partial — to "&amp;TEXT($G27,"0.0")&amp;" cm","not reached")))</f>
        <v/>
      </c>
      <c r="N27" s="15" t="str">
        <f aca="false">IF(OR($A27="",$H27&lt;&gt;"Complete"),"",IF($G27&gt;=30-0.0001,SUMIFS('3. Sample Data'!$X$6:$X$205,'3. Sample Data'!$A$6:$A$205,$A27),IF($G27&gt;15,"partial — to "&amp;TEXT($G27,"0.0")&amp;" cm","not reached")))</f>
        <v/>
      </c>
      <c r="O27" s="15" t="str">
        <f aca="false">IF(OR($A27="",$H27&lt;&gt;"Complete"),"",IF($G27&gt;=50-0.0001,SUMIFS('3. Sample Data'!$Y$6:$Y$205,'3. Sample Data'!$A$6:$A$205,$A27),IF($G27&gt;30,"partial — to "&amp;TEXT($G27,"0.0")&amp;" cm","not reached")))</f>
        <v/>
      </c>
      <c r="P27" s="15" t="str">
        <f aca="false">IF(OR($A27="",$H27&lt;&gt;"Complete"),"",IF($G27&gt;=100-0.0001,SUMIFS('3. Sample Data'!$Z$6:$Z$205,'3. Sample Data'!$A$6:$A$205,$A27),IF($G27&gt;50,"partial — to "&amp;TEXT($G27,"0.0")&amp;" cm","not reached")))</f>
        <v/>
      </c>
    </row>
    <row r="28" customFormat="false" ht="15.75" hidden="false" customHeight="true" outlineLevel="0" collapsed="false">
      <c r="A28" s="31" t="str">
        <f aca="false">IF('2. Plot &amp; Core Log'!$B$29="","",'2. Plot &amp; Core Log'!$B$29)</f>
        <v/>
      </c>
      <c r="B28" s="31" t="str">
        <f aca="false">IF($A28="","",IF('2. Plot &amp; Core Log'!$A$29="","",'2. Plot &amp; Core Log'!$A$29))</f>
        <v/>
      </c>
      <c r="C28" s="31" t="str">
        <f aca="false">IF($A28="","",IF('2. Plot &amp; Core Log'!$P$29="","",'2. Plot &amp; Core Log'!$P$29))</f>
        <v/>
      </c>
      <c r="D28" s="17" t="str">
        <f aca="false">IF($A28="","",COUNTIFS('3. Sample Data'!$A$6:$A$205,$A28))</f>
        <v/>
      </c>
      <c r="E28" s="17" t="str">
        <f aca="false">IF($A28="","",COUNTIFS('3. Sample Data'!$A$6:$A$205,$A28,'3. Sample Data'!$AA$6:$AA$205,"OK"))</f>
        <v/>
      </c>
      <c r="F28" s="16" t="str">
        <f aca="false">IF(OR($A28="",$D28=0),"",_xlfn.MAXIFS('3. Sample Data'!$D$6:$D$205,'3. Sample Data'!$A$6:$A$205,$A28))</f>
        <v/>
      </c>
      <c r="G28" s="16" t="str">
        <f aca="false">IF(OR($A28="",$D28=0),"",IFERROR(_xlfn.MAXIFS('3. Sample Data'!$J$6:$J$205,'3. Sample Data'!$A$6:$A$205,$A28),""))</f>
        <v/>
      </c>
      <c r="H28" s="17" t="str">
        <f aca="false">IF($A28="","",IF($D28=0,"No slices entered",IF(AND('2. Plot &amp; Core Log'!$O$29&lt;&gt;"OK",LEFT('2. Plot &amp; Core Log'!$O$29,7)&lt;&gt;"ASSUMED"),'2. Plot &amp; Core Log'!$O$29&amp;" (Sheet 2)",IF($E28&lt;$D28,"Not complete — see Slice check on Sheet 3","Complete"))))</f>
        <v/>
      </c>
      <c r="I28" s="15" t="str">
        <f aca="false">IF(OR($A28="",$H28&lt;&gt;"Complete"),"",SUMIFS('3. Sample Data'!$M$6:$M$205,'3. Sample Data'!$A$6:$A$205,$A28)/(PI()*(INDEX('2. Plot &amp; Core Log'!$S$6:$S$35,MATCH($A28,'2. Plot &amp; Core Log'!$B$6:$B$35,0))/2)^2*SUMIFS('3. Sample Data'!$F$6:$F$205,'3. Sample Data'!$A$6:$A$205,$A28)))</f>
        <v/>
      </c>
      <c r="J28" s="15" t="str">
        <f aca="false">IF(OR($A28="",$H28&lt;&gt;"Complete"),"",100*SUMIFS('3. Sample Data'!$U$6:$U$205,'3. Sample Data'!$A$6:$A$205,$A28)/(SUMIFS('3. Sample Data'!$M$6:$M$205,'3. Sample Data'!$A$6:$A$205,$A28)/(PI()*(INDEX('2. Plot &amp; Core Log'!$S$6:$S$35,MATCH($A28,'2. Plot &amp; Core Log'!$B$6:$B$35,0))/2)^2)))</f>
        <v/>
      </c>
      <c r="K28" s="15" t="str">
        <f aca="false">IF(OR($A28="",$H28&lt;&gt;"Complete"),"",SUMIFS('3. Sample Data'!$V$6:$V$205,'3. Sample Data'!$A$6:$A$205,$A28))</f>
        <v/>
      </c>
      <c r="L28" s="16" t="str">
        <f aca="false">IF($K28="","",$K28*10)</f>
        <v/>
      </c>
      <c r="M28" s="15" t="str">
        <f aca="false">IF(OR($A28="",$H28&lt;&gt;"Complete"),"",IF($G28&gt;=15-0.0001,SUMIFS('3. Sample Data'!$W$6:$W$205,'3. Sample Data'!$A$6:$A$205,$A28),IF($G28&gt;0,"partial — to "&amp;TEXT($G28,"0.0")&amp;" cm","not reached")))</f>
        <v/>
      </c>
      <c r="N28" s="15" t="str">
        <f aca="false">IF(OR($A28="",$H28&lt;&gt;"Complete"),"",IF($G28&gt;=30-0.0001,SUMIFS('3. Sample Data'!$X$6:$X$205,'3. Sample Data'!$A$6:$A$205,$A28),IF($G28&gt;15,"partial — to "&amp;TEXT($G28,"0.0")&amp;" cm","not reached")))</f>
        <v/>
      </c>
      <c r="O28" s="15" t="str">
        <f aca="false">IF(OR($A28="",$H28&lt;&gt;"Complete"),"",IF($G28&gt;=50-0.0001,SUMIFS('3. Sample Data'!$Y$6:$Y$205,'3. Sample Data'!$A$6:$A$205,$A28),IF($G28&gt;30,"partial — to "&amp;TEXT($G28,"0.0")&amp;" cm","not reached")))</f>
        <v/>
      </c>
      <c r="P28" s="15" t="str">
        <f aca="false">IF(OR($A28="",$H28&lt;&gt;"Complete"),"",IF($G28&gt;=100-0.0001,SUMIFS('3. Sample Data'!$Z$6:$Z$205,'3. Sample Data'!$A$6:$A$205,$A28),IF($G28&gt;50,"partial — to "&amp;TEXT($G28,"0.0")&amp;" cm","not reached")))</f>
        <v/>
      </c>
    </row>
    <row r="29" customFormat="false" ht="15.75" hidden="false" customHeight="true" outlineLevel="0" collapsed="false">
      <c r="A29" s="31" t="str">
        <f aca="false">IF('2. Plot &amp; Core Log'!$B$30="","",'2. Plot &amp; Core Log'!$B$30)</f>
        <v/>
      </c>
      <c r="B29" s="31" t="str">
        <f aca="false">IF($A29="","",IF('2. Plot &amp; Core Log'!$A$30="","",'2. Plot &amp; Core Log'!$A$30))</f>
        <v/>
      </c>
      <c r="C29" s="31" t="str">
        <f aca="false">IF($A29="","",IF('2. Plot &amp; Core Log'!$P$30="","",'2. Plot &amp; Core Log'!$P$30))</f>
        <v/>
      </c>
      <c r="D29" s="17" t="str">
        <f aca="false">IF($A29="","",COUNTIFS('3. Sample Data'!$A$6:$A$205,$A29))</f>
        <v/>
      </c>
      <c r="E29" s="17" t="str">
        <f aca="false">IF($A29="","",COUNTIFS('3. Sample Data'!$A$6:$A$205,$A29,'3. Sample Data'!$AA$6:$AA$205,"OK"))</f>
        <v/>
      </c>
      <c r="F29" s="16" t="str">
        <f aca="false">IF(OR($A29="",$D29=0),"",_xlfn.MAXIFS('3. Sample Data'!$D$6:$D$205,'3. Sample Data'!$A$6:$A$205,$A29))</f>
        <v/>
      </c>
      <c r="G29" s="16" t="str">
        <f aca="false">IF(OR($A29="",$D29=0),"",IFERROR(_xlfn.MAXIFS('3. Sample Data'!$J$6:$J$205,'3. Sample Data'!$A$6:$A$205,$A29),""))</f>
        <v/>
      </c>
      <c r="H29" s="17" t="str">
        <f aca="false">IF($A29="","",IF($D29=0,"No slices entered",IF(AND('2. Plot &amp; Core Log'!$O$30&lt;&gt;"OK",LEFT('2. Plot &amp; Core Log'!$O$30,7)&lt;&gt;"ASSUMED"),'2. Plot &amp; Core Log'!$O$30&amp;" (Sheet 2)",IF($E29&lt;$D29,"Not complete — see Slice check on Sheet 3","Complete"))))</f>
        <v/>
      </c>
      <c r="I29" s="15" t="str">
        <f aca="false">IF(OR($A29="",$H29&lt;&gt;"Complete"),"",SUMIFS('3. Sample Data'!$M$6:$M$205,'3. Sample Data'!$A$6:$A$205,$A29)/(PI()*(INDEX('2. Plot &amp; Core Log'!$S$6:$S$35,MATCH($A29,'2. Plot &amp; Core Log'!$B$6:$B$35,0))/2)^2*SUMIFS('3. Sample Data'!$F$6:$F$205,'3. Sample Data'!$A$6:$A$205,$A29)))</f>
        <v/>
      </c>
      <c r="J29" s="15" t="str">
        <f aca="false">IF(OR($A29="",$H29&lt;&gt;"Complete"),"",100*SUMIFS('3. Sample Data'!$U$6:$U$205,'3. Sample Data'!$A$6:$A$205,$A29)/(SUMIFS('3. Sample Data'!$M$6:$M$205,'3. Sample Data'!$A$6:$A$205,$A29)/(PI()*(INDEX('2. Plot &amp; Core Log'!$S$6:$S$35,MATCH($A29,'2. Plot &amp; Core Log'!$B$6:$B$35,0))/2)^2)))</f>
        <v/>
      </c>
      <c r="K29" s="15" t="str">
        <f aca="false">IF(OR($A29="",$H29&lt;&gt;"Complete"),"",SUMIFS('3. Sample Data'!$V$6:$V$205,'3. Sample Data'!$A$6:$A$205,$A29))</f>
        <v/>
      </c>
      <c r="L29" s="16" t="str">
        <f aca="false">IF($K29="","",$K29*10)</f>
        <v/>
      </c>
      <c r="M29" s="15" t="str">
        <f aca="false">IF(OR($A29="",$H29&lt;&gt;"Complete"),"",IF($G29&gt;=15-0.0001,SUMIFS('3. Sample Data'!$W$6:$W$205,'3. Sample Data'!$A$6:$A$205,$A29),IF($G29&gt;0,"partial — to "&amp;TEXT($G29,"0.0")&amp;" cm","not reached")))</f>
        <v/>
      </c>
      <c r="N29" s="15" t="str">
        <f aca="false">IF(OR($A29="",$H29&lt;&gt;"Complete"),"",IF($G29&gt;=30-0.0001,SUMIFS('3. Sample Data'!$X$6:$X$205,'3. Sample Data'!$A$6:$A$205,$A29),IF($G29&gt;15,"partial — to "&amp;TEXT($G29,"0.0")&amp;" cm","not reached")))</f>
        <v/>
      </c>
      <c r="O29" s="15" t="str">
        <f aca="false">IF(OR($A29="",$H29&lt;&gt;"Complete"),"",IF($G29&gt;=50-0.0001,SUMIFS('3. Sample Data'!$Y$6:$Y$205,'3. Sample Data'!$A$6:$A$205,$A29),IF($G29&gt;30,"partial — to "&amp;TEXT($G29,"0.0")&amp;" cm","not reached")))</f>
        <v/>
      </c>
      <c r="P29" s="15" t="str">
        <f aca="false">IF(OR($A29="",$H29&lt;&gt;"Complete"),"",IF($G29&gt;=100-0.0001,SUMIFS('3. Sample Data'!$Z$6:$Z$205,'3. Sample Data'!$A$6:$A$205,$A29),IF($G29&gt;50,"partial — to "&amp;TEXT($G29,"0.0")&amp;" cm","not reached")))</f>
        <v/>
      </c>
    </row>
    <row r="30" customFormat="false" ht="15.75" hidden="false" customHeight="true" outlineLevel="0" collapsed="false">
      <c r="A30" s="31" t="str">
        <f aca="false">IF('2. Plot &amp; Core Log'!$B$31="","",'2. Plot &amp; Core Log'!$B$31)</f>
        <v/>
      </c>
      <c r="B30" s="31" t="str">
        <f aca="false">IF($A30="","",IF('2. Plot &amp; Core Log'!$A$31="","",'2. Plot &amp; Core Log'!$A$31))</f>
        <v/>
      </c>
      <c r="C30" s="31" t="str">
        <f aca="false">IF($A30="","",IF('2. Plot &amp; Core Log'!$P$31="","",'2. Plot &amp; Core Log'!$P$31))</f>
        <v/>
      </c>
      <c r="D30" s="17" t="str">
        <f aca="false">IF($A30="","",COUNTIFS('3. Sample Data'!$A$6:$A$205,$A30))</f>
        <v/>
      </c>
      <c r="E30" s="17" t="str">
        <f aca="false">IF($A30="","",COUNTIFS('3. Sample Data'!$A$6:$A$205,$A30,'3. Sample Data'!$AA$6:$AA$205,"OK"))</f>
        <v/>
      </c>
      <c r="F30" s="16" t="str">
        <f aca="false">IF(OR($A30="",$D30=0),"",_xlfn.MAXIFS('3. Sample Data'!$D$6:$D$205,'3. Sample Data'!$A$6:$A$205,$A30))</f>
        <v/>
      </c>
      <c r="G30" s="16" t="str">
        <f aca="false">IF(OR($A30="",$D30=0),"",IFERROR(_xlfn.MAXIFS('3. Sample Data'!$J$6:$J$205,'3. Sample Data'!$A$6:$A$205,$A30),""))</f>
        <v/>
      </c>
      <c r="H30" s="17" t="str">
        <f aca="false">IF($A30="","",IF($D30=0,"No slices entered",IF(AND('2. Plot &amp; Core Log'!$O$31&lt;&gt;"OK",LEFT('2. Plot &amp; Core Log'!$O$31,7)&lt;&gt;"ASSUMED"),'2. Plot &amp; Core Log'!$O$31&amp;" (Sheet 2)",IF($E30&lt;$D30,"Not complete — see Slice check on Sheet 3","Complete"))))</f>
        <v/>
      </c>
      <c r="I30" s="15" t="str">
        <f aca="false">IF(OR($A30="",$H30&lt;&gt;"Complete"),"",SUMIFS('3. Sample Data'!$M$6:$M$205,'3. Sample Data'!$A$6:$A$205,$A30)/(PI()*(INDEX('2. Plot &amp; Core Log'!$S$6:$S$35,MATCH($A30,'2. Plot &amp; Core Log'!$B$6:$B$35,0))/2)^2*SUMIFS('3. Sample Data'!$F$6:$F$205,'3. Sample Data'!$A$6:$A$205,$A30)))</f>
        <v/>
      </c>
      <c r="J30" s="15" t="str">
        <f aca="false">IF(OR($A30="",$H30&lt;&gt;"Complete"),"",100*SUMIFS('3. Sample Data'!$U$6:$U$205,'3. Sample Data'!$A$6:$A$205,$A30)/(SUMIFS('3. Sample Data'!$M$6:$M$205,'3. Sample Data'!$A$6:$A$205,$A30)/(PI()*(INDEX('2. Plot &amp; Core Log'!$S$6:$S$35,MATCH($A30,'2. Plot &amp; Core Log'!$B$6:$B$35,0))/2)^2)))</f>
        <v/>
      </c>
      <c r="K30" s="15" t="str">
        <f aca="false">IF(OR($A30="",$H30&lt;&gt;"Complete"),"",SUMIFS('3. Sample Data'!$V$6:$V$205,'3. Sample Data'!$A$6:$A$205,$A30))</f>
        <v/>
      </c>
      <c r="L30" s="16" t="str">
        <f aca="false">IF($K30="","",$K30*10)</f>
        <v/>
      </c>
      <c r="M30" s="15" t="str">
        <f aca="false">IF(OR($A30="",$H30&lt;&gt;"Complete"),"",IF($G30&gt;=15-0.0001,SUMIFS('3. Sample Data'!$W$6:$W$205,'3. Sample Data'!$A$6:$A$205,$A30),IF($G30&gt;0,"partial — to "&amp;TEXT($G30,"0.0")&amp;" cm","not reached")))</f>
        <v/>
      </c>
      <c r="N30" s="15" t="str">
        <f aca="false">IF(OR($A30="",$H30&lt;&gt;"Complete"),"",IF($G30&gt;=30-0.0001,SUMIFS('3. Sample Data'!$X$6:$X$205,'3. Sample Data'!$A$6:$A$205,$A30),IF($G30&gt;15,"partial — to "&amp;TEXT($G30,"0.0")&amp;" cm","not reached")))</f>
        <v/>
      </c>
      <c r="O30" s="15" t="str">
        <f aca="false">IF(OR($A30="",$H30&lt;&gt;"Complete"),"",IF($G30&gt;=50-0.0001,SUMIFS('3. Sample Data'!$Y$6:$Y$205,'3. Sample Data'!$A$6:$A$205,$A30),IF($G30&gt;30,"partial — to "&amp;TEXT($G30,"0.0")&amp;" cm","not reached")))</f>
        <v/>
      </c>
      <c r="P30" s="15" t="str">
        <f aca="false">IF(OR($A30="",$H30&lt;&gt;"Complete"),"",IF($G30&gt;=100-0.0001,SUMIFS('3. Sample Data'!$Z$6:$Z$205,'3. Sample Data'!$A$6:$A$205,$A30),IF($G30&gt;50,"partial — to "&amp;TEXT($G30,"0.0")&amp;" cm","not reached")))</f>
        <v/>
      </c>
    </row>
    <row r="31" customFormat="false" ht="15.75" hidden="false" customHeight="true" outlineLevel="0" collapsed="false">
      <c r="A31" s="31" t="str">
        <f aca="false">IF('2. Plot &amp; Core Log'!$B$32="","",'2. Plot &amp; Core Log'!$B$32)</f>
        <v/>
      </c>
      <c r="B31" s="31" t="str">
        <f aca="false">IF($A31="","",IF('2. Plot &amp; Core Log'!$A$32="","",'2. Plot &amp; Core Log'!$A$32))</f>
        <v/>
      </c>
      <c r="C31" s="31" t="str">
        <f aca="false">IF($A31="","",IF('2. Plot &amp; Core Log'!$P$32="","",'2. Plot &amp; Core Log'!$P$32))</f>
        <v/>
      </c>
      <c r="D31" s="17" t="str">
        <f aca="false">IF($A31="","",COUNTIFS('3. Sample Data'!$A$6:$A$205,$A31))</f>
        <v/>
      </c>
      <c r="E31" s="17" t="str">
        <f aca="false">IF($A31="","",COUNTIFS('3. Sample Data'!$A$6:$A$205,$A31,'3. Sample Data'!$AA$6:$AA$205,"OK"))</f>
        <v/>
      </c>
      <c r="F31" s="16" t="str">
        <f aca="false">IF(OR($A31="",$D31=0),"",_xlfn.MAXIFS('3. Sample Data'!$D$6:$D$205,'3. Sample Data'!$A$6:$A$205,$A31))</f>
        <v/>
      </c>
      <c r="G31" s="16" t="str">
        <f aca="false">IF(OR($A31="",$D31=0),"",IFERROR(_xlfn.MAXIFS('3. Sample Data'!$J$6:$J$205,'3. Sample Data'!$A$6:$A$205,$A31),""))</f>
        <v/>
      </c>
      <c r="H31" s="17" t="str">
        <f aca="false">IF($A31="","",IF($D31=0,"No slices entered",IF(AND('2. Plot &amp; Core Log'!$O$32&lt;&gt;"OK",LEFT('2. Plot &amp; Core Log'!$O$32,7)&lt;&gt;"ASSUMED"),'2. Plot &amp; Core Log'!$O$32&amp;" (Sheet 2)",IF($E31&lt;$D31,"Not complete — see Slice check on Sheet 3","Complete"))))</f>
        <v/>
      </c>
      <c r="I31" s="15" t="str">
        <f aca="false">IF(OR($A31="",$H31&lt;&gt;"Complete"),"",SUMIFS('3. Sample Data'!$M$6:$M$205,'3. Sample Data'!$A$6:$A$205,$A31)/(PI()*(INDEX('2. Plot &amp; Core Log'!$S$6:$S$35,MATCH($A31,'2. Plot &amp; Core Log'!$B$6:$B$35,0))/2)^2*SUMIFS('3. Sample Data'!$F$6:$F$205,'3. Sample Data'!$A$6:$A$205,$A31)))</f>
        <v/>
      </c>
      <c r="J31" s="15" t="str">
        <f aca="false">IF(OR($A31="",$H31&lt;&gt;"Complete"),"",100*SUMIFS('3. Sample Data'!$U$6:$U$205,'3. Sample Data'!$A$6:$A$205,$A31)/(SUMIFS('3. Sample Data'!$M$6:$M$205,'3. Sample Data'!$A$6:$A$205,$A31)/(PI()*(INDEX('2. Plot &amp; Core Log'!$S$6:$S$35,MATCH($A31,'2. Plot &amp; Core Log'!$B$6:$B$35,0))/2)^2)))</f>
        <v/>
      </c>
      <c r="K31" s="15" t="str">
        <f aca="false">IF(OR($A31="",$H31&lt;&gt;"Complete"),"",SUMIFS('3. Sample Data'!$V$6:$V$205,'3. Sample Data'!$A$6:$A$205,$A31))</f>
        <v/>
      </c>
      <c r="L31" s="16" t="str">
        <f aca="false">IF($K31="","",$K31*10)</f>
        <v/>
      </c>
      <c r="M31" s="15" t="str">
        <f aca="false">IF(OR($A31="",$H31&lt;&gt;"Complete"),"",IF($G31&gt;=15-0.0001,SUMIFS('3. Sample Data'!$W$6:$W$205,'3. Sample Data'!$A$6:$A$205,$A31),IF($G31&gt;0,"partial — to "&amp;TEXT($G31,"0.0")&amp;" cm","not reached")))</f>
        <v/>
      </c>
      <c r="N31" s="15" t="str">
        <f aca="false">IF(OR($A31="",$H31&lt;&gt;"Complete"),"",IF($G31&gt;=30-0.0001,SUMIFS('3. Sample Data'!$X$6:$X$205,'3. Sample Data'!$A$6:$A$205,$A31),IF($G31&gt;15,"partial — to "&amp;TEXT($G31,"0.0")&amp;" cm","not reached")))</f>
        <v/>
      </c>
      <c r="O31" s="15" t="str">
        <f aca="false">IF(OR($A31="",$H31&lt;&gt;"Complete"),"",IF($G31&gt;=50-0.0001,SUMIFS('3. Sample Data'!$Y$6:$Y$205,'3. Sample Data'!$A$6:$A$205,$A31),IF($G31&gt;30,"partial — to "&amp;TEXT($G31,"0.0")&amp;" cm","not reached")))</f>
        <v/>
      </c>
      <c r="P31" s="15" t="str">
        <f aca="false">IF(OR($A31="",$H31&lt;&gt;"Complete"),"",IF($G31&gt;=100-0.0001,SUMIFS('3. Sample Data'!$Z$6:$Z$205,'3. Sample Data'!$A$6:$A$205,$A31),IF($G31&gt;50,"partial — to "&amp;TEXT($G31,"0.0")&amp;" cm","not reached")))</f>
        <v/>
      </c>
    </row>
    <row r="32" customFormat="false" ht="15.75" hidden="false" customHeight="true" outlineLevel="0" collapsed="false">
      <c r="A32" s="31" t="str">
        <f aca="false">IF('2. Plot &amp; Core Log'!$B$33="","",'2. Plot &amp; Core Log'!$B$33)</f>
        <v/>
      </c>
      <c r="B32" s="31" t="str">
        <f aca="false">IF($A32="","",IF('2. Plot &amp; Core Log'!$A$33="","",'2. Plot &amp; Core Log'!$A$33))</f>
        <v/>
      </c>
      <c r="C32" s="31" t="str">
        <f aca="false">IF($A32="","",IF('2. Plot &amp; Core Log'!$P$33="","",'2. Plot &amp; Core Log'!$P$33))</f>
        <v/>
      </c>
      <c r="D32" s="17" t="str">
        <f aca="false">IF($A32="","",COUNTIFS('3. Sample Data'!$A$6:$A$205,$A32))</f>
        <v/>
      </c>
      <c r="E32" s="17" t="str">
        <f aca="false">IF($A32="","",COUNTIFS('3. Sample Data'!$A$6:$A$205,$A32,'3. Sample Data'!$AA$6:$AA$205,"OK"))</f>
        <v/>
      </c>
      <c r="F32" s="16" t="str">
        <f aca="false">IF(OR($A32="",$D32=0),"",_xlfn.MAXIFS('3. Sample Data'!$D$6:$D$205,'3. Sample Data'!$A$6:$A$205,$A32))</f>
        <v/>
      </c>
      <c r="G32" s="16" t="str">
        <f aca="false">IF(OR($A32="",$D32=0),"",IFERROR(_xlfn.MAXIFS('3. Sample Data'!$J$6:$J$205,'3. Sample Data'!$A$6:$A$205,$A32),""))</f>
        <v/>
      </c>
      <c r="H32" s="17" t="str">
        <f aca="false">IF($A32="","",IF($D32=0,"No slices entered",IF(AND('2. Plot &amp; Core Log'!$O$33&lt;&gt;"OK",LEFT('2. Plot &amp; Core Log'!$O$33,7)&lt;&gt;"ASSUMED"),'2. Plot &amp; Core Log'!$O$33&amp;" (Sheet 2)",IF($E32&lt;$D32,"Not complete — see Slice check on Sheet 3","Complete"))))</f>
        <v/>
      </c>
      <c r="I32" s="15" t="str">
        <f aca="false">IF(OR($A32="",$H32&lt;&gt;"Complete"),"",SUMIFS('3. Sample Data'!$M$6:$M$205,'3. Sample Data'!$A$6:$A$205,$A32)/(PI()*(INDEX('2. Plot &amp; Core Log'!$S$6:$S$35,MATCH($A32,'2. Plot &amp; Core Log'!$B$6:$B$35,0))/2)^2*SUMIFS('3. Sample Data'!$F$6:$F$205,'3. Sample Data'!$A$6:$A$205,$A32)))</f>
        <v/>
      </c>
      <c r="J32" s="15" t="str">
        <f aca="false">IF(OR($A32="",$H32&lt;&gt;"Complete"),"",100*SUMIFS('3. Sample Data'!$U$6:$U$205,'3. Sample Data'!$A$6:$A$205,$A32)/(SUMIFS('3. Sample Data'!$M$6:$M$205,'3. Sample Data'!$A$6:$A$205,$A32)/(PI()*(INDEX('2. Plot &amp; Core Log'!$S$6:$S$35,MATCH($A32,'2. Plot &amp; Core Log'!$B$6:$B$35,0))/2)^2)))</f>
        <v/>
      </c>
      <c r="K32" s="15" t="str">
        <f aca="false">IF(OR($A32="",$H32&lt;&gt;"Complete"),"",SUMIFS('3. Sample Data'!$V$6:$V$205,'3. Sample Data'!$A$6:$A$205,$A32))</f>
        <v/>
      </c>
      <c r="L32" s="16" t="str">
        <f aca="false">IF($K32="","",$K32*10)</f>
        <v/>
      </c>
      <c r="M32" s="15" t="str">
        <f aca="false">IF(OR($A32="",$H32&lt;&gt;"Complete"),"",IF($G32&gt;=15-0.0001,SUMIFS('3. Sample Data'!$W$6:$W$205,'3. Sample Data'!$A$6:$A$205,$A32),IF($G32&gt;0,"partial — to "&amp;TEXT($G32,"0.0")&amp;" cm","not reached")))</f>
        <v/>
      </c>
      <c r="N32" s="15" t="str">
        <f aca="false">IF(OR($A32="",$H32&lt;&gt;"Complete"),"",IF($G32&gt;=30-0.0001,SUMIFS('3. Sample Data'!$X$6:$X$205,'3. Sample Data'!$A$6:$A$205,$A32),IF($G32&gt;15,"partial — to "&amp;TEXT($G32,"0.0")&amp;" cm","not reached")))</f>
        <v/>
      </c>
      <c r="O32" s="15" t="str">
        <f aca="false">IF(OR($A32="",$H32&lt;&gt;"Complete"),"",IF($G32&gt;=50-0.0001,SUMIFS('3. Sample Data'!$Y$6:$Y$205,'3. Sample Data'!$A$6:$A$205,$A32),IF($G32&gt;30,"partial — to "&amp;TEXT($G32,"0.0")&amp;" cm","not reached")))</f>
        <v/>
      </c>
      <c r="P32" s="15" t="str">
        <f aca="false">IF(OR($A32="",$H32&lt;&gt;"Complete"),"",IF($G32&gt;=100-0.0001,SUMIFS('3. Sample Data'!$Z$6:$Z$205,'3. Sample Data'!$A$6:$A$205,$A32),IF($G32&gt;50,"partial — to "&amp;TEXT($G32,"0.0")&amp;" cm","not reached")))</f>
        <v/>
      </c>
    </row>
    <row r="33" customFormat="false" ht="15.75" hidden="false" customHeight="true" outlineLevel="0" collapsed="false">
      <c r="A33" s="31" t="str">
        <f aca="false">IF('2. Plot &amp; Core Log'!$B$34="","",'2. Plot &amp; Core Log'!$B$34)</f>
        <v/>
      </c>
      <c r="B33" s="31" t="str">
        <f aca="false">IF($A33="","",IF('2. Plot &amp; Core Log'!$A$34="","",'2. Plot &amp; Core Log'!$A$34))</f>
        <v/>
      </c>
      <c r="C33" s="31" t="str">
        <f aca="false">IF($A33="","",IF('2. Plot &amp; Core Log'!$P$34="","",'2. Plot &amp; Core Log'!$P$34))</f>
        <v/>
      </c>
      <c r="D33" s="17" t="str">
        <f aca="false">IF($A33="","",COUNTIFS('3. Sample Data'!$A$6:$A$205,$A33))</f>
        <v/>
      </c>
      <c r="E33" s="17" t="str">
        <f aca="false">IF($A33="","",COUNTIFS('3. Sample Data'!$A$6:$A$205,$A33,'3. Sample Data'!$AA$6:$AA$205,"OK"))</f>
        <v/>
      </c>
      <c r="F33" s="16" t="str">
        <f aca="false">IF(OR($A33="",$D33=0),"",_xlfn.MAXIFS('3. Sample Data'!$D$6:$D$205,'3. Sample Data'!$A$6:$A$205,$A33))</f>
        <v/>
      </c>
      <c r="G33" s="16" t="str">
        <f aca="false">IF(OR($A33="",$D33=0),"",IFERROR(_xlfn.MAXIFS('3. Sample Data'!$J$6:$J$205,'3. Sample Data'!$A$6:$A$205,$A33),""))</f>
        <v/>
      </c>
      <c r="H33" s="17" t="str">
        <f aca="false">IF($A33="","",IF($D33=0,"No slices entered",IF(AND('2. Plot &amp; Core Log'!$O$34&lt;&gt;"OK",LEFT('2. Plot &amp; Core Log'!$O$34,7)&lt;&gt;"ASSUMED"),'2. Plot &amp; Core Log'!$O$34&amp;" (Sheet 2)",IF($E33&lt;$D33,"Not complete — see Slice check on Sheet 3","Complete"))))</f>
        <v/>
      </c>
      <c r="I33" s="15" t="str">
        <f aca="false">IF(OR($A33="",$H33&lt;&gt;"Complete"),"",SUMIFS('3. Sample Data'!$M$6:$M$205,'3. Sample Data'!$A$6:$A$205,$A33)/(PI()*(INDEX('2. Plot &amp; Core Log'!$S$6:$S$35,MATCH($A33,'2. Plot &amp; Core Log'!$B$6:$B$35,0))/2)^2*SUMIFS('3. Sample Data'!$F$6:$F$205,'3. Sample Data'!$A$6:$A$205,$A33)))</f>
        <v/>
      </c>
      <c r="J33" s="15" t="str">
        <f aca="false">IF(OR($A33="",$H33&lt;&gt;"Complete"),"",100*SUMIFS('3. Sample Data'!$U$6:$U$205,'3. Sample Data'!$A$6:$A$205,$A33)/(SUMIFS('3. Sample Data'!$M$6:$M$205,'3. Sample Data'!$A$6:$A$205,$A33)/(PI()*(INDEX('2. Plot &amp; Core Log'!$S$6:$S$35,MATCH($A33,'2. Plot &amp; Core Log'!$B$6:$B$35,0))/2)^2)))</f>
        <v/>
      </c>
      <c r="K33" s="15" t="str">
        <f aca="false">IF(OR($A33="",$H33&lt;&gt;"Complete"),"",SUMIFS('3. Sample Data'!$V$6:$V$205,'3. Sample Data'!$A$6:$A$205,$A33))</f>
        <v/>
      </c>
      <c r="L33" s="16" t="str">
        <f aca="false">IF($K33="","",$K33*10)</f>
        <v/>
      </c>
      <c r="M33" s="15" t="str">
        <f aca="false">IF(OR($A33="",$H33&lt;&gt;"Complete"),"",IF($G33&gt;=15-0.0001,SUMIFS('3. Sample Data'!$W$6:$W$205,'3. Sample Data'!$A$6:$A$205,$A33),IF($G33&gt;0,"partial — to "&amp;TEXT($G33,"0.0")&amp;" cm","not reached")))</f>
        <v/>
      </c>
      <c r="N33" s="15" t="str">
        <f aca="false">IF(OR($A33="",$H33&lt;&gt;"Complete"),"",IF($G33&gt;=30-0.0001,SUMIFS('3. Sample Data'!$X$6:$X$205,'3. Sample Data'!$A$6:$A$205,$A33),IF($G33&gt;15,"partial — to "&amp;TEXT($G33,"0.0")&amp;" cm","not reached")))</f>
        <v/>
      </c>
      <c r="O33" s="15" t="str">
        <f aca="false">IF(OR($A33="",$H33&lt;&gt;"Complete"),"",IF($G33&gt;=50-0.0001,SUMIFS('3. Sample Data'!$Y$6:$Y$205,'3. Sample Data'!$A$6:$A$205,$A33),IF($G33&gt;30,"partial — to "&amp;TEXT($G33,"0.0")&amp;" cm","not reached")))</f>
        <v/>
      </c>
      <c r="P33" s="15" t="str">
        <f aca="false">IF(OR($A33="",$H33&lt;&gt;"Complete"),"",IF($G33&gt;=100-0.0001,SUMIFS('3. Sample Data'!$Z$6:$Z$205,'3. Sample Data'!$A$6:$A$205,$A33),IF($G33&gt;50,"partial — to "&amp;TEXT($G33,"0.0")&amp;" cm","not reached")))</f>
        <v/>
      </c>
    </row>
    <row r="34" customFormat="false" ht="15.75" hidden="false" customHeight="true" outlineLevel="0" collapsed="false">
      <c r="A34" s="31" t="str">
        <f aca="false">IF('2. Plot &amp; Core Log'!$B$35="","",'2. Plot &amp; Core Log'!$B$35)</f>
        <v/>
      </c>
      <c r="B34" s="31" t="str">
        <f aca="false">IF($A34="","",IF('2. Plot &amp; Core Log'!$A$35="","",'2. Plot &amp; Core Log'!$A$35))</f>
        <v/>
      </c>
      <c r="C34" s="31" t="str">
        <f aca="false">IF($A34="","",IF('2. Plot &amp; Core Log'!$P$35="","",'2. Plot &amp; Core Log'!$P$35))</f>
        <v/>
      </c>
      <c r="D34" s="17" t="str">
        <f aca="false">IF($A34="","",COUNTIFS('3. Sample Data'!$A$6:$A$205,$A34))</f>
        <v/>
      </c>
      <c r="E34" s="17" t="str">
        <f aca="false">IF($A34="","",COUNTIFS('3. Sample Data'!$A$6:$A$205,$A34,'3. Sample Data'!$AA$6:$AA$205,"OK"))</f>
        <v/>
      </c>
      <c r="F34" s="16" t="str">
        <f aca="false">IF(OR($A34="",$D34=0),"",_xlfn.MAXIFS('3. Sample Data'!$D$6:$D$205,'3. Sample Data'!$A$6:$A$205,$A34))</f>
        <v/>
      </c>
      <c r="G34" s="16" t="str">
        <f aca="false">IF(OR($A34="",$D34=0),"",IFERROR(_xlfn.MAXIFS('3. Sample Data'!$J$6:$J$205,'3. Sample Data'!$A$6:$A$205,$A34),""))</f>
        <v/>
      </c>
      <c r="H34" s="17" t="str">
        <f aca="false">IF($A34="","",IF($D34=0,"No slices entered",IF(AND('2. Plot &amp; Core Log'!$O$35&lt;&gt;"OK",LEFT('2. Plot &amp; Core Log'!$O$35,7)&lt;&gt;"ASSUMED"),'2. Plot &amp; Core Log'!$O$35&amp;" (Sheet 2)",IF($E34&lt;$D34,"Not complete — see Slice check on Sheet 3","Complete"))))</f>
        <v/>
      </c>
      <c r="I34" s="15" t="str">
        <f aca="false">IF(OR($A34="",$H34&lt;&gt;"Complete"),"",SUMIFS('3. Sample Data'!$M$6:$M$205,'3. Sample Data'!$A$6:$A$205,$A34)/(PI()*(INDEX('2. Plot &amp; Core Log'!$S$6:$S$35,MATCH($A34,'2. Plot &amp; Core Log'!$B$6:$B$35,0))/2)^2*SUMIFS('3. Sample Data'!$F$6:$F$205,'3. Sample Data'!$A$6:$A$205,$A34)))</f>
        <v/>
      </c>
      <c r="J34" s="15" t="str">
        <f aca="false">IF(OR($A34="",$H34&lt;&gt;"Complete"),"",100*SUMIFS('3. Sample Data'!$U$6:$U$205,'3. Sample Data'!$A$6:$A$205,$A34)/(SUMIFS('3. Sample Data'!$M$6:$M$205,'3. Sample Data'!$A$6:$A$205,$A34)/(PI()*(INDEX('2. Plot &amp; Core Log'!$S$6:$S$35,MATCH($A34,'2. Plot &amp; Core Log'!$B$6:$B$35,0))/2)^2)))</f>
        <v/>
      </c>
      <c r="K34" s="15" t="str">
        <f aca="false">IF(OR($A34="",$H34&lt;&gt;"Complete"),"",SUMIFS('3. Sample Data'!$V$6:$V$205,'3. Sample Data'!$A$6:$A$205,$A34))</f>
        <v/>
      </c>
      <c r="L34" s="16" t="str">
        <f aca="false">IF($K34="","",$K34*10)</f>
        <v/>
      </c>
      <c r="M34" s="15" t="str">
        <f aca="false">IF(OR($A34="",$H34&lt;&gt;"Complete"),"",IF($G34&gt;=15-0.0001,SUMIFS('3. Sample Data'!$W$6:$W$205,'3. Sample Data'!$A$6:$A$205,$A34),IF($G34&gt;0,"partial — to "&amp;TEXT($G34,"0.0")&amp;" cm","not reached")))</f>
        <v/>
      </c>
      <c r="N34" s="15" t="str">
        <f aca="false">IF(OR($A34="",$H34&lt;&gt;"Complete"),"",IF($G34&gt;=30-0.0001,SUMIFS('3. Sample Data'!$X$6:$X$205,'3. Sample Data'!$A$6:$A$205,$A34),IF($G34&gt;15,"partial — to "&amp;TEXT($G34,"0.0")&amp;" cm","not reached")))</f>
        <v/>
      </c>
      <c r="O34" s="15" t="str">
        <f aca="false">IF(OR($A34="",$H34&lt;&gt;"Complete"),"",IF($G34&gt;=50-0.0001,SUMIFS('3. Sample Data'!$Y$6:$Y$205,'3. Sample Data'!$A$6:$A$205,$A34),IF($G34&gt;30,"partial — to "&amp;TEXT($G34,"0.0")&amp;" cm","not reached")))</f>
        <v/>
      </c>
      <c r="P34" s="15" t="str">
        <f aca="false">IF(OR($A34="",$H34&lt;&gt;"Complete"),"",IF($G34&gt;=100-0.0001,SUMIFS('3. Sample Data'!$Z$6:$Z$205,'3. Sample Data'!$A$6:$A$205,$A34),IF($G34&gt;50,"partial — to "&amp;TEXT($G34,"0.0")&amp;" cm","not reached")))</f>
        <v/>
      </c>
    </row>
    <row r="35" customFormat="false" ht="15.75" hidden="false" customHeight="true" outlineLevel="0" collapsed="false"/>
    <row r="36" customFormat="false" ht="15.75" hidden="false" customHeight="true" outlineLevel="0" collapsed="false">
      <c r="A36" s="32" t="s">
        <v>157</v>
      </c>
      <c r="B36" s="15"/>
      <c r="C36" s="15"/>
      <c r="D36" s="15"/>
      <c r="E36" s="15"/>
      <c r="F36" s="15"/>
      <c r="G36" s="15"/>
      <c r="H36" s="15"/>
      <c r="I36" s="15"/>
      <c r="J36" s="15"/>
      <c r="K36" s="15"/>
      <c r="L36" s="15"/>
      <c r="M36" s="15" t="n">
        <f aca="false">IF(COUNT(M5:M34)=0,"",AVERAGE(M5:M34))</f>
        <v>1.45693216076495</v>
      </c>
      <c r="N36" s="15" t="str">
        <f aca="false">IF(COUNT(N5:N34)=0,"",AVERAGE(N5:N34))</f>
        <v/>
      </c>
      <c r="O36" s="15" t="str">
        <f aca="false">IF(COUNT(O5:O34)=0,"",AVERAGE(O5:O34))</f>
        <v/>
      </c>
      <c r="P36" s="15" t="str">
        <f aca="false">IF(COUNT(P5:P34)=0,"",AVERAGE(P5:P34))</f>
        <v/>
      </c>
    </row>
    <row r="37" customFormat="false" ht="15.75" hidden="false" customHeight="true" outlineLevel="0" collapsed="false">
      <c r="A37" s="33" t="s">
        <v>158</v>
      </c>
      <c r="B37" s="34"/>
      <c r="C37" s="34"/>
      <c r="D37" s="34"/>
      <c r="E37" s="34"/>
      <c r="F37" s="34"/>
      <c r="G37" s="34"/>
      <c r="H37" s="34"/>
      <c r="I37" s="34"/>
      <c r="J37" s="34"/>
      <c r="K37" s="34"/>
      <c r="L37" s="34"/>
      <c r="M37" s="34" t="n">
        <f aca="false">COUNT(M5:M34)</f>
        <v>3</v>
      </c>
      <c r="N37" s="34" t="n">
        <f aca="false">COUNT(N5:N34)</f>
        <v>0</v>
      </c>
      <c r="O37" s="34" t="n">
        <f aca="false">COUNT(O5:O34)</f>
        <v>0</v>
      </c>
      <c r="P37" s="34" t="n">
        <f aca="false">COUNT(P5:P34)</f>
        <v>0</v>
      </c>
    </row>
    <row r="38" customFormat="false" ht="15.75" hidden="false" customHeight="true" outlineLevel="0" collapsed="false">
      <c r="A38" s="35" t="s">
        <v>159</v>
      </c>
      <c r="B38" s="35"/>
      <c r="C38" s="35"/>
      <c r="D38" s="35"/>
      <c r="E38" s="35"/>
      <c r="F38" s="35"/>
      <c r="G38" s="35"/>
      <c r="H38" s="35"/>
      <c r="I38" s="35"/>
      <c r="J38" s="35"/>
      <c r="K38" s="35"/>
      <c r="L38" s="35"/>
      <c r="M38" s="35"/>
      <c r="N38" s="35"/>
      <c r="O38" s="35"/>
      <c r="P38" s="35"/>
    </row>
    <row r="39" customFormat="false" ht="15.75" hidden="false" customHeight="true" outlineLevel="0" collapsed="false">
      <c r="A39" s="35"/>
      <c r="B39" s="35"/>
      <c r="C39" s="35"/>
      <c r="D39" s="35"/>
      <c r="E39" s="35"/>
      <c r="F39" s="35"/>
      <c r="G39" s="35"/>
      <c r="H39" s="35"/>
      <c r="I39" s="35"/>
      <c r="J39" s="35"/>
      <c r="K39" s="35"/>
      <c r="L39" s="35"/>
      <c r="M39" s="35"/>
      <c r="N39" s="35"/>
      <c r="O39" s="35"/>
      <c r="P39" s="35"/>
    </row>
    <row r="40" customFormat="false" ht="15.75" hidden="false" customHeight="true" outlineLevel="0" collapsed="false">
      <c r="A40" s="35"/>
      <c r="B40" s="35"/>
      <c r="C40" s="35"/>
      <c r="D40" s="35"/>
      <c r="E40" s="35"/>
      <c r="F40" s="35"/>
      <c r="G40" s="35"/>
      <c r="H40" s="35"/>
      <c r="I40" s="35"/>
      <c r="J40" s="35"/>
      <c r="K40" s="35"/>
      <c r="L40" s="35"/>
      <c r="M40" s="35"/>
      <c r="N40" s="35"/>
      <c r="O40" s="35"/>
      <c r="P40" s="35"/>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2:P2"/>
    <mergeCell ref="A38:P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2026-10-06T17:05:09Z</dcterms:created>
  <dc:creator>openpyxl</dc:creator>
  <dc:description/>
  <dc:language>en-CA</dc:language>
  <cp:lastModifiedBy/>
  <dcterms:modified xsi:type="dcterms:W3CDTF">2026-10-06T17:05:10Z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